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ke\Excel\heart_disease_analysis\analysis\"/>
    </mc:Choice>
  </mc:AlternateContent>
  <xr:revisionPtr revIDLastSave="0" documentId="13_ncr:1_{9C99B326-619F-48D0-8A5F-EEBA604E1244}" xr6:coauthVersionLast="47" xr6:coauthVersionMax="47" xr10:uidLastSave="{00000000-0000-0000-0000-000000000000}"/>
  <bookViews>
    <workbookView xWindow="-120" yWindow="-120" windowWidth="29040" windowHeight="15720" tabRatio="764" activeTab="4" xr2:uid="{00000000-000D-0000-FFFF-FFFF00000000}"/>
  </bookViews>
  <sheets>
    <sheet name="cleveland_data" sheetId="26" r:id="rId1"/>
    <sheet name="analysis" sheetId="27" r:id="rId2"/>
    <sheet name="chart_data" sheetId="29" r:id="rId3"/>
    <sheet name="charts" sheetId="28" r:id="rId4"/>
    <sheet name="dashboard" sheetId="30" r:id="rId5"/>
  </sheets>
  <definedNames>
    <definedName name="_xlchart.v1.0" hidden="1">cleveland_data!$A$1</definedName>
    <definedName name="_xlchart.v1.1" hidden="1">cleveland_data!$A$2:$A$304</definedName>
    <definedName name="_xlchart.v1.10" hidden="1">chart_data!$D$2</definedName>
    <definedName name="_xlchart.v1.11" hidden="1">chart_data!$D$3:$D$166</definedName>
    <definedName name="_xlchart.v1.12" hidden="1">chart_data!$E$2</definedName>
    <definedName name="_xlchart.v1.13" hidden="1">chart_data!$E$3:$E$166</definedName>
    <definedName name="_xlchart.v1.2" hidden="1">chart_data!$A$2</definedName>
    <definedName name="_xlchart.v1.3" hidden="1">chart_data!$A$3:$A$166</definedName>
    <definedName name="_xlchart.v1.4" hidden="1">chart_data!$B$2</definedName>
    <definedName name="_xlchart.v1.5" hidden="1">chart_data!$B$3:$B$166</definedName>
    <definedName name="_xlchart.v1.6" hidden="1">chart_data!$G$2</definedName>
    <definedName name="_xlchart.v1.7" hidden="1">chart_data!$G$3:$G$166</definedName>
    <definedName name="_xlchart.v1.8" hidden="1">chart_data!$H$2</definedName>
    <definedName name="_xlchart.v1.9" hidden="1">chart_data!$H$3:$H$166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9" l="1" a="1"/>
  <c r="H3" i="29" s="1"/>
  <c r="G3" i="29" a="1"/>
  <c r="G3" i="29" s="1"/>
  <c r="E3" i="29" a="1"/>
  <c r="E3" i="29" s="1"/>
  <c r="D3" i="29" a="1"/>
  <c r="D3" i="29" s="1"/>
  <c r="B3" i="29" a="1"/>
  <c r="B3" i="29" s="1"/>
  <c r="A3" i="29" a="1"/>
  <c r="A3" i="29" s="1"/>
  <c r="E24" i="27"/>
  <c r="D24" i="27"/>
  <c r="C24" i="27"/>
  <c r="D23" i="27"/>
  <c r="C23" i="27"/>
  <c r="F23" i="27"/>
  <c r="F24" i="27"/>
  <c r="F22" i="27"/>
  <c r="E22" i="27"/>
  <c r="C22" i="27"/>
  <c r="D22" i="27"/>
  <c r="F21" i="27"/>
  <c r="E21" i="27"/>
  <c r="D21" i="27"/>
  <c r="E23" i="27"/>
  <c r="C21" i="27"/>
  <c r="M2" i="26" l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M252" i="26"/>
  <c r="M253" i="26"/>
  <c r="M254" i="26"/>
  <c r="M255" i="26"/>
  <c r="M256" i="26"/>
  <c r="M257" i="26"/>
  <c r="M258" i="26"/>
  <c r="M259" i="26"/>
  <c r="M260" i="26"/>
  <c r="M261" i="26"/>
  <c r="M262" i="26"/>
  <c r="M263" i="26"/>
  <c r="M264" i="26"/>
  <c r="M265" i="26"/>
  <c r="M266" i="26"/>
  <c r="M267" i="26"/>
  <c r="M268" i="26"/>
  <c r="M269" i="26"/>
  <c r="M270" i="26"/>
  <c r="M271" i="26"/>
  <c r="M272" i="26"/>
  <c r="M273" i="26"/>
  <c r="M274" i="26"/>
  <c r="M275" i="26"/>
  <c r="M276" i="26"/>
  <c r="M277" i="26"/>
  <c r="M278" i="26"/>
  <c r="M279" i="26"/>
  <c r="M280" i="26"/>
  <c r="M281" i="26"/>
  <c r="M282" i="26"/>
  <c r="M283" i="26"/>
  <c r="M284" i="26"/>
  <c r="M285" i="26"/>
  <c r="M286" i="26"/>
  <c r="M287" i="26"/>
  <c r="M288" i="26"/>
  <c r="M289" i="26"/>
  <c r="M290" i="26"/>
  <c r="M291" i="26"/>
  <c r="M292" i="26"/>
  <c r="M293" i="26"/>
  <c r="M294" i="26"/>
  <c r="M295" i="26"/>
  <c r="M296" i="26"/>
  <c r="M297" i="26"/>
  <c r="M298" i="26"/>
  <c r="M299" i="26"/>
  <c r="M300" i="26"/>
  <c r="M301" i="26"/>
  <c r="M302" i="26"/>
  <c r="M303" i="26"/>
  <c r="M304" i="2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<sst xmlns="http://schemas.openxmlformats.org/spreadsheetml/2006/main" count="330" uniqueCount="101">
  <si>
    <t>age</t>
  </si>
  <si>
    <t>sex</t>
  </si>
  <si>
    <t>chol</t>
  </si>
  <si>
    <t>fbs</t>
  </si>
  <si>
    <t>restecg</t>
  </si>
  <si>
    <t>exang</t>
  </si>
  <si>
    <t>slope</t>
  </si>
  <si>
    <t>thal</t>
  </si>
  <si>
    <t>cpt</t>
  </si>
  <si>
    <t>maxhr</t>
  </si>
  <si>
    <t>?</t>
  </si>
  <si>
    <t>num</t>
  </si>
  <si>
    <t>hd</t>
  </si>
  <si>
    <t>Grand Total</t>
  </si>
  <si>
    <t>Sex</t>
  </si>
  <si>
    <t>Male</t>
  </si>
  <si>
    <t>Female</t>
  </si>
  <si>
    <t>Patients</t>
  </si>
  <si>
    <t>Column Labels</t>
  </si>
  <si>
    <t>(All)</t>
  </si>
  <si>
    <t>Age Group</t>
  </si>
  <si>
    <t>29-38</t>
  </si>
  <si>
    <t>39-48</t>
  </si>
  <si>
    <t>49-58</t>
  </si>
  <si>
    <t>59-68</t>
  </si>
  <si>
    <t>69-78</t>
  </si>
  <si>
    <t>Chest Pain Type</t>
  </si>
  <si>
    <t>Typical Angina</t>
  </si>
  <si>
    <t>Atypical Angina</t>
  </si>
  <si>
    <t>Asymptomatic</t>
  </si>
  <si>
    <t>Non-anginal</t>
  </si>
  <si>
    <t>No Heart Disease</t>
  </si>
  <si>
    <t>filter by sex</t>
  </si>
  <si>
    <t>filter by age group</t>
  </si>
  <si>
    <t>rbp</t>
  </si>
  <si>
    <t>&gt; 120 mg/dL</t>
  </si>
  <si>
    <t>≤ 120 mg/dL</t>
  </si>
  <si>
    <t>% of Patients</t>
  </si>
  <si>
    <t>Normal</t>
  </si>
  <si>
    <t>ST-T Abnormality</t>
  </si>
  <si>
    <t>LV Hypertrophy</t>
  </si>
  <si>
    <t>Rest ECG Category</t>
  </si>
  <si>
    <t>FBS Category</t>
  </si>
  <si>
    <t>Patient Suffers From Exercise-induced Angina</t>
  </si>
  <si>
    <t>No</t>
  </si>
  <si>
    <t>Yes</t>
  </si>
  <si>
    <t>Slope Type</t>
  </si>
  <si>
    <t>Up-sloping</t>
  </si>
  <si>
    <t>Flat</t>
  </si>
  <si>
    <t>Down-sloping</t>
  </si>
  <si>
    <t>Thallium Stress Test Result</t>
  </si>
  <si>
    <t>Fixed Defect</t>
  </si>
  <si>
    <t>Reversible Defect</t>
  </si>
  <si>
    <t>two patients had missing values for thal; which have been hidden from this pivot table</t>
  </si>
  <si>
    <t>Heart Disease Status by Resting Systolic Blood Pressure Group</t>
  </si>
  <si>
    <t>Systolic Blood Pressure Group (mmHg)</t>
  </si>
  <si>
    <t>Heart Disease Status by  Thallium Stress Test Result</t>
  </si>
  <si>
    <t>Heart Disease Status by ST-slope Type</t>
  </si>
  <si>
    <t>Heart Disease Status by Exercised-induced Angina Category</t>
  </si>
  <si>
    <t>Heart Disease Status by Rest ECG Category</t>
  </si>
  <si>
    <t>Heart Disease Status by FBS Category</t>
  </si>
  <si>
    <t>Serum Cholesterol Group (mg/dL)</t>
  </si>
  <si>
    <t>Heart Disease Status by Serum Cholesterol Group</t>
  </si>
  <si>
    <t>&gt;180</t>
  </si>
  <si>
    <t>Normal (90-119)</t>
  </si>
  <si>
    <t>Hypertension (150-180)</t>
  </si>
  <si>
    <t>Severe Hypertension (&gt;180)</t>
  </si>
  <si>
    <t>Raised/Hypertension (120-149)</t>
  </si>
  <si>
    <t>Desirable (&lt;200)</t>
  </si>
  <si>
    <t>Borderline High (200-239)</t>
  </si>
  <si>
    <t>High (&gt;240)</t>
  </si>
  <si>
    <t>Heart Disease Status by Maximum Heart Rate Group</t>
  </si>
  <si>
    <t>Maximum Heart Rate Group (bpm)</t>
  </si>
  <si>
    <t>&lt;100</t>
  </si>
  <si>
    <t>100-119</t>
  </si>
  <si>
    <t>120-139</t>
  </si>
  <si>
    <t>140-159</t>
  </si>
  <si>
    <t>160-180</t>
  </si>
  <si>
    <t>Row Labels</t>
  </si>
  <si>
    <t>Chest Pain Type by Sex</t>
  </si>
  <si>
    <t>Filter by Disease Status</t>
  </si>
  <si>
    <t>Exercise Induced Angina by Sex</t>
  </si>
  <si>
    <t>Doesn't suffer from EIA</t>
  </si>
  <si>
    <t>Suffers Fom EIA</t>
  </si>
  <si>
    <t>Correlation Matrix</t>
  </si>
  <si>
    <t>Variable</t>
  </si>
  <si>
    <t>Age</t>
  </si>
  <si>
    <t>Resting BP</t>
  </si>
  <si>
    <t>Cholesterol</t>
  </si>
  <si>
    <t>Max HR</t>
  </si>
  <si>
    <t>Heart Disease</t>
  </si>
  <si>
    <t>Average of age</t>
  </si>
  <si>
    <t>Average of rbp</t>
  </si>
  <si>
    <t>Average of maxhr</t>
  </si>
  <si>
    <t>Average of chol</t>
  </si>
  <si>
    <t>Averages</t>
  </si>
  <si>
    <t>Quick Overview</t>
  </si>
  <si>
    <t>No Heart Diease</t>
  </si>
  <si>
    <t>Disease Status</t>
  </si>
  <si>
    <t>% of patients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</si>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</sst>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0" applyNumberFormat="1"/>
    <xf numFmtId="0" fontId="0" fillId="0" borderId="10" xfId="0" applyBorder="1" applyAlignment="1">
      <alignment horizontal="left"/>
    </xf>
    <xf numFmtId="0" fontId="0" fillId="0" borderId="10" xfId="0" applyBorder="1"/>
    <xf numFmtId="0" fontId="16" fillId="33" borderId="10" xfId="0" applyFont="1" applyFill="1" applyBorder="1" applyAlignment="1">
      <alignment horizontal="left"/>
    </xf>
    <xf numFmtId="0" fontId="0" fillId="0" borderId="10" xfId="0" pivotButton="1" applyBorder="1"/>
    <xf numFmtId="0" fontId="16" fillId="33" borderId="10" xfId="0" applyFont="1" applyFill="1" applyBorder="1"/>
    <xf numFmtId="164" fontId="0" fillId="0" borderId="0" xfId="0" applyNumberFormat="1"/>
    <xf numFmtId="10" fontId="0" fillId="0" borderId="10" xfId="0" applyNumberFormat="1" applyBorder="1"/>
    <xf numFmtId="0" fontId="0" fillId="34" borderId="0" xfId="0" applyFill="1"/>
    <xf numFmtId="0" fontId="16" fillId="0" borderId="0" xfId="0" applyFont="1"/>
    <xf numFmtId="0" fontId="16" fillId="35" borderId="10" xfId="0" applyFont="1" applyFill="1" applyBorder="1"/>
    <xf numFmtId="0" fontId="0" fillId="33" borderId="10" xfId="0" applyFill="1" applyBorder="1"/>
    <xf numFmtId="165" fontId="0" fillId="0" borderId="10" xfId="0" applyNumberFormat="1" applyBorder="1"/>
    <xf numFmtId="0" fontId="16" fillId="35" borderId="10" xfId="0" applyFont="1" applyFill="1" applyBorder="1" applyAlignment="1">
      <alignment horizontal="left"/>
    </xf>
    <xf numFmtId="0" fontId="16" fillId="35" borderId="13" xfId="0" applyFont="1" applyFill="1" applyBorder="1" applyAlignment="1">
      <alignment horizontal="left"/>
    </xf>
    <xf numFmtId="2" fontId="0" fillId="0" borderId="10" xfId="0" pivotButton="1" applyNumberFormat="1" applyBorder="1"/>
    <xf numFmtId="2" fontId="0" fillId="0" borderId="10" xfId="0" applyNumberFormat="1" applyBorder="1"/>
    <xf numFmtId="2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 indent="1"/>
    </xf>
    <xf numFmtId="0" fontId="0" fillId="33" borderId="10" xfId="0" applyFill="1" applyBorder="1" applyAlignment="1">
      <alignment wrapText="1"/>
    </xf>
    <xf numFmtId="0" fontId="16" fillId="33" borderId="12" xfId="0" applyFont="1" applyFill="1" applyBorder="1" applyAlignment="1">
      <alignment wrapText="1"/>
    </xf>
    <xf numFmtId="0" fontId="16" fillId="33" borderId="11" xfId="0" applyFont="1" applyFill="1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3" borderId="11" xfId="0" applyFont="1" applyFill="1" applyBorder="1" applyAlignment="1">
      <alignment horizontal="left" wrapText="1"/>
    </xf>
    <xf numFmtId="0" fontId="0" fillId="0" borderId="10" xfId="0" applyNumberFormat="1" applyBorder="1"/>
    <xf numFmtId="166" fontId="0" fillId="0" borderId="10" xfId="0" applyNumberFormat="1" applyBorder="1"/>
    <xf numFmtId="164" fontId="0" fillId="0" borderId="10" xfId="0" applyNumberFormat="1" applyBorder="1"/>
    <xf numFmtId="1" fontId="0" fillId="0" borderId="10" xfId="0" applyNumberFormat="1" applyBorder="1"/>
    <xf numFmtId="0" fontId="0" fillId="0" borderId="14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5">
    <dxf>
      <numFmt numFmtId="164" formatCode="0.0"/>
    </dxf>
    <dxf>
      <font>
        <color auto="1"/>
      </font>
      <fill>
        <patternFill>
          <bgColor rgb="FFEE0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E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0.0%"/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rgb="FF92D050"/>
        </patternFill>
      </fill>
    </dxf>
    <dxf>
      <alignment wrapText="1"/>
    </dxf>
    <dxf>
      <numFmt numFmtId="166" formatCode="0.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%"/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alignment wrapText="1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4" formatCode="0.0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numFmt numFmtId="14" formatCode="0.00%"/>
    </dxf>
    <dxf>
      <fill>
        <patternFill patternType="solid">
          <bgColor rgb="FF92D050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fill>
        <patternFill patternType="solid">
          <bgColor rgb="FF92D05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CCFF"/>
      <color rgb="FFEE0000"/>
      <color rgb="FFF80000"/>
      <color rgb="FFEF0000"/>
      <color rgb="FFED2B2B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Serum Cholesterol vs.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cleveland_data!$E$1</c:f>
              <c:strCache>
                <c:ptCount val="1"/>
                <c:pt idx="0">
                  <c:v>chol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cleveland_data!$A$2:$A$304</c:f>
              <c:numCache>
                <c:formatCode>General</c:formatCode>
                <c:ptCount val="303"/>
                <c:pt idx="0">
                  <c:v>63</c:v>
                </c:pt>
                <c:pt idx="1">
                  <c:v>67</c:v>
                </c:pt>
                <c:pt idx="2">
                  <c:v>67</c:v>
                </c:pt>
                <c:pt idx="3">
                  <c:v>37</c:v>
                </c:pt>
                <c:pt idx="4">
                  <c:v>41</c:v>
                </c:pt>
                <c:pt idx="5">
                  <c:v>56</c:v>
                </c:pt>
                <c:pt idx="6">
                  <c:v>62</c:v>
                </c:pt>
                <c:pt idx="7">
                  <c:v>57</c:v>
                </c:pt>
                <c:pt idx="8">
                  <c:v>63</c:v>
                </c:pt>
                <c:pt idx="9">
                  <c:v>53</c:v>
                </c:pt>
                <c:pt idx="10">
                  <c:v>57</c:v>
                </c:pt>
                <c:pt idx="11">
                  <c:v>56</c:v>
                </c:pt>
                <c:pt idx="12">
                  <c:v>56</c:v>
                </c:pt>
                <c:pt idx="13">
                  <c:v>44</c:v>
                </c:pt>
                <c:pt idx="14">
                  <c:v>52</c:v>
                </c:pt>
                <c:pt idx="15">
                  <c:v>57</c:v>
                </c:pt>
                <c:pt idx="16">
                  <c:v>48</c:v>
                </c:pt>
                <c:pt idx="17">
                  <c:v>54</c:v>
                </c:pt>
                <c:pt idx="18">
                  <c:v>48</c:v>
                </c:pt>
                <c:pt idx="19">
                  <c:v>49</c:v>
                </c:pt>
                <c:pt idx="20">
                  <c:v>64</c:v>
                </c:pt>
                <c:pt idx="21">
                  <c:v>58</c:v>
                </c:pt>
                <c:pt idx="22">
                  <c:v>58</c:v>
                </c:pt>
                <c:pt idx="23">
                  <c:v>58</c:v>
                </c:pt>
                <c:pt idx="24">
                  <c:v>60</c:v>
                </c:pt>
                <c:pt idx="25">
                  <c:v>50</c:v>
                </c:pt>
                <c:pt idx="26">
                  <c:v>58</c:v>
                </c:pt>
                <c:pt idx="27">
                  <c:v>66</c:v>
                </c:pt>
                <c:pt idx="28">
                  <c:v>43</c:v>
                </c:pt>
                <c:pt idx="29">
                  <c:v>40</c:v>
                </c:pt>
                <c:pt idx="30">
                  <c:v>69</c:v>
                </c:pt>
                <c:pt idx="31">
                  <c:v>60</c:v>
                </c:pt>
                <c:pt idx="32">
                  <c:v>64</c:v>
                </c:pt>
                <c:pt idx="33">
                  <c:v>59</c:v>
                </c:pt>
                <c:pt idx="34">
                  <c:v>44</c:v>
                </c:pt>
                <c:pt idx="35">
                  <c:v>42</c:v>
                </c:pt>
                <c:pt idx="36">
                  <c:v>43</c:v>
                </c:pt>
                <c:pt idx="37">
                  <c:v>57</c:v>
                </c:pt>
                <c:pt idx="38">
                  <c:v>55</c:v>
                </c:pt>
                <c:pt idx="39">
                  <c:v>61</c:v>
                </c:pt>
                <c:pt idx="40">
                  <c:v>65</c:v>
                </c:pt>
                <c:pt idx="41">
                  <c:v>40</c:v>
                </c:pt>
                <c:pt idx="42">
                  <c:v>71</c:v>
                </c:pt>
                <c:pt idx="43">
                  <c:v>59</c:v>
                </c:pt>
                <c:pt idx="44">
                  <c:v>61</c:v>
                </c:pt>
                <c:pt idx="45">
                  <c:v>58</c:v>
                </c:pt>
                <c:pt idx="46">
                  <c:v>51</c:v>
                </c:pt>
                <c:pt idx="47">
                  <c:v>50</c:v>
                </c:pt>
                <c:pt idx="48">
                  <c:v>65</c:v>
                </c:pt>
                <c:pt idx="49">
                  <c:v>53</c:v>
                </c:pt>
                <c:pt idx="50">
                  <c:v>41</c:v>
                </c:pt>
                <c:pt idx="51">
                  <c:v>65</c:v>
                </c:pt>
                <c:pt idx="52">
                  <c:v>44</c:v>
                </c:pt>
                <c:pt idx="53">
                  <c:v>44</c:v>
                </c:pt>
                <c:pt idx="54">
                  <c:v>60</c:v>
                </c:pt>
                <c:pt idx="55">
                  <c:v>54</c:v>
                </c:pt>
                <c:pt idx="56">
                  <c:v>50</c:v>
                </c:pt>
                <c:pt idx="57">
                  <c:v>41</c:v>
                </c:pt>
                <c:pt idx="58">
                  <c:v>54</c:v>
                </c:pt>
                <c:pt idx="59">
                  <c:v>51</c:v>
                </c:pt>
                <c:pt idx="60">
                  <c:v>51</c:v>
                </c:pt>
                <c:pt idx="61">
                  <c:v>46</c:v>
                </c:pt>
                <c:pt idx="62">
                  <c:v>58</c:v>
                </c:pt>
                <c:pt idx="63">
                  <c:v>54</c:v>
                </c:pt>
                <c:pt idx="64">
                  <c:v>54</c:v>
                </c:pt>
                <c:pt idx="65">
                  <c:v>60</c:v>
                </c:pt>
                <c:pt idx="66">
                  <c:v>60</c:v>
                </c:pt>
                <c:pt idx="67">
                  <c:v>54</c:v>
                </c:pt>
                <c:pt idx="68">
                  <c:v>59</c:v>
                </c:pt>
                <c:pt idx="69">
                  <c:v>46</c:v>
                </c:pt>
                <c:pt idx="70">
                  <c:v>65</c:v>
                </c:pt>
                <c:pt idx="71">
                  <c:v>67</c:v>
                </c:pt>
                <c:pt idx="72">
                  <c:v>62</c:v>
                </c:pt>
                <c:pt idx="73">
                  <c:v>65</c:v>
                </c:pt>
                <c:pt idx="74">
                  <c:v>44</c:v>
                </c:pt>
                <c:pt idx="75">
                  <c:v>65</c:v>
                </c:pt>
                <c:pt idx="76">
                  <c:v>60</c:v>
                </c:pt>
                <c:pt idx="77">
                  <c:v>51</c:v>
                </c:pt>
                <c:pt idx="78">
                  <c:v>48</c:v>
                </c:pt>
                <c:pt idx="79">
                  <c:v>58</c:v>
                </c:pt>
                <c:pt idx="80">
                  <c:v>45</c:v>
                </c:pt>
                <c:pt idx="81">
                  <c:v>53</c:v>
                </c:pt>
                <c:pt idx="82">
                  <c:v>39</c:v>
                </c:pt>
                <c:pt idx="83">
                  <c:v>68</c:v>
                </c:pt>
                <c:pt idx="84">
                  <c:v>52</c:v>
                </c:pt>
                <c:pt idx="85">
                  <c:v>44</c:v>
                </c:pt>
                <c:pt idx="86">
                  <c:v>47</c:v>
                </c:pt>
                <c:pt idx="87">
                  <c:v>53</c:v>
                </c:pt>
                <c:pt idx="88">
                  <c:v>53</c:v>
                </c:pt>
                <c:pt idx="89">
                  <c:v>51</c:v>
                </c:pt>
                <c:pt idx="90">
                  <c:v>66</c:v>
                </c:pt>
                <c:pt idx="91">
                  <c:v>62</c:v>
                </c:pt>
                <c:pt idx="92">
                  <c:v>62</c:v>
                </c:pt>
                <c:pt idx="93">
                  <c:v>44</c:v>
                </c:pt>
                <c:pt idx="94">
                  <c:v>63</c:v>
                </c:pt>
                <c:pt idx="95">
                  <c:v>52</c:v>
                </c:pt>
                <c:pt idx="96">
                  <c:v>59</c:v>
                </c:pt>
                <c:pt idx="97">
                  <c:v>60</c:v>
                </c:pt>
                <c:pt idx="98">
                  <c:v>52</c:v>
                </c:pt>
                <c:pt idx="99">
                  <c:v>48</c:v>
                </c:pt>
                <c:pt idx="100">
                  <c:v>45</c:v>
                </c:pt>
                <c:pt idx="101">
                  <c:v>34</c:v>
                </c:pt>
                <c:pt idx="102">
                  <c:v>57</c:v>
                </c:pt>
                <c:pt idx="103">
                  <c:v>71</c:v>
                </c:pt>
                <c:pt idx="104">
                  <c:v>49</c:v>
                </c:pt>
                <c:pt idx="105">
                  <c:v>54</c:v>
                </c:pt>
                <c:pt idx="106">
                  <c:v>59</c:v>
                </c:pt>
                <c:pt idx="107">
                  <c:v>57</c:v>
                </c:pt>
                <c:pt idx="108">
                  <c:v>61</c:v>
                </c:pt>
                <c:pt idx="109">
                  <c:v>39</c:v>
                </c:pt>
                <c:pt idx="110">
                  <c:v>61</c:v>
                </c:pt>
                <c:pt idx="111">
                  <c:v>56</c:v>
                </c:pt>
                <c:pt idx="112">
                  <c:v>52</c:v>
                </c:pt>
                <c:pt idx="113">
                  <c:v>43</c:v>
                </c:pt>
                <c:pt idx="114">
                  <c:v>62</c:v>
                </c:pt>
                <c:pt idx="115">
                  <c:v>41</c:v>
                </c:pt>
                <c:pt idx="116">
                  <c:v>58</c:v>
                </c:pt>
                <c:pt idx="117">
                  <c:v>35</c:v>
                </c:pt>
                <c:pt idx="118">
                  <c:v>63</c:v>
                </c:pt>
                <c:pt idx="119">
                  <c:v>65</c:v>
                </c:pt>
                <c:pt idx="120">
                  <c:v>48</c:v>
                </c:pt>
                <c:pt idx="121">
                  <c:v>63</c:v>
                </c:pt>
                <c:pt idx="122">
                  <c:v>51</c:v>
                </c:pt>
                <c:pt idx="123">
                  <c:v>55</c:v>
                </c:pt>
                <c:pt idx="124">
                  <c:v>65</c:v>
                </c:pt>
                <c:pt idx="125">
                  <c:v>45</c:v>
                </c:pt>
                <c:pt idx="126">
                  <c:v>56</c:v>
                </c:pt>
                <c:pt idx="127">
                  <c:v>54</c:v>
                </c:pt>
                <c:pt idx="128">
                  <c:v>44</c:v>
                </c:pt>
                <c:pt idx="129">
                  <c:v>62</c:v>
                </c:pt>
                <c:pt idx="130">
                  <c:v>54</c:v>
                </c:pt>
                <c:pt idx="131">
                  <c:v>51</c:v>
                </c:pt>
                <c:pt idx="132">
                  <c:v>29</c:v>
                </c:pt>
                <c:pt idx="133">
                  <c:v>51</c:v>
                </c:pt>
                <c:pt idx="134">
                  <c:v>43</c:v>
                </c:pt>
                <c:pt idx="135">
                  <c:v>55</c:v>
                </c:pt>
                <c:pt idx="136">
                  <c:v>70</c:v>
                </c:pt>
                <c:pt idx="137">
                  <c:v>62</c:v>
                </c:pt>
                <c:pt idx="138">
                  <c:v>35</c:v>
                </c:pt>
                <c:pt idx="139">
                  <c:v>51</c:v>
                </c:pt>
                <c:pt idx="140">
                  <c:v>59</c:v>
                </c:pt>
                <c:pt idx="141">
                  <c:v>59</c:v>
                </c:pt>
                <c:pt idx="142">
                  <c:v>52</c:v>
                </c:pt>
                <c:pt idx="143">
                  <c:v>64</c:v>
                </c:pt>
                <c:pt idx="144">
                  <c:v>58</c:v>
                </c:pt>
                <c:pt idx="145">
                  <c:v>47</c:v>
                </c:pt>
                <c:pt idx="146">
                  <c:v>57</c:v>
                </c:pt>
                <c:pt idx="147">
                  <c:v>41</c:v>
                </c:pt>
                <c:pt idx="148">
                  <c:v>45</c:v>
                </c:pt>
                <c:pt idx="149">
                  <c:v>60</c:v>
                </c:pt>
                <c:pt idx="150">
                  <c:v>52</c:v>
                </c:pt>
                <c:pt idx="151">
                  <c:v>42</c:v>
                </c:pt>
                <c:pt idx="152">
                  <c:v>67</c:v>
                </c:pt>
                <c:pt idx="153">
                  <c:v>55</c:v>
                </c:pt>
                <c:pt idx="154">
                  <c:v>64</c:v>
                </c:pt>
                <c:pt idx="155">
                  <c:v>70</c:v>
                </c:pt>
                <c:pt idx="156">
                  <c:v>51</c:v>
                </c:pt>
                <c:pt idx="157">
                  <c:v>58</c:v>
                </c:pt>
                <c:pt idx="158">
                  <c:v>60</c:v>
                </c:pt>
                <c:pt idx="159">
                  <c:v>68</c:v>
                </c:pt>
                <c:pt idx="160">
                  <c:v>46</c:v>
                </c:pt>
                <c:pt idx="161">
                  <c:v>77</c:v>
                </c:pt>
                <c:pt idx="162">
                  <c:v>54</c:v>
                </c:pt>
                <c:pt idx="163">
                  <c:v>58</c:v>
                </c:pt>
                <c:pt idx="164">
                  <c:v>48</c:v>
                </c:pt>
                <c:pt idx="165">
                  <c:v>57</c:v>
                </c:pt>
                <c:pt idx="166">
                  <c:v>52</c:v>
                </c:pt>
                <c:pt idx="167">
                  <c:v>54</c:v>
                </c:pt>
                <c:pt idx="168">
                  <c:v>35</c:v>
                </c:pt>
                <c:pt idx="169">
                  <c:v>45</c:v>
                </c:pt>
                <c:pt idx="170">
                  <c:v>70</c:v>
                </c:pt>
                <c:pt idx="171">
                  <c:v>53</c:v>
                </c:pt>
                <c:pt idx="172">
                  <c:v>59</c:v>
                </c:pt>
                <c:pt idx="173">
                  <c:v>62</c:v>
                </c:pt>
                <c:pt idx="174">
                  <c:v>64</c:v>
                </c:pt>
                <c:pt idx="175">
                  <c:v>57</c:v>
                </c:pt>
                <c:pt idx="176">
                  <c:v>52</c:v>
                </c:pt>
                <c:pt idx="177">
                  <c:v>56</c:v>
                </c:pt>
                <c:pt idx="178">
                  <c:v>43</c:v>
                </c:pt>
                <c:pt idx="179">
                  <c:v>53</c:v>
                </c:pt>
                <c:pt idx="180">
                  <c:v>48</c:v>
                </c:pt>
                <c:pt idx="181">
                  <c:v>56</c:v>
                </c:pt>
                <c:pt idx="182">
                  <c:v>42</c:v>
                </c:pt>
                <c:pt idx="183">
                  <c:v>59</c:v>
                </c:pt>
                <c:pt idx="184">
                  <c:v>60</c:v>
                </c:pt>
                <c:pt idx="185">
                  <c:v>63</c:v>
                </c:pt>
                <c:pt idx="186">
                  <c:v>42</c:v>
                </c:pt>
                <c:pt idx="187">
                  <c:v>66</c:v>
                </c:pt>
                <c:pt idx="188">
                  <c:v>54</c:v>
                </c:pt>
                <c:pt idx="189">
                  <c:v>69</c:v>
                </c:pt>
                <c:pt idx="190">
                  <c:v>50</c:v>
                </c:pt>
                <c:pt idx="191">
                  <c:v>51</c:v>
                </c:pt>
                <c:pt idx="192">
                  <c:v>43</c:v>
                </c:pt>
                <c:pt idx="193">
                  <c:v>62</c:v>
                </c:pt>
                <c:pt idx="194">
                  <c:v>68</c:v>
                </c:pt>
                <c:pt idx="195">
                  <c:v>67</c:v>
                </c:pt>
                <c:pt idx="196">
                  <c:v>69</c:v>
                </c:pt>
                <c:pt idx="197">
                  <c:v>45</c:v>
                </c:pt>
                <c:pt idx="198">
                  <c:v>50</c:v>
                </c:pt>
                <c:pt idx="199">
                  <c:v>59</c:v>
                </c:pt>
                <c:pt idx="200">
                  <c:v>50</c:v>
                </c:pt>
                <c:pt idx="201">
                  <c:v>64</c:v>
                </c:pt>
                <c:pt idx="202">
                  <c:v>57</c:v>
                </c:pt>
                <c:pt idx="203">
                  <c:v>64</c:v>
                </c:pt>
                <c:pt idx="204">
                  <c:v>43</c:v>
                </c:pt>
                <c:pt idx="205">
                  <c:v>45</c:v>
                </c:pt>
                <c:pt idx="206">
                  <c:v>58</c:v>
                </c:pt>
                <c:pt idx="207">
                  <c:v>50</c:v>
                </c:pt>
                <c:pt idx="208">
                  <c:v>55</c:v>
                </c:pt>
                <c:pt idx="209">
                  <c:v>62</c:v>
                </c:pt>
                <c:pt idx="210">
                  <c:v>37</c:v>
                </c:pt>
                <c:pt idx="211">
                  <c:v>38</c:v>
                </c:pt>
                <c:pt idx="212">
                  <c:v>41</c:v>
                </c:pt>
                <c:pt idx="213">
                  <c:v>66</c:v>
                </c:pt>
                <c:pt idx="214">
                  <c:v>52</c:v>
                </c:pt>
                <c:pt idx="215">
                  <c:v>56</c:v>
                </c:pt>
                <c:pt idx="216">
                  <c:v>46</c:v>
                </c:pt>
                <c:pt idx="217">
                  <c:v>46</c:v>
                </c:pt>
                <c:pt idx="218">
                  <c:v>64</c:v>
                </c:pt>
                <c:pt idx="219">
                  <c:v>59</c:v>
                </c:pt>
                <c:pt idx="220">
                  <c:v>41</c:v>
                </c:pt>
                <c:pt idx="221">
                  <c:v>54</c:v>
                </c:pt>
                <c:pt idx="222">
                  <c:v>39</c:v>
                </c:pt>
                <c:pt idx="223">
                  <c:v>53</c:v>
                </c:pt>
                <c:pt idx="224">
                  <c:v>63</c:v>
                </c:pt>
                <c:pt idx="225">
                  <c:v>34</c:v>
                </c:pt>
                <c:pt idx="226">
                  <c:v>47</c:v>
                </c:pt>
                <c:pt idx="227">
                  <c:v>67</c:v>
                </c:pt>
                <c:pt idx="228">
                  <c:v>54</c:v>
                </c:pt>
                <c:pt idx="229">
                  <c:v>66</c:v>
                </c:pt>
                <c:pt idx="230">
                  <c:v>52</c:v>
                </c:pt>
                <c:pt idx="231">
                  <c:v>55</c:v>
                </c:pt>
                <c:pt idx="232">
                  <c:v>49</c:v>
                </c:pt>
                <c:pt idx="233">
                  <c:v>74</c:v>
                </c:pt>
                <c:pt idx="234">
                  <c:v>54</c:v>
                </c:pt>
                <c:pt idx="235">
                  <c:v>54</c:v>
                </c:pt>
                <c:pt idx="236">
                  <c:v>56</c:v>
                </c:pt>
                <c:pt idx="237">
                  <c:v>46</c:v>
                </c:pt>
                <c:pt idx="238">
                  <c:v>49</c:v>
                </c:pt>
                <c:pt idx="239">
                  <c:v>42</c:v>
                </c:pt>
                <c:pt idx="240">
                  <c:v>41</c:v>
                </c:pt>
                <c:pt idx="241">
                  <c:v>41</c:v>
                </c:pt>
                <c:pt idx="242">
                  <c:v>49</c:v>
                </c:pt>
                <c:pt idx="243">
                  <c:v>61</c:v>
                </c:pt>
                <c:pt idx="244">
                  <c:v>60</c:v>
                </c:pt>
                <c:pt idx="245">
                  <c:v>67</c:v>
                </c:pt>
                <c:pt idx="246">
                  <c:v>58</c:v>
                </c:pt>
                <c:pt idx="247">
                  <c:v>47</c:v>
                </c:pt>
                <c:pt idx="248">
                  <c:v>52</c:v>
                </c:pt>
                <c:pt idx="249">
                  <c:v>62</c:v>
                </c:pt>
                <c:pt idx="250">
                  <c:v>57</c:v>
                </c:pt>
                <c:pt idx="251">
                  <c:v>58</c:v>
                </c:pt>
                <c:pt idx="252">
                  <c:v>64</c:v>
                </c:pt>
                <c:pt idx="253">
                  <c:v>51</c:v>
                </c:pt>
                <c:pt idx="254">
                  <c:v>43</c:v>
                </c:pt>
                <c:pt idx="255">
                  <c:v>42</c:v>
                </c:pt>
                <c:pt idx="256">
                  <c:v>67</c:v>
                </c:pt>
                <c:pt idx="257">
                  <c:v>76</c:v>
                </c:pt>
                <c:pt idx="258">
                  <c:v>70</c:v>
                </c:pt>
                <c:pt idx="259">
                  <c:v>57</c:v>
                </c:pt>
                <c:pt idx="260">
                  <c:v>44</c:v>
                </c:pt>
                <c:pt idx="261">
                  <c:v>58</c:v>
                </c:pt>
                <c:pt idx="262">
                  <c:v>60</c:v>
                </c:pt>
                <c:pt idx="263">
                  <c:v>44</c:v>
                </c:pt>
                <c:pt idx="264">
                  <c:v>61</c:v>
                </c:pt>
                <c:pt idx="265">
                  <c:v>42</c:v>
                </c:pt>
                <c:pt idx="266">
                  <c:v>52</c:v>
                </c:pt>
                <c:pt idx="267">
                  <c:v>59</c:v>
                </c:pt>
                <c:pt idx="268">
                  <c:v>40</c:v>
                </c:pt>
                <c:pt idx="269">
                  <c:v>42</c:v>
                </c:pt>
                <c:pt idx="270">
                  <c:v>61</c:v>
                </c:pt>
                <c:pt idx="271">
                  <c:v>66</c:v>
                </c:pt>
                <c:pt idx="272">
                  <c:v>46</c:v>
                </c:pt>
                <c:pt idx="273">
                  <c:v>71</c:v>
                </c:pt>
                <c:pt idx="274">
                  <c:v>59</c:v>
                </c:pt>
                <c:pt idx="275">
                  <c:v>64</c:v>
                </c:pt>
                <c:pt idx="276">
                  <c:v>66</c:v>
                </c:pt>
                <c:pt idx="277">
                  <c:v>39</c:v>
                </c:pt>
                <c:pt idx="278">
                  <c:v>57</c:v>
                </c:pt>
                <c:pt idx="279">
                  <c:v>58</c:v>
                </c:pt>
                <c:pt idx="280">
                  <c:v>57</c:v>
                </c:pt>
                <c:pt idx="281">
                  <c:v>47</c:v>
                </c:pt>
                <c:pt idx="282">
                  <c:v>55</c:v>
                </c:pt>
                <c:pt idx="283">
                  <c:v>35</c:v>
                </c:pt>
                <c:pt idx="284">
                  <c:v>61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56</c:v>
                </c:pt>
                <c:pt idx="289">
                  <c:v>56</c:v>
                </c:pt>
                <c:pt idx="290">
                  <c:v>67</c:v>
                </c:pt>
                <c:pt idx="291">
                  <c:v>55</c:v>
                </c:pt>
                <c:pt idx="292">
                  <c:v>44</c:v>
                </c:pt>
                <c:pt idx="293">
                  <c:v>63</c:v>
                </c:pt>
                <c:pt idx="294">
                  <c:v>63</c:v>
                </c:pt>
                <c:pt idx="295">
                  <c:v>41</c:v>
                </c:pt>
                <c:pt idx="296">
                  <c:v>59</c:v>
                </c:pt>
                <c:pt idx="297">
                  <c:v>57</c:v>
                </c:pt>
                <c:pt idx="298">
                  <c:v>45</c:v>
                </c:pt>
                <c:pt idx="299">
                  <c:v>68</c:v>
                </c:pt>
                <c:pt idx="300">
                  <c:v>57</c:v>
                </c:pt>
                <c:pt idx="301">
                  <c:v>57</c:v>
                </c:pt>
                <c:pt idx="302">
                  <c:v>38</c:v>
                </c:pt>
              </c:numCache>
            </c:numRef>
          </c:xVal>
          <c:yVal>
            <c:numRef>
              <c:f>cleveland_data!$E$2:$E$304</c:f>
              <c:numCache>
                <c:formatCode>General</c:formatCode>
                <c:ptCount val="303"/>
                <c:pt idx="0">
                  <c:v>233</c:v>
                </c:pt>
                <c:pt idx="1">
                  <c:v>286</c:v>
                </c:pt>
                <c:pt idx="2">
                  <c:v>229</c:v>
                </c:pt>
                <c:pt idx="3">
                  <c:v>250</c:v>
                </c:pt>
                <c:pt idx="4">
                  <c:v>204</c:v>
                </c:pt>
                <c:pt idx="5">
                  <c:v>236</c:v>
                </c:pt>
                <c:pt idx="6">
                  <c:v>268</c:v>
                </c:pt>
                <c:pt idx="7">
                  <c:v>354</c:v>
                </c:pt>
                <c:pt idx="8">
                  <c:v>254</c:v>
                </c:pt>
                <c:pt idx="9">
                  <c:v>203</c:v>
                </c:pt>
                <c:pt idx="10">
                  <c:v>192</c:v>
                </c:pt>
                <c:pt idx="11">
                  <c:v>294</c:v>
                </c:pt>
                <c:pt idx="12">
                  <c:v>256</c:v>
                </c:pt>
                <c:pt idx="13">
                  <c:v>263</c:v>
                </c:pt>
                <c:pt idx="14">
                  <c:v>199</c:v>
                </c:pt>
                <c:pt idx="15">
                  <c:v>168</c:v>
                </c:pt>
                <c:pt idx="16">
                  <c:v>229</c:v>
                </c:pt>
                <c:pt idx="17">
                  <c:v>239</c:v>
                </c:pt>
                <c:pt idx="18">
                  <c:v>275</c:v>
                </c:pt>
                <c:pt idx="19">
                  <c:v>266</c:v>
                </c:pt>
                <c:pt idx="20">
                  <c:v>211</c:v>
                </c:pt>
                <c:pt idx="21">
                  <c:v>283</c:v>
                </c:pt>
                <c:pt idx="22">
                  <c:v>284</c:v>
                </c:pt>
                <c:pt idx="23">
                  <c:v>224</c:v>
                </c:pt>
                <c:pt idx="24">
                  <c:v>206</c:v>
                </c:pt>
                <c:pt idx="25">
                  <c:v>219</c:v>
                </c:pt>
                <c:pt idx="26">
                  <c:v>340</c:v>
                </c:pt>
                <c:pt idx="27">
                  <c:v>226</c:v>
                </c:pt>
                <c:pt idx="28">
                  <c:v>247</c:v>
                </c:pt>
                <c:pt idx="29">
                  <c:v>167</c:v>
                </c:pt>
                <c:pt idx="30">
                  <c:v>239</c:v>
                </c:pt>
                <c:pt idx="31">
                  <c:v>230</c:v>
                </c:pt>
                <c:pt idx="32">
                  <c:v>335</c:v>
                </c:pt>
                <c:pt idx="33">
                  <c:v>234</c:v>
                </c:pt>
                <c:pt idx="34">
                  <c:v>233</c:v>
                </c:pt>
                <c:pt idx="35">
                  <c:v>226</c:v>
                </c:pt>
                <c:pt idx="36">
                  <c:v>177</c:v>
                </c:pt>
                <c:pt idx="37">
                  <c:v>276</c:v>
                </c:pt>
                <c:pt idx="38">
                  <c:v>353</c:v>
                </c:pt>
                <c:pt idx="39">
                  <c:v>243</c:v>
                </c:pt>
                <c:pt idx="40">
                  <c:v>225</c:v>
                </c:pt>
                <c:pt idx="41">
                  <c:v>199</c:v>
                </c:pt>
                <c:pt idx="42">
                  <c:v>302</c:v>
                </c:pt>
                <c:pt idx="43">
                  <c:v>212</c:v>
                </c:pt>
                <c:pt idx="44">
                  <c:v>330</c:v>
                </c:pt>
                <c:pt idx="45">
                  <c:v>230</c:v>
                </c:pt>
                <c:pt idx="46">
                  <c:v>175</c:v>
                </c:pt>
                <c:pt idx="47">
                  <c:v>243</c:v>
                </c:pt>
                <c:pt idx="48">
                  <c:v>417</c:v>
                </c:pt>
                <c:pt idx="49">
                  <c:v>197</c:v>
                </c:pt>
                <c:pt idx="50">
                  <c:v>198</c:v>
                </c:pt>
                <c:pt idx="51">
                  <c:v>177</c:v>
                </c:pt>
                <c:pt idx="52">
                  <c:v>290</c:v>
                </c:pt>
                <c:pt idx="53">
                  <c:v>219</c:v>
                </c:pt>
                <c:pt idx="54">
                  <c:v>253</c:v>
                </c:pt>
                <c:pt idx="55">
                  <c:v>266</c:v>
                </c:pt>
                <c:pt idx="56">
                  <c:v>233</c:v>
                </c:pt>
                <c:pt idx="57">
                  <c:v>172</c:v>
                </c:pt>
                <c:pt idx="58">
                  <c:v>273</c:v>
                </c:pt>
                <c:pt idx="59">
                  <c:v>213</c:v>
                </c:pt>
                <c:pt idx="60">
                  <c:v>305</c:v>
                </c:pt>
                <c:pt idx="61">
                  <c:v>177</c:v>
                </c:pt>
                <c:pt idx="62">
                  <c:v>216</c:v>
                </c:pt>
                <c:pt idx="63">
                  <c:v>304</c:v>
                </c:pt>
                <c:pt idx="64">
                  <c:v>188</c:v>
                </c:pt>
                <c:pt idx="65">
                  <c:v>282</c:v>
                </c:pt>
                <c:pt idx="66">
                  <c:v>185</c:v>
                </c:pt>
                <c:pt idx="67">
                  <c:v>232</c:v>
                </c:pt>
                <c:pt idx="68">
                  <c:v>326</c:v>
                </c:pt>
                <c:pt idx="69">
                  <c:v>231</c:v>
                </c:pt>
                <c:pt idx="70">
                  <c:v>269</c:v>
                </c:pt>
                <c:pt idx="71">
                  <c:v>254</c:v>
                </c:pt>
                <c:pt idx="72">
                  <c:v>267</c:v>
                </c:pt>
                <c:pt idx="73">
                  <c:v>248</c:v>
                </c:pt>
                <c:pt idx="74">
                  <c:v>197</c:v>
                </c:pt>
                <c:pt idx="75">
                  <c:v>360</c:v>
                </c:pt>
                <c:pt idx="76">
                  <c:v>258</c:v>
                </c:pt>
                <c:pt idx="77">
                  <c:v>308</c:v>
                </c:pt>
                <c:pt idx="78">
                  <c:v>245</c:v>
                </c:pt>
                <c:pt idx="79">
                  <c:v>270</c:v>
                </c:pt>
                <c:pt idx="80">
                  <c:v>208</c:v>
                </c:pt>
                <c:pt idx="81">
                  <c:v>264</c:v>
                </c:pt>
                <c:pt idx="82">
                  <c:v>321</c:v>
                </c:pt>
                <c:pt idx="83">
                  <c:v>274</c:v>
                </c:pt>
                <c:pt idx="84">
                  <c:v>325</c:v>
                </c:pt>
                <c:pt idx="85">
                  <c:v>235</c:v>
                </c:pt>
                <c:pt idx="86">
                  <c:v>257</c:v>
                </c:pt>
                <c:pt idx="87">
                  <c:v>216</c:v>
                </c:pt>
                <c:pt idx="88">
                  <c:v>234</c:v>
                </c:pt>
                <c:pt idx="89">
                  <c:v>256</c:v>
                </c:pt>
                <c:pt idx="90">
                  <c:v>302</c:v>
                </c:pt>
                <c:pt idx="91">
                  <c:v>164</c:v>
                </c:pt>
                <c:pt idx="92">
                  <c:v>231</c:v>
                </c:pt>
                <c:pt idx="93">
                  <c:v>141</c:v>
                </c:pt>
                <c:pt idx="94">
                  <c:v>252</c:v>
                </c:pt>
                <c:pt idx="95">
                  <c:v>255</c:v>
                </c:pt>
                <c:pt idx="96">
                  <c:v>239</c:v>
                </c:pt>
                <c:pt idx="97">
                  <c:v>258</c:v>
                </c:pt>
                <c:pt idx="98">
                  <c:v>201</c:v>
                </c:pt>
                <c:pt idx="99">
                  <c:v>222</c:v>
                </c:pt>
                <c:pt idx="100">
                  <c:v>260</c:v>
                </c:pt>
                <c:pt idx="101">
                  <c:v>182</c:v>
                </c:pt>
                <c:pt idx="102">
                  <c:v>303</c:v>
                </c:pt>
                <c:pt idx="103">
                  <c:v>265</c:v>
                </c:pt>
                <c:pt idx="104">
                  <c:v>188</c:v>
                </c:pt>
                <c:pt idx="105">
                  <c:v>309</c:v>
                </c:pt>
                <c:pt idx="106">
                  <c:v>177</c:v>
                </c:pt>
                <c:pt idx="107">
                  <c:v>229</c:v>
                </c:pt>
                <c:pt idx="108">
                  <c:v>260</c:v>
                </c:pt>
                <c:pt idx="109">
                  <c:v>219</c:v>
                </c:pt>
                <c:pt idx="110">
                  <c:v>307</c:v>
                </c:pt>
                <c:pt idx="111">
                  <c:v>249</c:v>
                </c:pt>
                <c:pt idx="112">
                  <c:v>186</c:v>
                </c:pt>
                <c:pt idx="113">
                  <c:v>341</c:v>
                </c:pt>
                <c:pt idx="114">
                  <c:v>263</c:v>
                </c:pt>
                <c:pt idx="115">
                  <c:v>203</c:v>
                </c:pt>
                <c:pt idx="116">
                  <c:v>211</c:v>
                </c:pt>
                <c:pt idx="117">
                  <c:v>183</c:v>
                </c:pt>
                <c:pt idx="118">
                  <c:v>330</c:v>
                </c:pt>
                <c:pt idx="119">
                  <c:v>254</c:v>
                </c:pt>
                <c:pt idx="120">
                  <c:v>256</c:v>
                </c:pt>
                <c:pt idx="121">
                  <c:v>407</c:v>
                </c:pt>
                <c:pt idx="122">
                  <c:v>222</c:v>
                </c:pt>
                <c:pt idx="123">
                  <c:v>217</c:v>
                </c:pt>
                <c:pt idx="124">
                  <c:v>282</c:v>
                </c:pt>
                <c:pt idx="125">
                  <c:v>234</c:v>
                </c:pt>
                <c:pt idx="126">
                  <c:v>288</c:v>
                </c:pt>
                <c:pt idx="127">
                  <c:v>239</c:v>
                </c:pt>
                <c:pt idx="128">
                  <c:v>220</c:v>
                </c:pt>
                <c:pt idx="129">
                  <c:v>209</c:v>
                </c:pt>
                <c:pt idx="130">
                  <c:v>258</c:v>
                </c:pt>
                <c:pt idx="131">
                  <c:v>227</c:v>
                </c:pt>
                <c:pt idx="132">
                  <c:v>204</c:v>
                </c:pt>
                <c:pt idx="133">
                  <c:v>261</c:v>
                </c:pt>
                <c:pt idx="134">
                  <c:v>213</c:v>
                </c:pt>
                <c:pt idx="135">
                  <c:v>250</c:v>
                </c:pt>
                <c:pt idx="136">
                  <c:v>174</c:v>
                </c:pt>
                <c:pt idx="137">
                  <c:v>281</c:v>
                </c:pt>
                <c:pt idx="138">
                  <c:v>198</c:v>
                </c:pt>
                <c:pt idx="139">
                  <c:v>245</c:v>
                </c:pt>
                <c:pt idx="140">
                  <c:v>221</c:v>
                </c:pt>
                <c:pt idx="141">
                  <c:v>288</c:v>
                </c:pt>
                <c:pt idx="142">
                  <c:v>205</c:v>
                </c:pt>
                <c:pt idx="143">
                  <c:v>309</c:v>
                </c:pt>
                <c:pt idx="144">
                  <c:v>240</c:v>
                </c:pt>
                <c:pt idx="145">
                  <c:v>243</c:v>
                </c:pt>
                <c:pt idx="146">
                  <c:v>289</c:v>
                </c:pt>
                <c:pt idx="147">
                  <c:v>250</c:v>
                </c:pt>
                <c:pt idx="148">
                  <c:v>308</c:v>
                </c:pt>
                <c:pt idx="149">
                  <c:v>318</c:v>
                </c:pt>
                <c:pt idx="150">
                  <c:v>298</c:v>
                </c:pt>
                <c:pt idx="151">
                  <c:v>265</c:v>
                </c:pt>
                <c:pt idx="152">
                  <c:v>564</c:v>
                </c:pt>
                <c:pt idx="153">
                  <c:v>289</c:v>
                </c:pt>
                <c:pt idx="154">
                  <c:v>246</c:v>
                </c:pt>
                <c:pt idx="155">
                  <c:v>322</c:v>
                </c:pt>
                <c:pt idx="156">
                  <c:v>299</c:v>
                </c:pt>
                <c:pt idx="157">
                  <c:v>300</c:v>
                </c:pt>
                <c:pt idx="158">
                  <c:v>293</c:v>
                </c:pt>
                <c:pt idx="159">
                  <c:v>277</c:v>
                </c:pt>
                <c:pt idx="160">
                  <c:v>197</c:v>
                </c:pt>
                <c:pt idx="161">
                  <c:v>304</c:v>
                </c:pt>
                <c:pt idx="162">
                  <c:v>214</c:v>
                </c:pt>
                <c:pt idx="163">
                  <c:v>248</c:v>
                </c:pt>
                <c:pt idx="164">
                  <c:v>255</c:v>
                </c:pt>
                <c:pt idx="165">
                  <c:v>207</c:v>
                </c:pt>
                <c:pt idx="166">
                  <c:v>223</c:v>
                </c:pt>
                <c:pt idx="167">
                  <c:v>288</c:v>
                </c:pt>
                <c:pt idx="168">
                  <c:v>282</c:v>
                </c:pt>
                <c:pt idx="169">
                  <c:v>160</c:v>
                </c:pt>
                <c:pt idx="170">
                  <c:v>269</c:v>
                </c:pt>
                <c:pt idx="171">
                  <c:v>226</c:v>
                </c:pt>
                <c:pt idx="172">
                  <c:v>249</c:v>
                </c:pt>
                <c:pt idx="173">
                  <c:v>394</c:v>
                </c:pt>
                <c:pt idx="174">
                  <c:v>212</c:v>
                </c:pt>
                <c:pt idx="175">
                  <c:v>274</c:v>
                </c:pt>
                <c:pt idx="176">
                  <c:v>233</c:v>
                </c:pt>
                <c:pt idx="177">
                  <c:v>184</c:v>
                </c:pt>
                <c:pt idx="178">
                  <c:v>315</c:v>
                </c:pt>
                <c:pt idx="179">
                  <c:v>246</c:v>
                </c:pt>
                <c:pt idx="180">
                  <c:v>274</c:v>
                </c:pt>
                <c:pt idx="181">
                  <c:v>409</c:v>
                </c:pt>
                <c:pt idx="182">
                  <c:v>244</c:v>
                </c:pt>
                <c:pt idx="183">
                  <c:v>270</c:v>
                </c:pt>
                <c:pt idx="184">
                  <c:v>305</c:v>
                </c:pt>
                <c:pt idx="185">
                  <c:v>195</c:v>
                </c:pt>
                <c:pt idx="186">
                  <c:v>240</c:v>
                </c:pt>
                <c:pt idx="187">
                  <c:v>246</c:v>
                </c:pt>
                <c:pt idx="188">
                  <c:v>283</c:v>
                </c:pt>
                <c:pt idx="189">
                  <c:v>254</c:v>
                </c:pt>
                <c:pt idx="190">
                  <c:v>196</c:v>
                </c:pt>
                <c:pt idx="191">
                  <c:v>298</c:v>
                </c:pt>
                <c:pt idx="192">
                  <c:v>247</c:v>
                </c:pt>
                <c:pt idx="193">
                  <c:v>294</c:v>
                </c:pt>
                <c:pt idx="194">
                  <c:v>211</c:v>
                </c:pt>
                <c:pt idx="195">
                  <c:v>299</c:v>
                </c:pt>
                <c:pt idx="196">
                  <c:v>234</c:v>
                </c:pt>
                <c:pt idx="197">
                  <c:v>236</c:v>
                </c:pt>
                <c:pt idx="198">
                  <c:v>244</c:v>
                </c:pt>
                <c:pt idx="199">
                  <c:v>273</c:v>
                </c:pt>
                <c:pt idx="200">
                  <c:v>254</c:v>
                </c:pt>
                <c:pt idx="201">
                  <c:v>325</c:v>
                </c:pt>
                <c:pt idx="202">
                  <c:v>126</c:v>
                </c:pt>
                <c:pt idx="203">
                  <c:v>313</c:v>
                </c:pt>
                <c:pt idx="204">
                  <c:v>211</c:v>
                </c:pt>
                <c:pt idx="205">
                  <c:v>309</c:v>
                </c:pt>
                <c:pt idx="206">
                  <c:v>259</c:v>
                </c:pt>
                <c:pt idx="207">
                  <c:v>200</c:v>
                </c:pt>
                <c:pt idx="208">
                  <c:v>262</c:v>
                </c:pt>
                <c:pt idx="209">
                  <c:v>244</c:v>
                </c:pt>
                <c:pt idx="210">
                  <c:v>215</c:v>
                </c:pt>
                <c:pt idx="211">
                  <c:v>231</c:v>
                </c:pt>
                <c:pt idx="212">
                  <c:v>214</c:v>
                </c:pt>
                <c:pt idx="213">
                  <c:v>228</c:v>
                </c:pt>
                <c:pt idx="214">
                  <c:v>230</c:v>
                </c:pt>
                <c:pt idx="215">
                  <c:v>193</c:v>
                </c:pt>
                <c:pt idx="216">
                  <c:v>204</c:v>
                </c:pt>
                <c:pt idx="217">
                  <c:v>243</c:v>
                </c:pt>
                <c:pt idx="218">
                  <c:v>303</c:v>
                </c:pt>
                <c:pt idx="219">
                  <c:v>271</c:v>
                </c:pt>
                <c:pt idx="220">
                  <c:v>268</c:v>
                </c:pt>
                <c:pt idx="221">
                  <c:v>267</c:v>
                </c:pt>
                <c:pt idx="222">
                  <c:v>199</c:v>
                </c:pt>
                <c:pt idx="223">
                  <c:v>282</c:v>
                </c:pt>
                <c:pt idx="224">
                  <c:v>269</c:v>
                </c:pt>
                <c:pt idx="225">
                  <c:v>210</c:v>
                </c:pt>
                <c:pt idx="226">
                  <c:v>204</c:v>
                </c:pt>
                <c:pt idx="227">
                  <c:v>277</c:v>
                </c:pt>
                <c:pt idx="228">
                  <c:v>206</c:v>
                </c:pt>
                <c:pt idx="229">
                  <c:v>212</c:v>
                </c:pt>
                <c:pt idx="230">
                  <c:v>196</c:v>
                </c:pt>
                <c:pt idx="231">
                  <c:v>327</c:v>
                </c:pt>
                <c:pt idx="232">
                  <c:v>149</c:v>
                </c:pt>
                <c:pt idx="233">
                  <c:v>269</c:v>
                </c:pt>
                <c:pt idx="234">
                  <c:v>201</c:v>
                </c:pt>
                <c:pt idx="235">
                  <c:v>286</c:v>
                </c:pt>
                <c:pt idx="236">
                  <c:v>283</c:v>
                </c:pt>
                <c:pt idx="237">
                  <c:v>249</c:v>
                </c:pt>
                <c:pt idx="238">
                  <c:v>271</c:v>
                </c:pt>
                <c:pt idx="239">
                  <c:v>295</c:v>
                </c:pt>
                <c:pt idx="240">
                  <c:v>235</c:v>
                </c:pt>
                <c:pt idx="241">
                  <c:v>306</c:v>
                </c:pt>
                <c:pt idx="242">
                  <c:v>269</c:v>
                </c:pt>
                <c:pt idx="243">
                  <c:v>234</c:v>
                </c:pt>
                <c:pt idx="244">
                  <c:v>178</c:v>
                </c:pt>
                <c:pt idx="245">
                  <c:v>237</c:v>
                </c:pt>
                <c:pt idx="246">
                  <c:v>234</c:v>
                </c:pt>
                <c:pt idx="247">
                  <c:v>275</c:v>
                </c:pt>
                <c:pt idx="248">
                  <c:v>212</c:v>
                </c:pt>
                <c:pt idx="249">
                  <c:v>208</c:v>
                </c:pt>
                <c:pt idx="250">
                  <c:v>201</c:v>
                </c:pt>
                <c:pt idx="251">
                  <c:v>218</c:v>
                </c:pt>
                <c:pt idx="252">
                  <c:v>263</c:v>
                </c:pt>
                <c:pt idx="253">
                  <c:v>295</c:v>
                </c:pt>
                <c:pt idx="254">
                  <c:v>303</c:v>
                </c:pt>
                <c:pt idx="255">
                  <c:v>209</c:v>
                </c:pt>
                <c:pt idx="256">
                  <c:v>223</c:v>
                </c:pt>
                <c:pt idx="257">
                  <c:v>197</c:v>
                </c:pt>
                <c:pt idx="258">
                  <c:v>245</c:v>
                </c:pt>
                <c:pt idx="259">
                  <c:v>261</c:v>
                </c:pt>
                <c:pt idx="260">
                  <c:v>242</c:v>
                </c:pt>
                <c:pt idx="261">
                  <c:v>319</c:v>
                </c:pt>
                <c:pt idx="262">
                  <c:v>240</c:v>
                </c:pt>
                <c:pt idx="263">
                  <c:v>226</c:v>
                </c:pt>
                <c:pt idx="264">
                  <c:v>166</c:v>
                </c:pt>
                <c:pt idx="265">
                  <c:v>315</c:v>
                </c:pt>
                <c:pt idx="266">
                  <c:v>204</c:v>
                </c:pt>
                <c:pt idx="267">
                  <c:v>218</c:v>
                </c:pt>
                <c:pt idx="268">
                  <c:v>223</c:v>
                </c:pt>
                <c:pt idx="269">
                  <c:v>180</c:v>
                </c:pt>
                <c:pt idx="270">
                  <c:v>207</c:v>
                </c:pt>
                <c:pt idx="271">
                  <c:v>228</c:v>
                </c:pt>
                <c:pt idx="272">
                  <c:v>311</c:v>
                </c:pt>
                <c:pt idx="273">
                  <c:v>149</c:v>
                </c:pt>
                <c:pt idx="274">
                  <c:v>204</c:v>
                </c:pt>
                <c:pt idx="275">
                  <c:v>227</c:v>
                </c:pt>
                <c:pt idx="276">
                  <c:v>278</c:v>
                </c:pt>
                <c:pt idx="277">
                  <c:v>220</c:v>
                </c:pt>
                <c:pt idx="278">
                  <c:v>232</c:v>
                </c:pt>
                <c:pt idx="279">
                  <c:v>197</c:v>
                </c:pt>
                <c:pt idx="280">
                  <c:v>335</c:v>
                </c:pt>
                <c:pt idx="281">
                  <c:v>253</c:v>
                </c:pt>
                <c:pt idx="282">
                  <c:v>205</c:v>
                </c:pt>
                <c:pt idx="283">
                  <c:v>192</c:v>
                </c:pt>
                <c:pt idx="284">
                  <c:v>203</c:v>
                </c:pt>
                <c:pt idx="285">
                  <c:v>318</c:v>
                </c:pt>
                <c:pt idx="286">
                  <c:v>225</c:v>
                </c:pt>
                <c:pt idx="287">
                  <c:v>220</c:v>
                </c:pt>
                <c:pt idx="288">
                  <c:v>221</c:v>
                </c:pt>
                <c:pt idx="289">
                  <c:v>240</c:v>
                </c:pt>
                <c:pt idx="290">
                  <c:v>212</c:v>
                </c:pt>
                <c:pt idx="291">
                  <c:v>342</c:v>
                </c:pt>
                <c:pt idx="292">
                  <c:v>169</c:v>
                </c:pt>
                <c:pt idx="293">
                  <c:v>187</c:v>
                </c:pt>
                <c:pt idx="294">
                  <c:v>197</c:v>
                </c:pt>
                <c:pt idx="295">
                  <c:v>157</c:v>
                </c:pt>
                <c:pt idx="296">
                  <c:v>176</c:v>
                </c:pt>
                <c:pt idx="297">
                  <c:v>241</c:v>
                </c:pt>
                <c:pt idx="298">
                  <c:v>264</c:v>
                </c:pt>
                <c:pt idx="299">
                  <c:v>193</c:v>
                </c:pt>
                <c:pt idx="300">
                  <c:v>131</c:v>
                </c:pt>
                <c:pt idx="301">
                  <c:v>236</c:v>
                </c:pt>
                <c:pt idx="302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E3-4EFD-BB59-B2B68432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473208"/>
        <c:axId val="451475176"/>
      </c:scatterChart>
      <c:valAx>
        <c:axId val="45147320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75176"/>
        <c:crosses val="autoZero"/>
        <c:crossBetween val="midCat"/>
      </c:valAx>
      <c:valAx>
        <c:axId val="451475176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73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Resting Systolic Blood Pressure vs.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cleveland_data!$D$1</c:f>
              <c:strCache>
                <c:ptCount val="1"/>
                <c:pt idx="0">
                  <c:v>rbp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cleveland_data!$A$2:$A$304</c:f>
              <c:numCache>
                <c:formatCode>General</c:formatCode>
                <c:ptCount val="303"/>
                <c:pt idx="0">
                  <c:v>63</c:v>
                </c:pt>
                <c:pt idx="1">
                  <c:v>67</c:v>
                </c:pt>
                <c:pt idx="2">
                  <c:v>67</c:v>
                </c:pt>
                <c:pt idx="3">
                  <c:v>37</c:v>
                </c:pt>
                <c:pt idx="4">
                  <c:v>41</c:v>
                </c:pt>
                <c:pt idx="5">
                  <c:v>56</c:v>
                </c:pt>
                <c:pt idx="6">
                  <c:v>62</c:v>
                </c:pt>
                <c:pt idx="7">
                  <c:v>57</c:v>
                </c:pt>
                <c:pt idx="8">
                  <c:v>63</c:v>
                </c:pt>
                <c:pt idx="9">
                  <c:v>53</c:v>
                </c:pt>
                <c:pt idx="10">
                  <c:v>57</c:v>
                </c:pt>
                <c:pt idx="11">
                  <c:v>56</c:v>
                </c:pt>
                <c:pt idx="12">
                  <c:v>56</c:v>
                </c:pt>
                <c:pt idx="13">
                  <c:v>44</c:v>
                </c:pt>
                <c:pt idx="14">
                  <c:v>52</c:v>
                </c:pt>
                <c:pt idx="15">
                  <c:v>57</c:v>
                </c:pt>
                <c:pt idx="16">
                  <c:v>48</c:v>
                </c:pt>
                <c:pt idx="17">
                  <c:v>54</c:v>
                </c:pt>
                <c:pt idx="18">
                  <c:v>48</c:v>
                </c:pt>
                <c:pt idx="19">
                  <c:v>49</c:v>
                </c:pt>
                <c:pt idx="20">
                  <c:v>64</c:v>
                </c:pt>
                <c:pt idx="21">
                  <c:v>58</c:v>
                </c:pt>
                <c:pt idx="22">
                  <c:v>58</c:v>
                </c:pt>
                <c:pt idx="23">
                  <c:v>58</c:v>
                </c:pt>
                <c:pt idx="24">
                  <c:v>60</c:v>
                </c:pt>
                <c:pt idx="25">
                  <c:v>50</c:v>
                </c:pt>
                <c:pt idx="26">
                  <c:v>58</c:v>
                </c:pt>
                <c:pt idx="27">
                  <c:v>66</c:v>
                </c:pt>
                <c:pt idx="28">
                  <c:v>43</c:v>
                </c:pt>
                <c:pt idx="29">
                  <c:v>40</c:v>
                </c:pt>
                <c:pt idx="30">
                  <c:v>69</c:v>
                </c:pt>
                <c:pt idx="31">
                  <c:v>60</c:v>
                </c:pt>
                <c:pt idx="32">
                  <c:v>64</c:v>
                </c:pt>
                <c:pt idx="33">
                  <c:v>59</c:v>
                </c:pt>
                <c:pt idx="34">
                  <c:v>44</c:v>
                </c:pt>
                <c:pt idx="35">
                  <c:v>42</c:v>
                </c:pt>
                <c:pt idx="36">
                  <c:v>43</c:v>
                </c:pt>
                <c:pt idx="37">
                  <c:v>57</c:v>
                </c:pt>
                <c:pt idx="38">
                  <c:v>55</c:v>
                </c:pt>
                <c:pt idx="39">
                  <c:v>61</c:v>
                </c:pt>
                <c:pt idx="40">
                  <c:v>65</c:v>
                </c:pt>
                <c:pt idx="41">
                  <c:v>40</c:v>
                </c:pt>
                <c:pt idx="42">
                  <c:v>71</c:v>
                </c:pt>
                <c:pt idx="43">
                  <c:v>59</c:v>
                </c:pt>
                <c:pt idx="44">
                  <c:v>61</c:v>
                </c:pt>
                <c:pt idx="45">
                  <c:v>58</c:v>
                </c:pt>
                <c:pt idx="46">
                  <c:v>51</c:v>
                </c:pt>
                <c:pt idx="47">
                  <c:v>50</c:v>
                </c:pt>
                <c:pt idx="48">
                  <c:v>65</c:v>
                </c:pt>
                <c:pt idx="49">
                  <c:v>53</c:v>
                </c:pt>
                <c:pt idx="50">
                  <c:v>41</c:v>
                </c:pt>
                <c:pt idx="51">
                  <c:v>65</c:v>
                </c:pt>
                <c:pt idx="52">
                  <c:v>44</c:v>
                </c:pt>
                <c:pt idx="53">
                  <c:v>44</c:v>
                </c:pt>
                <c:pt idx="54">
                  <c:v>60</c:v>
                </c:pt>
                <c:pt idx="55">
                  <c:v>54</c:v>
                </c:pt>
                <c:pt idx="56">
                  <c:v>50</c:v>
                </c:pt>
                <c:pt idx="57">
                  <c:v>41</c:v>
                </c:pt>
                <c:pt idx="58">
                  <c:v>54</c:v>
                </c:pt>
                <c:pt idx="59">
                  <c:v>51</c:v>
                </c:pt>
                <c:pt idx="60">
                  <c:v>51</c:v>
                </c:pt>
                <c:pt idx="61">
                  <c:v>46</c:v>
                </c:pt>
                <c:pt idx="62">
                  <c:v>58</c:v>
                </c:pt>
                <c:pt idx="63">
                  <c:v>54</c:v>
                </c:pt>
                <c:pt idx="64">
                  <c:v>54</c:v>
                </c:pt>
                <c:pt idx="65">
                  <c:v>60</c:v>
                </c:pt>
                <c:pt idx="66">
                  <c:v>60</c:v>
                </c:pt>
                <c:pt idx="67">
                  <c:v>54</c:v>
                </c:pt>
                <c:pt idx="68">
                  <c:v>59</c:v>
                </c:pt>
                <c:pt idx="69">
                  <c:v>46</c:v>
                </c:pt>
                <c:pt idx="70">
                  <c:v>65</c:v>
                </c:pt>
                <c:pt idx="71">
                  <c:v>67</c:v>
                </c:pt>
                <c:pt idx="72">
                  <c:v>62</c:v>
                </c:pt>
                <c:pt idx="73">
                  <c:v>65</c:v>
                </c:pt>
                <c:pt idx="74">
                  <c:v>44</c:v>
                </c:pt>
                <c:pt idx="75">
                  <c:v>65</c:v>
                </c:pt>
                <c:pt idx="76">
                  <c:v>60</c:v>
                </c:pt>
                <c:pt idx="77">
                  <c:v>51</c:v>
                </c:pt>
                <c:pt idx="78">
                  <c:v>48</c:v>
                </c:pt>
                <c:pt idx="79">
                  <c:v>58</c:v>
                </c:pt>
                <c:pt idx="80">
                  <c:v>45</c:v>
                </c:pt>
                <c:pt idx="81">
                  <c:v>53</c:v>
                </c:pt>
                <c:pt idx="82">
                  <c:v>39</c:v>
                </c:pt>
                <c:pt idx="83">
                  <c:v>68</c:v>
                </c:pt>
                <c:pt idx="84">
                  <c:v>52</c:v>
                </c:pt>
                <c:pt idx="85">
                  <c:v>44</c:v>
                </c:pt>
                <c:pt idx="86">
                  <c:v>47</c:v>
                </c:pt>
                <c:pt idx="87">
                  <c:v>53</c:v>
                </c:pt>
                <c:pt idx="88">
                  <c:v>53</c:v>
                </c:pt>
                <c:pt idx="89">
                  <c:v>51</c:v>
                </c:pt>
                <c:pt idx="90">
                  <c:v>66</c:v>
                </c:pt>
                <c:pt idx="91">
                  <c:v>62</c:v>
                </c:pt>
                <c:pt idx="92">
                  <c:v>62</c:v>
                </c:pt>
                <c:pt idx="93">
                  <c:v>44</c:v>
                </c:pt>
                <c:pt idx="94">
                  <c:v>63</c:v>
                </c:pt>
                <c:pt idx="95">
                  <c:v>52</c:v>
                </c:pt>
                <c:pt idx="96">
                  <c:v>59</c:v>
                </c:pt>
                <c:pt idx="97">
                  <c:v>60</c:v>
                </c:pt>
                <c:pt idx="98">
                  <c:v>52</c:v>
                </c:pt>
                <c:pt idx="99">
                  <c:v>48</c:v>
                </c:pt>
                <c:pt idx="100">
                  <c:v>45</c:v>
                </c:pt>
                <c:pt idx="101">
                  <c:v>34</c:v>
                </c:pt>
                <c:pt idx="102">
                  <c:v>57</c:v>
                </c:pt>
                <c:pt idx="103">
                  <c:v>71</c:v>
                </c:pt>
                <c:pt idx="104">
                  <c:v>49</c:v>
                </c:pt>
                <c:pt idx="105">
                  <c:v>54</c:v>
                </c:pt>
                <c:pt idx="106">
                  <c:v>59</c:v>
                </c:pt>
                <c:pt idx="107">
                  <c:v>57</c:v>
                </c:pt>
                <c:pt idx="108">
                  <c:v>61</c:v>
                </c:pt>
                <c:pt idx="109">
                  <c:v>39</c:v>
                </c:pt>
                <c:pt idx="110">
                  <c:v>61</c:v>
                </c:pt>
                <c:pt idx="111">
                  <c:v>56</c:v>
                </c:pt>
                <c:pt idx="112">
                  <c:v>52</c:v>
                </c:pt>
                <c:pt idx="113">
                  <c:v>43</c:v>
                </c:pt>
                <c:pt idx="114">
                  <c:v>62</c:v>
                </c:pt>
                <c:pt idx="115">
                  <c:v>41</c:v>
                </c:pt>
                <c:pt idx="116">
                  <c:v>58</c:v>
                </c:pt>
                <c:pt idx="117">
                  <c:v>35</c:v>
                </c:pt>
                <c:pt idx="118">
                  <c:v>63</c:v>
                </c:pt>
                <c:pt idx="119">
                  <c:v>65</c:v>
                </c:pt>
                <c:pt idx="120">
                  <c:v>48</c:v>
                </c:pt>
                <c:pt idx="121">
                  <c:v>63</c:v>
                </c:pt>
                <c:pt idx="122">
                  <c:v>51</c:v>
                </c:pt>
                <c:pt idx="123">
                  <c:v>55</c:v>
                </c:pt>
                <c:pt idx="124">
                  <c:v>65</c:v>
                </c:pt>
                <c:pt idx="125">
                  <c:v>45</c:v>
                </c:pt>
                <c:pt idx="126">
                  <c:v>56</c:v>
                </c:pt>
                <c:pt idx="127">
                  <c:v>54</c:v>
                </c:pt>
                <c:pt idx="128">
                  <c:v>44</c:v>
                </c:pt>
                <c:pt idx="129">
                  <c:v>62</c:v>
                </c:pt>
                <c:pt idx="130">
                  <c:v>54</c:v>
                </c:pt>
                <c:pt idx="131">
                  <c:v>51</c:v>
                </c:pt>
                <c:pt idx="132">
                  <c:v>29</c:v>
                </c:pt>
                <c:pt idx="133">
                  <c:v>51</c:v>
                </c:pt>
                <c:pt idx="134">
                  <c:v>43</c:v>
                </c:pt>
                <c:pt idx="135">
                  <c:v>55</c:v>
                </c:pt>
                <c:pt idx="136">
                  <c:v>70</c:v>
                </c:pt>
                <c:pt idx="137">
                  <c:v>62</c:v>
                </c:pt>
                <c:pt idx="138">
                  <c:v>35</c:v>
                </c:pt>
                <c:pt idx="139">
                  <c:v>51</c:v>
                </c:pt>
                <c:pt idx="140">
                  <c:v>59</c:v>
                </c:pt>
                <c:pt idx="141">
                  <c:v>59</c:v>
                </c:pt>
                <c:pt idx="142">
                  <c:v>52</c:v>
                </c:pt>
                <c:pt idx="143">
                  <c:v>64</c:v>
                </c:pt>
                <c:pt idx="144">
                  <c:v>58</c:v>
                </c:pt>
                <c:pt idx="145">
                  <c:v>47</c:v>
                </c:pt>
                <c:pt idx="146">
                  <c:v>57</c:v>
                </c:pt>
                <c:pt idx="147">
                  <c:v>41</c:v>
                </c:pt>
                <c:pt idx="148">
                  <c:v>45</c:v>
                </c:pt>
                <c:pt idx="149">
                  <c:v>60</c:v>
                </c:pt>
                <c:pt idx="150">
                  <c:v>52</c:v>
                </c:pt>
                <c:pt idx="151">
                  <c:v>42</c:v>
                </c:pt>
                <c:pt idx="152">
                  <c:v>67</c:v>
                </c:pt>
                <c:pt idx="153">
                  <c:v>55</c:v>
                </c:pt>
                <c:pt idx="154">
                  <c:v>64</c:v>
                </c:pt>
                <c:pt idx="155">
                  <c:v>70</c:v>
                </c:pt>
                <c:pt idx="156">
                  <c:v>51</c:v>
                </c:pt>
                <c:pt idx="157">
                  <c:v>58</c:v>
                </c:pt>
                <c:pt idx="158">
                  <c:v>60</c:v>
                </c:pt>
                <c:pt idx="159">
                  <c:v>68</c:v>
                </c:pt>
                <c:pt idx="160">
                  <c:v>46</c:v>
                </c:pt>
                <c:pt idx="161">
                  <c:v>77</c:v>
                </c:pt>
                <c:pt idx="162">
                  <c:v>54</c:v>
                </c:pt>
                <c:pt idx="163">
                  <c:v>58</c:v>
                </c:pt>
                <c:pt idx="164">
                  <c:v>48</c:v>
                </c:pt>
                <c:pt idx="165">
                  <c:v>57</c:v>
                </c:pt>
                <c:pt idx="166">
                  <c:v>52</c:v>
                </c:pt>
                <c:pt idx="167">
                  <c:v>54</c:v>
                </c:pt>
                <c:pt idx="168">
                  <c:v>35</c:v>
                </c:pt>
                <c:pt idx="169">
                  <c:v>45</c:v>
                </c:pt>
                <c:pt idx="170">
                  <c:v>70</c:v>
                </c:pt>
                <c:pt idx="171">
                  <c:v>53</c:v>
                </c:pt>
                <c:pt idx="172">
                  <c:v>59</c:v>
                </c:pt>
                <c:pt idx="173">
                  <c:v>62</c:v>
                </c:pt>
                <c:pt idx="174">
                  <c:v>64</c:v>
                </c:pt>
                <c:pt idx="175">
                  <c:v>57</c:v>
                </c:pt>
                <c:pt idx="176">
                  <c:v>52</c:v>
                </c:pt>
                <c:pt idx="177">
                  <c:v>56</c:v>
                </c:pt>
                <c:pt idx="178">
                  <c:v>43</c:v>
                </c:pt>
                <c:pt idx="179">
                  <c:v>53</c:v>
                </c:pt>
                <c:pt idx="180">
                  <c:v>48</c:v>
                </c:pt>
                <c:pt idx="181">
                  <c:v>56</c:v>
                </c:pt>
                <c:pt idx="182">
                  <c:v>42</c:v>
                </c:pt>
                <c:pt idx="183">
                  <c:v>59</c:v>
                </c:pt>
                <c:pt idx="184">
                  <c:v>60</c:v>
                </c:pt>
                <c:pt idx="185">
                  <c:v>63</c:v>
                </c:pt>
                <c:pt idx="186">
                  <c:v>42</c:v>
                </c:pt>
                <c:pt idx="187">
                  <c:v>66</c:v>
                </c:pt>
                <c:pt idx="188">
                  <c:v>54</c:v>
                </c:pt>
                <c:pt idx="189">
                  <c:v>69</c:v>
                </c:pt>
                <c:pt idx="190">
                  <c:v>50</c:v>
                </c:pt>
                <c:pt idx="191">
                  <c:v>51</c:v>
                </c:pt>
                <c:pt idx="192">
                  <c:v>43</c:v>
                </c:pt>
                <c:pt idx="193">
                  <c:v>62</c:v>
                </c:pt>
                <c:pt idx="194">
                  <c:v>68</c:v>
                </c:pt>
                <c:pt idx="195">
                  <c:v>67</c:v>
                </c:pt>
                <c:pt idx="196">
                  <c:v>69</c:v>
                </c:pt>
                <c:pt idx="197">
                  <c:v>45</c:v>
                </c:pt>
                <c:pt idx="198">
                  <c:v>50</c:v>
                </c:pt>
                <c:pt idx="199">
                  <c:v>59</c:v>
                </c:pt>
                <c:pt idx="200">
                  <c:v>50</c:v>
                </c:pt>
                <c:pt idx="201">
                  <c:v>64</c:v>
                </c:pt>
                <c:pt idx="202">
                  <c:v>57</c:v>
                </c:pt>
                <c:pt idx="203">
                  <c:v>64</c:v>
                </c:pt>
                <c:pt idx="204">
                  <c:v>43</c:v>
                </c:pt>
                <c:pt idx="205">
                  <c:v>45</c:v>
                </c:pt>
                <c:pt idx="206">
                  <c:v>58</c:v>
                </c:pt>
                <c:pt idx="207">
                  <c:v>50</c:v>
                </c:pt>
                <c:pt idx="208">
                  <c:v>55</c:v>
                </c:pt>
                <c:pt idx="209">
                  <c:v>62</c:v>
                </c:pt>
                <c:pt idx="210">
                  <c:v>37</c:v>
                </c:pt>
                <c:pt idx="211">
                  <c:v>38</c:v>
                </c:pt>
                <c:pt idx="212">
                  <c:v>41</c:v>
                </c:pt>
                <c:pt idx="213">
                  <c:v>66</c:v>
                </c:pt>
                <c:pt idx="214">
                  <c:v>52</c:v>
                </c:pt>
                <c:pt idx="215">
                  <c:v>56</c:v>
                </c:pt>
                <c:pt idx="216">
                  <c:v>46</c:v>
                </c:pt>
                <c:pt idx="217">
                  <c:v>46</c:v>
                </c:pt>
                <c:pt idx="218">
                  <c:v>64</c:v>
                </c:pt>
                <c:pt idx="219">
                  <c:v>59</c:v>
                </c:pt>
                <c:pt idx="220">
                  <c:v>41</c:v>
                </c:pt>
                <c:pt idx="221">
                  <c:v>54</c:v>
                </c:pt>
                <c:pt idx="222">
                  <c:v>39</c:v>
                </c:pt>
                <c:pt idx="223">
                  <c:v>53</c:v>
                </c:pt>
                <c:pt idx="224">
                  <c:v>63</c:v>
                </c:pt>
                <c:pt idx="225">
                  <c:v>34</c:v>
                </c:pt>
                <c:pt idx="226">
                  <c:v>47</c:v>
                </c:pt>
                <c:pt idx="227">
                  <c:v>67</c:v>
                </c:pt>
                <c:pt idx="228">
                  <c:v>54</c:v>
                </c:pt>
                <c:pt idx="229">
                  <c:v>66</c:v>
                </c:pt>
                <c:pt idx="230">
                  <c:v>52</c:v>
                </c:pt>
                <c:pt idx="231">
                  <c:v>55</c:v>
                </c:pt>
                <c:pt idx="232">
                  <c:v>49</c:v>
                </c:pt>
                <c:pt idx="233">
                  <c:v>74</c:v>
                </c:pt>
                <c:pt idx="234">
                  <c:v>54</c:v>
                </c:pt>
                <c:pt idx="235">
                  <c:v>54</c:v>
                </c:pt>
                <c:pt idx="236">
                  <c:v>56</c:v>
                </c:pt>
                <c:pt idx="237">
                  <c:v>46</c:v>
                </c:pt>
                <c:pt idx="238">
                  <c:v>49</c:v>
                </c:pt>
                <c:pt idx="239">
                  <c:v>42</c:v>
                </c:pt>
                <c:pt idx="240">
                  <c:v>41</c:v>
                </c:pt>
                <c:pt idx="241">
                  <c:v>41</c:v>
                </c:pt>
                <c:pt idx="242">
                  <c:v>49</c:v>
                </c:pt>
                <c:pt idx="243">
                  <c:v>61</c:v>
                </c:pt>
                <c:pt idx="244">
                  <c:v>60</c:v>
                </c:pt>
                <c:pt idx="245">
                  <c:v>67</c:v>
                </c:pt>
                <c:pt idx="246">
                  <c:v>58</c:v>
                </c:pt>
                <c:pt idx="247">
                  <c:v>47</c:v>
                </c:pt>
                <c:pt idx="248">
                  <c:v>52</c:v>
                </c:pt>
                <c:pt idx="249">
                  <c:v>62</c:v>
                </c:pt>
                <c:pt idx="250">
                  <c:v>57</c:v>
                </c:pt>
                <c:pt idx="251">
                  <c:v>58</c:v>
                </c:pt>
                <c:pt idx="252">
                  <c:v>64</c:v>
                </c:pt>
                <c:pt idx="253">
                  <c:v>51</c:v>
                </c:pt>
                <c:pt idx="254">
                  <c:v>43</c:v>
                </c:pt>
                <c:pt idx="255">
                  <c:v>42</c:v>
                </c:pt>
                <c:pt idx="256">
                  <c:v>67</c:v>
                </c:pt>
                <c:pt idx="257">
                  <c:v>76</c:v>
                </c:pt>
                <c:pt idx="258">
                  <c:v>70</c:v>
                </c:pt>
                <c:pt idx="259">
                  <c:v>57</c:v>
                </c:pt>
                <c:pt idx="260">
                  <c:v>44</c:v>
                </c:pt>
                <c:pt idx="261">
                  <c:v>58</c:v>
                </c:pt>
                <c:pt idx="262">
                  <c:v>60</c:v>
                </c:pt>
                <c:pt idx="263">
                  <c:v>44</c:v>
                </c:pt>
                <c:pt idx="264">
                  <c:v>61</c:v>
                </c:pt>
                <c:pt idx="265">
                  <c:v>42</c:v>
                </c:pt>
                <c:pt idx="266">
                  <c:v>52</c:v>
                </c:pt>
                <c:pt idx="267">
                  <c:v>59</c:v>
                </c:pt>
                <c:pt idx="268">
                  <c:v>40</c:v>
                </c:pt>
                <c:pt idx="269">
                  <c:v>42</c:v>
                </c:pt>
                <c:pt idx="270">
                  <c:v>61</c:v>
                </c:pt>
                <c:pt idx="271">
                  <c:v>66</c:v>
                </c:pt>
                <c:pt idx="272">
                  <c:v>46</c:v>
                </c:pt>
                <c:pt idx="273">
                  <c:v>71</c:v>
                </c:pt>
                <c:pt idx="274">
                  <c:v>59</c:v>
                </c:pt>
                <c:pt idx="275">
                  <c:v>64</c:v>
                </c:pt>
                <c:pt idx="276">
                  <c:v>66</c:v>
                </c:pt>
                <c:pt idx="277">
                  <c:v>39</c:v>
                </c:pt>
                <c:pt idx="278">
                  <c:v>57</c:v>
                </c:pt>
                <c:pt idx="279">
                  <c:v>58</c:v>
                </c:pt>
                <c:pt idx="280">
                  <c:v>57</c:v>
                </c:pt>
                <c:pt idx="281">
                  <c:v>47</c:v>
                </c:pt>
                <c:pt idx="282">
                  <c:v>55</c:v>
                </c:pt>
                <c:pt idx="283">
                  <c:v>35</c:v>
                </c:pt>
                <c:pt idx="284">
                  <c:v>61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56</c:v>
                </c:pt>
                <c:pt idx="289">
                  <c:v>56</c:v>
                </c:pt>
                <c:pt idx="290">
                  <c:v>67</c:v>
                </c:pt>
                <c:pt idx="291">
                  <c:v>55</c:v>
                </c:pt>
                <c:pt idx="292">
                  <c:v>44</c:v>
                </c:pt>
                <c:pt idx="293">
                  <c:v>63</c:v>
                </c:pt>
                <c:pt idx="294">
                  <c:v>63</c:v>
                </c:pt>
                <c:pt idx="295">
                  <c:v>41</c:v>
                </c:pt>
                <c:pt idx="296">
                  <c:v>59</c:v>
                </c:pt>
                <c:pt idx="297">
                  <c:v>57</c:v>
                </c:pt>
                <c:pt idx="298">
                  <c:v>45</c:v>
                </c:pt>
                <c:pt idx="299">
                  <c:v>68</c:v>
                </c:pt>
                <c:pt idx="300">
                  <c:v>57</c:v>
                </c:pt>
                <c:pt idx="301">
                  <c:v>57</c:v>
                </c:pt>
                <c:pt idx="302">
                  <c:v>38</c:v>
                </c:pt>
              </c:numCache>
            </c:numRef>
          </c:xVal>
          <c:yVal>
            <c:numRef>
              <c:f>cleveland_data!$D$2:$D$304</c:f>
              <c:numCache>
                <c:formatCode>General</c:formatCode>
                <c:ptCount val="303"/>
                <c:pt idx="0">
                  <c:v>145</c:v>
                </c:pt>
                <c:pt idx="1">
                  <c:v>160</c:v>
                </c:pt>
                <c:pt idx="2">
                  <c:v>120</c:v>
                </c:pt>
                <c:pt idx="3">
                  <c:v>130</c:v>
                </c:pt>
                <c:pt idx="4">
                  <c:v>130</c:v>
                </c:pt>
                <c:pt idx="5">
                  <c:v>120</c:v>
                </c:pt>
                <c:pt idx="6">
                  <c:v>140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140</c:v>
                </c:pt>
                <c:pt idx="11">
                  <c:v>140</c:v>
                </c:pt>
                <c:pt idx="12">
                  <c:v>130</c:v>
                </c:pt>
                <c:pt idx="13">
                  <c:v>120</c:v>
                </c:pt>
                <c:pt idx="14">
                  <c:v>172</c:v>
                </c:pt>
                <c:pt idx="15">
                  <c:v>150</c:v>
                </c:pt>
                <c:pt idx="16">
                  <c:v>110</c:v>
                </c:pt>
                <c:pt idx="17">
                  <c:v>140</c:v>
                </c:pt>
                <c:pt idx="18">
                  <c:v>130</c:v>
                </c:pt>
                <c:pt idx="19">
                  <c:v>130</c:v>
                </c:pt>
                <c:pt idx="20">
                  <c:v>110</c:v>
                </c:pt>
                <c:pt idx="21">
                  <c:v>150</c:v>
                </c:pt>
                <c:pt idx="22">
                  <c:v>120</c:v>
                </c:pt>
                <c:pt idx="23">
                  <c:v>132</c:v>
                </c:pt>
                <c:pt idx="24">
                  <c:v>130</c:v>
                </c:pt>
                <c:pt idx="25">
                  <c:v>120</c:v>
                </c:pt>
                <c:pt idx="26">
                  <c:v>120</c:v>
                </c:pt>
                <c:pt idx="27">
                  <c:v>150</c:v>
                </c:pt>
                <c:pt idx="28">
                  <c:v>150</c:v>
                </c:pt>
                <c:pt idx="29">
                  <c:v>110</c:v>
                </c:pt>
                <c:pt idx="30">
                  <c:v>140</c:v>
                </c:pt>
                <c:pt idx="31">
                  <c:v>117</c:v>
                </c:pt>
                <c:pt idx="32">
                  <c:v>140</c:v>
                </c:pt>
                <c:pt idx="33">
                  <c:v>135</c:v>
                </c:pt>
                <c:pt idx="34">
                  <c:v>130</c:v>
                </c:pt>
                <c:pt idx="35">
                  <c:v>140</c:v>
                </c:pt>
                <c:pt idx="36">
                  <c:v>120</c:v>
                </c:pt>
                <c:pt idx="37">
                  <c:v>150</c:v>
                </c:pt>
                <c:pt idx="38">
                  <c:v>132</c:v>
                </c:pt>
                <c:pt idx="39">
                  <c:v>150</c:v>
                </c:pt>
                <c:pt idx="40">
                  <c:v>150</c:v>
                </c:pt>
                <c:pt idx="41">
                  <c:v>140</c:v>
                </c:pt>
                <c:pt idx="42">
                  <c:v>160</c:v>
                </c:pt>
                <c:pt idx="43">
                  <c:v>150</c:v>
                </c:pt>
                <c:pt idx="44">
                  <c:v>130</c:v>
                </c:pt>
                <c:pt idx="45">
                  <c:v>112</c:v>
                </c:pt>
                <c:pt idx="46">
                  <c:v>110</c:v>
                </c:pt>
                <c:pt idx="47">
                  <c:v>150</c:v>
                </c:pt>
                <c:pt idx="48">
                  <c:v>140</c:v>
                </c:pt>
                <c:pt idx="49">
                  <c:v>130</c:v>
                </c:pt>
                <c:pt idx="50">
                  <c:v>105</c:v>
                </c:pt>
                <c:pt idx="51">
                  <c:v>120</c:v>
                </c:pt>
                <c:pt idx="52">
                  <c:v>112</c:v>
                </c:pt>
                <c:pt idx="53">
                  <c:v>130</c:v>
                </c:pt>
                <c:pt idx="54">
                  <c:v>130</c:v>
                </c:pt>
                <c:pt idx="55">
                  <c:v>124</c:v>
                </c:pt>
                <c:pt idx="56">
                  <c:v>140</c:v>
                </c:pt>
                <c:pt idx="57">
                  <c:v>110</c:v>
                </c:pt>
                <c:pt idx="58">
                  <c:v>125</c:v>
                </c:pt>
                <c:pt idx="59">
                  <c:v>125</c:v>
                </c:pt>
                <c:pt idx="60">
                  <c:v>130</c:v>
                </c:pt>
                <c:pt idx="61">
                  <c:v>142</c:v>
                </c:pt>
                <c:pt idx="62">
                  <c:v>128</c:v>
                </c:pt>
                <c:pt idx="63">
                  <c:v>135</c:v>
                </c:pt>
                <c:pt idx="64">
                  <c:v>120</c:v>
                </c:pt>
                <c:pt idx="65">
                  <c:v>145</c:v>
                </c:pt>
                <c:pt idx="66">
                  <c:v>140</c:v>
                </c:pt>
                <c:pt idx="67">
                  <c:v>150</c:v>
                </c:pt>
                <c:pt idx="68">
                  <c:v>170</c:v>
                </c:pt>
                <c:pt idx="69">
                  <c:v>150</c:v>
                </c:pt>
                <c:pt idx="70">
                  <c:v>155</c:v>
                </c:pt>
                <c:pt idx="71">
                  <c:v>125</c:v>
                </c:pt>
                <c:pt idx="72">
                  <c:v>120</c:v>
                </c:pt>
                <c:pt idx="73">
                  <c:v>110</c:v>
                </c:pt>
                <c:pt idx="74">
                  <c:v>110</c:v>
                </c:pt>
                <c:pt idx="75">
                  <c:v>160</c:v>
                </c:pt>
                <c:pt idx="76">
                  <c:v>125</c:v>
                </c:pt>
                <c:pt idx="77">
                  <c:v>140</c:v>
                </c:pt>
                <c:pt idx="78">
                  <c:v>130</c:v>
                </c:pt>
                <c:pt idx="79">
                  <c:v>150</c:v>
                </c:pt>
                <c:pt idx="80">
                  <c:v>104</c:v>
                </c:pt>
                <c:pt idx="81">
                  <c:v>130</c:v>
                </c:pt>
                <c:pt idx="82">
                  <c:v>140</c:v>
                </c:pt>
                <c:pt idx="83">
                  <c:v>180</c:v>
                </c:pt>
                <c:pt idx="84">
                  <c:v>120</c:v>
                </c:pt>
                <c:pt idx="85">
                  <c:v>140</c:v>
                </c:pt>
                <c:pt idx="86">
                  <c:v>138</c:v>
                </c:pt>
                <c:pt idx="87">
                  <c:v>128</c:v>
                </c:pt>
                <c:pt idx="88">
                  <c:v>138</c:v>
                </c:pt>
                <c:pt idx="89">
                  <c:v>130</c:v>
                </c:pt>
                <c:pt idx="90">
                  <c:v>120</c:v>
                </c:pt>
                <c:pt idx="91">
                  <c:v>160</c:v>
                </c:pt>
                <c:pt idx="92">
                  <c:v>130</c:v>
                </c:pt>
                <c:pt idx="93">
                  <c:v>108</c:v>
                </c:pt>
                <c:pt idx="94">
                  <c:v>135</c:v>
                </c:pt>
                <c:pt idx="95">
                  <c:v>128</c:v>
                </c:pt>
                <c:pt idx="96">
                  <c:v>110</c:v>
                </c:pt>
                <c:pt idx="97">
                  <c:v>150</c:v>
                </c:pt>
                <c:pt idx="98">
                  <c:v>134</c:v>
                </c:pt>
                <c:pt idx="99">
                  <c:v>122</c:v>
                </c:pt>
                <c:pt idx="100">
                  <c:v>115</c:v>
                </c:pt>
                <c:pt idx="101">
                  <c:v>118</c:v>
                </c:pt>
                <c:pt idx="102">
                  <c:v>128</c:v>
                </c:pt>
                <c:pt idx="103">
                  <c:v>110</c:v>
                </c:pt>
                <c:pt idx="104">
                  <c:v>120</c:v>
                </c:pt>
                <c:pt idx="105">
                  <c:v>108</c:v>
                </c:pt>
                <c:pt idx="106">
                  <c:v>140</c:v>
                </c:pt>
                <c:pt idx="107">
                  <c:v>128</c:v>
                </c:pt>
                <c:pt idx="108">
                  <c:v>120</c:v>
                </c:pt>
                <c:pt idx="109">
                  <c:v>118</c:v>
                </c:pt>
                <c:pt idx="110">
                  <c:v>145</c:v>
                </c:pt>
                <c:pt idx="111">
                  <c:v>125</c:v>
                </c:pt>
                <c:pt idx="112">
                  <c:v>118</c:v>
                </c:pt>
                <c:pt idx="113">
                  <c:v>132</c:v>
                </c:pt>
                <c:pt idx="114">
                  <c:v>130</c:v>
                </c:pt>
                <c:pt idx="115">
                  <c:v>135</c:v>
                </c:pt>
                <c:pt idx="116">
                  <c:v>140</c:v>
                </c:pt>
                <c:pt idx="117">
                  <c:v>138</c:v>
                </c:pt>
                <c:pt idx="118">
                  <c:v>130</c:v>
                </c:pt>
                <c:pt idx="119">
                  <c:v>135</c:v>
                </c:pt>
                <c:pt idx="120">
                  <c:v>130</c:v>
                </c:pt>
                <c:pt idx="121">
                  <c:v>150</c:v>
                </c:pt>
                <c:pt idx="122">
                  <c:v>100</c:v>
                </c:pt>
                <c:pt idx="123">
                  <c:v>140</c:v>
                </c:pt>
                <c:pt idx="124">
                  <c:v>138</c:v>
                </c:pt>
                <c:pt idx="125">
                  <c:v>130</c:v>
                </c:pt>
                <c:pt idx="126">
                  <c:v>200</c:v>
                </c:pt>
                <c:pt idx="127">
                  <c:v>110</c:v>
                </c:pt>
                <c:pt idx="128">
                  <c:v>120</c:v>
                </c:pt>
                <c:pt idx="129">
                  <c:v>124</c:v>
                </c:pt>
                <c:pt idx="130">
                  <c:v>120</c:v>
                </c:pt>
                <c:pt idx="131">
                  <c:v>94</c:v>
                </c:pt>
                <c:pt idx="132">
                  <c:v>130</c:v>
                </c:pt>
                <c:pt idx="133">
                  <c:v>140</c:v>
                </c:pt>
                <c:pt idx="134">
                  <c:v>122</c:v>
                </c:pt>
                <c:pt idx="135">
                  <c:v>135</c:v>
                </c:pt>
                <c:pt idx="136">
                  <c:v>145</c:v>
                </c:pt>
                <c:pt idx="137">
                  <c:v>120</c:v>
                </c:pt>
                <c:pt idx="138">
                  <c:v>120</c:v>
                </c:pt>
                <c:pt idx="139">
                  <c:v>125</c:v>
                </c:pt>
                <c:pt idx="140">
                  <c:v>140</c:v>
                </c:pt>
                <c:pt idx="141">
                  <c:v>170</c:v>
                </c:pt>
                <c:pt idx="142">
                  <c:v>128</c:v>
                </c:pt>
                <c:pt idx="143">
                  <c:v>125</c:v>
                </c:pt>
                <c:pt idx="144">
                  <c:v>105</c:v>
                </c:pt>
                <c:pt idx="145">
                  <c:v>108</c:v>
                </c:pt>
                <c:pt idx="146">
                  <c:v>165</c:v>
                </c:pt>
                <c:pt idx="147">
                  <c:v>112</c:v>
                </c:pt>
                <c:pt idx="148">
                  <c:v>128</c:v>
                </c:pt>
                <c:pt idx="149">
                  <c:v>102</c:v>
                </c:pt>
                <c:pt idx="150">
                  <c:v>152</c:v>
                </c:pt>
                <c:pt idx="151">
                  <c:v>102</c:v>
                </c:pt>
                <c:pt idx="152">
                  <c:v>115</c:v>
                </c:pt>
                <c:pt idx="153">
                  <c:v>160</c:v>
                </c:pt>
                <c:pt idx="154">
                  <c:v>120</c:v>
                </c:pt>
                <c:pt idx="155">
                  <c:v>130</c:v>
                </c:pt>
                <c:pt idx="156">
                  <c:v>140</c:v>
                </c:pt>
                <c:pt idx="157">
                  <c:v>125</c:v>
                </c:pt>
                <c:pt idx="158">
                  <c:v>140</c:v>
                </c:pt>
                <c:pt idx="159">
                  <c:v>118</c:v>
                </c:pt>
                <c:pt idx="160">
                  <c:v>101</c:v>
                </c:pt>
                <c:pt idx="161">
                  <c:v>125</c:v>
                </c:pt>
                <c:pt idx="162">
                  <c:v>110</c:v>
                </c:pt>
                <c:pt idx="163">
                  <c:v>100</c:v>
                </c:pt>
                <c:pt idx="164">
                  <c:v>124</c:v>
                </c:pt>
                <c:pt idx="165">
                  <c:v>132</c:v>
                </c:pt>
                <c:pt idx="166">
                  <c:v>138</c:v>
                </c:pt>
                <c:pt idx="167">
                  <c:v>132</c:v>
                </c:pt>
                <c:pt idx="168">
                  <c:v>126</c:v>
                </c:pt>
                <c:pt idx="169">
                  <c:v>112</c:v>
                </c:pt>
                <c:pt idx="170">
                  <c:v>160</c:v>
                </c:pt>
                <c:pt idx="171">
                  <c:v>142</c:v>
                </c:pt>
                <c:pt idx="172">
                  <c:v>174</c:v>
                </c:pt>
                <c:pt idx="173">
                  <c:v>140</c:v>
                </c:pt>
                <c:pt idx="174">
                  <c:v>145</c:v>
                </c:pt>
                <c:pt idx="175">
                  <c:v>152</c:v>
                </c:pt>
                <c:pt idx="176">
                  <c:v>108</c:v>
                </c:pt>
                <c:pt idx="177">
                  <c:v>132</c:v>
                </c:pt>
                <c:pt idx="178">
                  <c:v>130</c:v>
                </c:pt>
                <c:pt idx="179">
                  <c:v>130</c:v>
                </c:pt>
                <c:pt idx="180">
                  <c:v>124</c:v>
                </c:pt>
                <c:pt idx="181">
                  <c:v>134</c:v>
                </c:pt>
                <c:pt idx="182">
                  <c:v>148</c:v>
                </c:pt>
                <c:pt idx="183">
                  <c:v>178</c:v>
                </c:pt>
                <c:pt idx="184">
                  <c:v>158</c:v>
                </c:pt>
                <c:pt idx="185">
                  <c:v>140</c:v>
                </c:pt>
                <c:pt idx="186">
                  <c:v>120</c:v>
                </c:pt>
                <c:pt idx="187">
                  <c:v>160</c:v>
                </c:pt>
                <c:pt idx="188">
                  <c:v>192</c:v>
                </c:pt>
                <c:pt idx="189">
                  <c:v>140</c:v>
                </c:pt>
                <c:pt idx="190">
                  <c:v>129</c:v>
                </c:pt>
                <c:pt idx="191">
                  <c:v>140</c:v>
                </c:pt>
                <c:pt idx="192">
                  <c:v>132</c:v>
                </c:pt>
                <c:pt idx="193">
                  <c:v>138</c:v>
                </c:pt>
                <c:pt idx="194">
                  <c:v>120</c:v>
                </c:pt>
                <c:pt idx="195">
                  <c:v>100</c:v>
                </c:pt>
                <c:pt idx="196">
                  <c:v>160</c:v>
                </c:pt>
                <c:pt idx="197">
                  <c:v>138</c:v>
                </c:pt>
                <c:pt idx="198">
                  <c:v>120</c:v>
                </c:pt>
                <c:pt idx="199">
                  <c:v>160</c:v>
                </c:pt>
                <c:pt idx="200">
                  <c:v>110</c:v>
                </c:pt>
                <c:pt idx="201">
                  <c:v>180</c:v>
                </c:pt>
                <c:pt idx="202">
                  <c:v>150</c:v>
                </c:pt>
                <c:pt idx="203">
                  <c:v>140</c:v>
                </c:pt>
                <c:pt idx="204">
                  <c:v>110</c:v>
                </c:pt>
                <c:pt idx="205">
                  <c:v>142</c:v>
                </c:pt>
                <c:pt idx="206">
                  <c:v>128</c:v>
                </c:pt>
                <c:pt idx="207">
                  <c:v>144</c:v>
                </c:pt>
                <c:pt idx="208">
                  <c:v>130</c:v>
                </c:pt>
                <c:pt idx="209">
                  <c:v>150</c:v>
                </c:pt>
                <c:pt idx="210">
                  <c:v>120</c:v>
                </c:pt>
                <c:pt idx="211">
                  <c:v>120</c:v>
                </c:pt>
                <c:pt idx="212">
                  <c:v>130</c:v>
                </c:pt>
                <c:pt idx="213">
                  <c:v>178</c:v>
                </c:pt>
                <c:pt idx="214">
                  <c:v>112</c:v>
                </c:pt>
                <c:pt idx="215">
                  <c:v>120</c:v>
                </c:pt>
                <c:pt idx="216">
                  <c:v>105</c:v>
                </c:pt>
                <c:pt idx="217">
                  <c:v>138</c:v>
                </c:pt>
                <c:pt idx="218">
                  <c:v>130</c:v>
                </c:pt>
                <c:pt idx="219">
                  <c:v>138</c:v>
                </c:pt>
                <c:pt idx="220">
                  <c:v>112</c:v>
                </c:pt>
                <c:pt idx="221">
                  <c:v>108</c:v>
                </c:pt>
                <c:pt idx="222">
                  <c:v>94</c:v>
                </c:pt>
                <c:pt idx="223">
                  <c:v>123</c:v>
                </c:pt>
                <c:pt idx="224">
                  <c:v>108</c:v>
                </c:pt>
                <c:pt idx="225">
                  <c:v>118</c:v>
                </c:pt>
                <c:pt idx="226">
                  <c:v>112</c:v>
                </c:pt>
                <c:pt idx="227">
                  <c:v>152</c:v>
                </c:pt>
                <c:pt idx="228">
                  <c:v>110</c:v>
                </c:pt>
                <c:pt idx="229">
                  <c:v>112</c:v>
                </c:pt>
                <c:pt idx="230">
                  <c:v>136</c:v>
                </c:pt>
                <c:pt idx="231">
                  <c:v>180</c:v>
                </c:pt>
                <c:pt idx="232">
                  <c:v>118</c:v>
                </c:pt>
                <c:pt idx="233">
                  <c:v>120</c:v>
                </c:pt>
                <c:pt idx="234">
                  <c:v>160</c:v>
                </c:pt>
                <c:pt idx="235">
                  <c:v>122</c:v>
                </c:pt>
                <c:pt idx="236">
                  <c:v>130</c:v>
                </c:pt>
                <c:pt idx="237">
                  <c:v>120</c:v>
                </c:pt>
                <c:pt idx="238">
                  <c:v>134</c:v>
                </c:pt>
                <c:pt idx="239">
                  <c:v>120</c:v>
                </c:pt>
                <c:pt idx="240">
                  <c:v>110</c:v>
                </c:pt>
                <c:pt idx="241">
                  <c:v>126</c:v>
                </c:pt>
                <c:pt idx="242">
                  <c:v>130</c:v>
                </c:pt>
                <c:pt idx="243">
                  <c:v>134</c:v>
                </c:pt>
                <c:pt idx="244">
                  <c:v>120</c:v>
                </c:pt>
                <c:pt idx="245">
                  <c:v>120</c:v>
                </c:pt>
                <c:pt idx="246">
                  <c:v>100</c:v>
                </c:pt>
                <c:pt idx="247">
                  <c:v>110</c:v>
                </c:pt>
                <c:pt idx="248">
                  <c:v>125</c:v>
                </c:pt>
                <c:pt idx="249">
                  <c:v>128</c:v>
                </c:pt>
                <c:pt idx="250">
                  <c:v>110</c:v>
                </c:pt>
                <c:pt idx="251">
                  <c:v>146</c:v>
                </c:pt>
                <c:pt idx="252">
                  <c:v>128</c:v>
                </c:pt>
                <c:pt idx="253">
                  <c:v>120</c:v>
                </c:pt>
                <c:pt idx="254">
                  <c:v>115</c:v>
                </c:pt>
                <c:pt idx="255">
                  <c:v>120</c:v>
                </c:pt>
                <c:pt idx="256">
                  <c:v>106</c:v>
                </c:pt>
                <c:pt idx="257">
                  <c:v>140</c:v>
                </c:pt>
                <c:pt idx="258">
                  <c:v>156</c:v>
                </c:pt>
                <c:pt idx="259">
                  <c:v>124</c:v>
                </c:pt>
                <c:pt idx="260">
                  <c:v>118</c:v>
                </c:pt>
                <c:pt idx="261">
                  <c:v>136</c:v>
                </c:pt>
                <c:pt idx="262">
                  <c:v>150</c:v>
                </c:pt>
                <c:pt idx="263">
                  <c:v>120</c:v>
                </c:pt>
                <c:pt idx="264">
                  <c:v>138</c:v>
                </c:pt>
                <c:pt idx="265">
                  <c:v>136</c:v>
                </c:pt>
                <c:pt idx="266">
                  <c:v>128</c:v>
                </c:pt>
                <c:pt idx="267">
                  <c:v>126</c:v>
                </c:pt>
                <c:pt idx="268">
                  <c:v>152</c:v>
                </c:pt>
                <c:pt idx="269">
                  <c:v>130</c:v>
                </c:pt>
                <c:pt idx="270">
                  <c:v>140</c:v>
                </c:pt>
                <c:pt idx="271">
                  <c:v>160</c:v>
                </c:pt>
                <c:pt idx="272">
                  <c:v>140</c:v>
                </c:pt>
                <c:pt idx="273">
                  <c:v>112</c:v>
                </c:pt>
                <c:pt idx="274">
                  <c:v>134</c:v>
                </c:pt>
                <c:pt idx="275">
                  <c:v>170</c:v>
                </c:pt>
                <c:pt idx="276">
                  <c:v>146</c:v>
                </c:pt>
                <c:pt idx="277">
                  <c:v>138</c:v>
                </c:pt>
                <c:pt idx="278">
                  <c:v>154</c:v>
                </c:pt>
                <c:pt idx="279">
                  <c:v>130</c:v>
                </c:pt>
                <c:pt idx="280">
                  <c:v>110</c:v>
                </c:pt>
                <c:pt idx="281">
                  <c:v>130</c:v>
                </c:pt>
                <c:pt idx="282">
                  <c:v>128</c:v>
                </c:pt>
                <c:pt idx="283">
                  <c:v>122</c:v>
                </c:pt>
                <c:pt idx="284">
                  <c:v>148</c:v>
                </c:pt>
                <c:pt idx="285">
                  <c:v>114</c:v>
                </c:pt>
                <c:pt idx="286">
                  <c:v>170</c:v>
                </c:pt>
                <c:pt idx="287">
                  <c:v>125</c:v>
                </c:pt>
                <c:pt idx="288">
                  <c:v>130</c:v>
                </c:pt>
                <c:pt idx="289">
                  <c:v>120</c:v>
                </c:pt>
                <c:pt idx="290">
                  <c:v>152</c:v>
                </c:pt>
                <c:pt idx="291">
                  <c:v>132</c:v>
                </c:pt>
                <c:pt idx="292">
                  <c:v>120</c:v>
                </c:pt>
                <c:pt idx="293">
                  <c:v>140</c:v>
                </c:pt>
                <c:pt idx="294">
                  <c:v>124</c:v>
                </c:pt>
                <c:pt idx="295">
                  <c:v>120</c:v>
                </c:pt>
                <c:pt idx="296">
                  <c:v>164</c:v>
                </c:pt>
                <c:pt idx="297">
                  <c:v>140</c:v>
                </c:pt>
                <c:pt idx="298">
                  <c:v>110</c:v>
                </c:pt>
                <c:pt idx="299">
                  <c:v>144</c:v>
                </c:pt>
                <c:pt idx="300">
                  <c:v>130</c:v>
                </c:pt>
                <c:pt idx="301">
                  <c:v>130</c:v>
                </c:pt>
                <c:pt idx="302">
                  <c:v>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C-4D01-9438-E45C5D80C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55552"/>
        <c:axId val="733254240"/>
      </c:scatterChart>
      <c:valAx>
        <c:axId val="733255552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54240"/>
        <c:crosses val="autoZero"/>
        <c:crossBetween val="midCat"/>
      </c:valAx>
      <c:valAx>
        <c:axId val="733254240"/>
        <c:scaling>
          <c:orientation val="minMax"/>
          <c:max val="21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Systolic Blood Pressure 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5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Heart Rate vs.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cleveland_data!$H$1</c:f>
              <c:strCache>
                <c:ptCount val="1"/>
                <c:pt idx="0">
                  <c:v>maxhr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cleveland_data!$A$2:$A$304</c:f>
              <c:numCache>
                <c:formatCode>General</c:formatCode>
                <c:ptCount val="303"/>
                <c:pt idx="0">
                  <c:v>63</c:v>
                </c:pt>
                <c:pt idx="1">
                  <c:v>67</c:v>
                </c:pt>
                <c:pt idx="2">
                  <c:v>67</c:v>
                </c:pt>
                <c:pt idx="3">
                  <c:v>37</c:v>
                </c:pt>
                <c:pt idx="4">
                  <c:v>41</c:v>
                </c:pt>
                <c:pt idx="5">
                  <c:v>56</c:v>
                </c:pt>
                <c:pt idx="6">
                  <c:v>62</c:v>
                </c:pt>
                <c:pt idx="7">
                  <c:v>57</c:v>
                </c:pt>
                <c:pt idx="8">
                  <c:v>63</c:v>
                </c:pt>
                <c:pt idx="9">
                  <c:v>53</c:v>
                </c:pt>
                <c:pt idx="10">
                  <c:v>57</c:v>
                </c:pt>
                <c:pt idx="11">
                  <c:v>56</c:v>
                </c:pt>
                <c:pt idx="12">
                  <c:v>56</c:v>
                </c:pt>
                <c:pt idx="13">
                  <c:v>44</c:v>
                </c:pt>
                <c:pt idx="14">
                  <c:v>52</c:v>
                </c:pt>
                <c:pt idx="15">
                  <c:v>57</c:v>
                </c:pt>
                <c:pt idx="16">
                  <c:v>48</c:v>
                </c:pt>
                <c:pt idx="17">
                  <c:v>54</c:v>
                </c:pt>
                <c:pt idx="18">
                  <c:v>48</c:v>
                </c:pt>
                <c:pt idx="19">
                  <c:v>49</c:v>
                </c:pt>
                <c:pt idx="20">
                  <c:v>64</c:v>
                </c:pt>
                <c:pt idx="21">
                  <c:v>58</c:v>
                </c:pt>
                <c:pt idx="22">
                  <c:v>58</c:v>
                </c:pt>
                <c:pt idx="23">
                  <c:v>58</c:v>
                </c:pt>
                <c:pt idx="24">
                  <c:v>60</c:v>
                </c:pt>
                <c:pt idx="25">
                  <c:v>50</c:v>
                </c:pt>
                <c:pt idx="26">
                  <c:v>58</c:v>
                </c:pt>
                <c:pt idx="27">
                  <c:v>66</c:v>
                </c:pt>
                <c:pt idx="28">
                  <c:v>43</c:v>
                </c:pt>
                <c:pt idx="29">
                  <c:v>40</c:v>
                </c:pt>
                <c:pt idx="30">
                  <c:v>69</c:v>
                </c:pt>
                <c:pt idx="31">
                  <c:v>60</c:v>
                </c:pt>
                <c:pt idx="32">
                  <c:v>64</c:v>
                </c:pt>
                <c:pt idx="33">
                  <c:v>59</c:v>
                </c:pt>
                <c:pt idx="34">
                  <c:v>44</c:v>
                </c:pt>
                <c:pt idx="35">
                  <c:v>42</c:v>
                </c:pt>
                <c:pt idx="36">
                  <c:v>43</c:v>
                </c:pt>
                <c:pt idx="37">
                  <c:v>57</c:v>
                </c:pt>
                <c:pt idx="38">
                  <c:v>55</c:v>
                </c:pt>
                <c:pt idx="39">
                  <c:v>61</c:v>
                </c:pt>
                <c:pt idx="40">
                  <c:v>65</c:v>
                </c:pt>
                <c:pt idx="41">
                  <c:v>40</c:v>
                </c:pt>
                <c:pt idx="42">
                  <c:v>71</c:v>
                </c:pt>
                <c:pt idx="43">
                  <c:v>59</c:v>
                </c:pt>
                <c:pt idx="44">
                  <c:v>61</c:v>
                </c:pt>
                <c:pt idx="45">
                  <c:v>58</c:v>
                </c:pt>
                <c:pt idx="46">
                  <c:v>51</c:v>
                </c:pt>
                <c:pt idx="47">
                  <c:v>50</c:v>
                </c:pt>
                <c:pt idx="48">
                  <c:v>65</c:v>
                </c:pt>
                <c:pt idx="49">
                  <c:v>53</c:v>
                </c:pt>
                <c:pt idx="50">
                  <c:v>41</c:v>
                </c:pt>
                <c:pt idx="51">
                  <c:v>65</c:v>
                </c:pt>
                <c:pt idx="52">
                  <c:v>44</c:v>
                </c:pt>
                <c:pt idx="53">
                  <c:v>44</c:v>
                </c:pt>
                <c:pt idx="54">
                  <c:v>60</c:v>
                </c:pt>
                <c:pt idx="55">
                  <c:v>54</c:v>
                </c:pt>
                <c:pt idx="56">
                  <c:v>50</c:v>
                </c:pt>
                <c:pt idx="57">
                  <c:v>41</c:v>
                </c:pt>
                <c:pt idx="58">
                  <c:v>54</c:v>
                </c:pt>
                <c:pt idx="59">
                  <c:v>51</c:v>
                </c:pt>
                <c:pt idx="60">
                  <c:v>51</c:v>
                </c:pt>
                <c:pt idx="61">
                  <c:v>46</c:v>
                </c:pt>
                <c:pt idx="62">
                  <c:v>58</c:v>
                </c:pt>
                <c:pt idx="63">
                  <c:v>54</c:v>
                </c:pt>
                <c:pt idx="64">
                  <c:v>54</c:v>
                </c:pt>
                <c:pt idx="65">
                  <c:v>60</c:v>
                </c:pt>
                <c:pt idx="66">
                  <c:v>60</c:v>
                </c:pt>
                <c:pt idx="67">
                  <c:v>54</c:v>
                </c:pt>
                <c:pt idx="68">
                  <c:v>59</c:v>
                </c:pt>
                <c:pt idx="69">
                  <c:v>46</c:v>
                </c:pt>
                <c:pt idx="70">
                  <c:v>65</c:v>
                </c:pt>
                <c:pt idx="71">
                  <c:v>67</c:v>
                </c:pt>
                <c:pt idx="72">
                  <c:v>62</c:v>
                </c:pt>
                <c:pt idx="73">
                  <c:v>65</c:v>
                </c:pt>
                <c:pt idx="74">
                  <c:v>44</c:v>
                </c:pt>
                <c:pt idx="75">
                  <c:v>65</c:v>
                </c:pt>
                <c:pt idx="76">
                  <c:v>60</c:v>
                </c:pt>
                <c:pt idx="77">
                  <c:v>51</c:v>
                </c:pt>
                <c:pt idx="78">
                  <c:v>48</c:v>
                </c:pt>
                <c:pt idx="79">
                  <c:v>58</c:v>
                </c:pt>
                <c:pt idx="80">
                  <c:v>45</c:v>
                </c:pt>
                <c:pt idx="81">
                  <c:v>53</c:v>
                </c:pt>
                <c:pt idx="82">
                  <c:v>39</c:v>
                </c:pt>
                <c:pt idx="83">
                  <c:v>68</c:v>
                </c:pt>
                <c:pt idx="84">
                  <c:v>52</c:v>
                </c:pt>
                <c:pt idx="85">
                  <c:v>44</c:v>
                </c:pt>
                <c:pt idx="86">
                  <c:v>47</c:v>
                </c:pt>
                <c:pt idx="87">
                  <c:v>53</c:v>
                </c:pt>
                <c:pt idx="88">
                  <c:v>53</c:v>
                </c:pt>
                <c:pt idx="89">
                  <c:v>51</c:v>
                </c:pt>
                <c:pt idx="90">
                  <c:v>66</c:v>
                </c:pt>
                <c:pt idx="91">
                  <c:v>62</c:v>
                </c:pt>
                <c:pt idx="92">
                  <c:v>62</c:v>
                </c:pt>
                <c:pt idx="93">
                  <c:v>44</c:v>
                </c:pt>
                <c:pt idx="94">
                  <c:v>63</c:v>
                </c:pt>
                <c:pt idx="95">
                  <c:v>52</c:v>
                </c:pt>
                <c:pt idx="96">
                  <c:v>59</c:v>
                </c:pt>
                <c:pt idx="97">
                  <c:v>60</c:v>
                </c:pt>
                <c:pt idx="98">
                  <c:v>52</c:v>
                </c:pt>
                <c:pt idx="99">
                  <c:v>48</c:v>
                </c:pt>
                <c:pt idx="100">
                  <c:v>45</c:v>
                </c:pt>
                <c:pt idx="101">
                  <c:v>34</c:v>
                </c:pt>
                <c:pt idx="102">
                  <c:v>57</c:v>
                </c:pt>
                <c:pt idx="103">
                  <c:v>71</c:v>
                </c:pt>
                <c:pt idx="104">
                  <c:v>49</c:v>
                </c:pt>
                <c:pt idx="105">
                  <c:v>54</c:v>
                </c:pt>
                <c:pt idx="106">
                  <c:v>59</c:v>
                </c:pt>
                <c:pt idx="107">
                  <c:v>57</c:v>
                </c:pt>
                <c:pt idx="108">
                  <c:v>61</c:v>
                </c:pt>
                <c:pt idx="109">
                  <c:v>39</c:v>
                </c:pt>
                <c:pt idx="110">
                  <c:v>61</c:v>
                </c:pt>
                <c:pt idx="111">
                  <c:v>56</c:v>
                </c:pt>
                <c:pt idx="112">
                  <c:v>52</c:v>
                </c:pt>
                <c:pt idx="113">
                  <c:v>43</c:v>
                </c:pt>
                <c:pt idx="114">
                  <c:v>62</c:v>
                </c:pt>
                <c:pt idx="115">
                  <c:v>41</c:v>
                </c:pt>
                <c:pt idx="116">
                  <c:v>58</c:v>
                </c:pt>
                <c:pt idx="117">
                  <c:v>35</c:v>
                </c:pt>
                <c:pt idx="118">
                  <c:v>63</c:v>
                </c:pt>
                <c:pt idx="119">
                  <c:v>65</c:v>
                </c:pt>
                <c:pt idx="120">
                  <c:v>48</c:v>
                </c:pt>
                <c:pt idx="121">
                  <c:v>63</c:v>
                </c:pt>
                <c:pt idx="122">
                  <c:v>51</c:v>
                </c:pt>
                <c:pt idx="123">
                  <c:v>55</c:v>
                </c:pt>
                <c:pt idx="124">
                  <c:v>65</c:v>
                </c:pt>
                <c:pt idx="125">
                  <c:v>45</c:v>
                </c:pt>
                <c:pt idx="126">
                  <c:v>56</c:v>
                </c:pt>
                <c:pt idx="127">
                  <c:v>54</c:v>
                </c:pt>
                <c:pt idx="128">
                  <c:v>44</c:v>
                </c:pt>
                <c:pt idx="129">
                  <c:v>62</c:v>
                </c:pt>
                <c:pt idx="130">
                  <c:v>54</c:v>
                </c:pt>
                <c:pt idx="131">
                  <c:v>51</c:v>
                </c:pt>
                <c:pt idx="132">
                  <c:v>29</c:v>
                </c:pt>
                <c:pt idx="133">
                  <c:v>51</c:v>
                </c:pt>
                <c:pt idx="134">
                  <c:v>43</c:v>
                </c:pt>
                <c:pt idx="135">
                  <c:v>55</c:v>
                </c:pt>
                <c:pt idx="136">
                  <c:v>70</c:v>
                </c:pt>
                <c:pt idx="137">
                  <c:v>62</c:v>
                </c:pt>
                <c:pt idx="138">
                  <c:v>35</c:v>
                </c:pt>
                <c:pt idx="139">
                  <c:v>51</c:v>
                </c:pt>
                <c:pt idx="140">
                  <c:v>59</c:v>
                </c:pt>
                <c:pt idx="141">
                  <c:v>59</c:v>
                </c:pt>
                <c:pt idx="142">
                  <c:v>52</c:v>
                </c:pt>
                <c:pt idx="143">
                  <c:v>64</c:v>
                </c:pt>
                <c:pt idx="144">
                  <c:v>58</c:v>
                </c:pt>
                <c:pt idx="145">
                  <c:v>47</c:v>
                </c:pt>
                <c:pt idx="146">
                  <c:v>57</c:v>
                </c:pt>
                <c:pt idx="147">
                  <c:v>41</c:v>
                </c:pt>
                <c:pt idx="148">
                  <c:v>45</c:v>
                </c:pt>
                <c:pt idx="149">
                  <c:v>60</c:v>
                </c:pt>
                <c:pt idx="150">
                  <c:v>52</c:v>
                </c:pt>
                <c:pt idx="151">
                  <c:v>42</c:v>
                </c:pt>
                <c:pt idx="152">
                  <c:v>67</c:v>
                </c:pt>
                <c:pt idx="153">
                  <c:v>55</c:v>
                </c:pt>
                <c:pt idx="154">
                  <c:v>64</c:v>
                </c:pt>
                <c:pt idx="155">
                  <c:v>70</c:v>
                </c:pt>
                <c:pt idx="156">
                  <c:v>51</c:v>
                </c:pt>
                <c:pt idx="157">
                  <c:v>58</c:v>
                </c:pt>
                <c:pt idx="158">
                  <c:v>60</c:v>
                </c:pt>
                <c:pt idx="159">
                  <c:v>68</c:v>
                </c:pt>
                <c:pt idx="160">
                  <c:v>46</c:v>
                </c:pt>
                <c:pt idx="161">
                  <c:v>77</c:v>
                </c:pt>
                <c:pt idx="162">
                  <c:v>54</c:v>
                </c:pt>
                <c:pt idx="163">
                  <c:v>58</c:v>
                </c:pt>
                <c:pt idx="164">
                  <c:v>48</c:v>
                </c:pt>
                <c:pt idx="165">
                  <c:v>57</c:v>
                </c:pt>
                <c:pt idx="166">
                  <c:v>52</c:v>
                </c:pt>
                <c:pt idx="167">
                  <c:v>54</c:v>
                </c:pt>
                <c:pt idx="168">
                  <c:v>35</c:v>
                </c:pt>
                <c:pt idx="169">
                  <c:v>45</c:v>
                </c:pt>
                <c:pt idx="170">
                  <c:v>70</c:v>
                </c:pt>
                <c:pt idx="171">
                  <c:v>53</c:v>
                </c:pt>
                <c:pt idx="172">
                  <c:v>59</c:v>
                </c:pt>
                <c:pt idx="173">
                  <c:v>62</c:v>
                </c:pt>
                <c:pt idx="174">
                  <c:v>64</c:v>
                </c:pt>
                <c:pt idx="175">
                  <c:v>57</c:v>
                </c:pt>
                <c:pt idx="176">
                  <c:v>52</c:v>
                </c:pt>
                <c:pt idx="177">
                  <c:v>56</c:v>
                </c:pt>
                <c:pt idx="178">
                  <c:v>43</c:v>
                </c:pt>
                <c:pt idx="179">
                  <c:v>53</c:v>
                </c:pt>
                <c:pt idx="180">
                  <c:v>48</c:v>
                </c:pt>
                <c:pt idx="181">
                  <c:v>56</c:v>
                </c:pt>
                <c:pt idx="182">
                  <c:v>42</c:v>
                </c:pt>
                <c:pt idx="183">
                  <c:v>59</c:v>
                </c:pt>
                <c:pt idx="184">
                  <c:v>60</c:v>
                </c:pt>
                <c:pt idx="185">
                  <c:v>63</c:v>
                </c:pt>
                <c:pt idx="186">
                  <c:v>42</c:v>
                </c:pt>
                <c:pt idx="187">
                  <c:v>66</c:v>
                </c:pt>
                <c:pt idx="188">
                  <c:v>54</c:v>
                </c:pt>
                <c:pt idx="189">
                  <c:v>69</c:v>
                </c:pt>
                <c:pt idx="190">
                  <c:v>50</c:v>
                </c:pt>
                <c:pt idx="191">
                  <c:v>51</c:v>
                </c:pt>
                <c:pt idx="192">
                  <c:v>43</c:v>
                </c:pt>
                <c:pt idx="193">
                  <c:v>62</c:v>
                </c:pt>
                <c:pt idx="194">
                  <c:v>68</c:v>
                </c:pt>
                <c:pt idx="195">
                  <c:v>67</c:v>
                </c:pt>
                <c:pt idx="196">
                  <c:v>69</c:v>
                </c:pt>
                <c:pt idx="197">
                  <c:v>45</c:v>
                </c:pt>
                <c:pt idx="198">
                  <c:v>50</c:v>
                </c:pt>
                <c:pt idx="199">
                  <c:v>59</c:v>
                </c:pt>
                <c:pt idx="200">
                  <c:v>50</c:v>
                </c:pt>
                <c:pt idx="201">
                  <c:v>64</c:v>
                </c:pt>
                <c:pt idx="202">
                  <c:v>57</c:v>
                </c:pt>
                <c:pt idx="203">
                  <c:v>64</c:v>
                </c:pt>
                <c:pt idx="204">
                  <c:v>43</c:v>
                </c:pt>
                <c:pt idx="205">
                  <c:v>45</c:v>
                </c:pt>
                <c:pt idx="206">
                  <c:v>58</c:v>
                </c:pt>
                <c:pt idx="207">
                  <c:v>50</c:v>
                </c:pt>
                <c:pt idx="208">
                  <c:v>55</c:v>
                </c:pt>
                <c:pt idx="209">
                  <c:v>62</c:v>
                </c:pt>
                <c:pt idx="210">
                  <c:v>37</c:v>
                </c:pt>
                <c:pt idx="211">
                  <c:v>38</c:v>
                </c:pt>
                <c:pt idx="212">
                  <c:v>41</c:v>
                </c:pt>
                <c:pt idx="213">
                  <c:v>66</c:v>
                </c:pt>
                <c:pt idx="214">
                  <c:v>52</c:v>
                </c:pt>
                <c:pt idx="215">
                  <c:v>56</c:v>
                </c:pt>
                <c:pt idx="216">
                  <c:v>46</c:v>
                </c:pt>
                <c:pt idx="217">
                  <c:v>46</c:v>
                </c:pt>
                <c:pt idx="218">
                  <c:v>64</c:v>
                </c:pt>
                <c:pt idx="219">
                  <c:v>59</c:v>
                </c:pt>
                <c:pt idx="220">
                  <c:v>41</c:v>
                </c:pt>
                <c:pt idx="221">
                  <c:v>54</c:v>
                </c:pt>
                <c:pt idx="222">
                  <c:v>39</c:v>
                </c:pt>
                <c:pt idx="223">
                  <c:v>53</c:v>
                </c:pt>
                <c:pt idx="224">
                  <c:v>63</c:v>
                </c:pt>
                <c:pt idx="225">
                  <c:v>34</c:v>
                </c:pt>
                <c:pt idx="226">
                  <c:v>47</c:v>
                </c:pt>
                <c:pt idx="227">
                  <c:v>67</c:v>
                </c:pt>
                <c:pt idx="228">
                  <c:v>54</c:v>
                </c:pt>
                <c:pt idx="229">
                  <c:v>66</c:v>
                </c:pt>
                <c:pt idx="230">
                  <c:v>52</c:v>
                </c:pt>
                <c:pt idx="231">
                  <c:v>55</c:v>
                </c:pt>
                <c:pt idx="232">
                  <c:v>49</c:v>
                </c:pt>
                <c:pt idx="233">
                  <c:v>74</c:v>
                </c:pt>
                <c:pt idx="234">
                  <c:v>54</c:v>
                </c:pt>
                <c:pt idx="235">
                  <c:v>54</c:v>
                </c:pt>
                <c:pt idx="236">
                  <c:v>56</c:v>
                </c:pt>
                <c:pt idx="237">
                  <c:v>46</c:v>
                </c:pt>
                <c:pt idx="238">
                  <c:v>49</c:v>
                </c:pt>
                <c:pt idx="239">
                  <c:v>42</c:v>
                </c:pt>
                <c:pt idx="240">
                  <c:v>41</c:v>
                </c:pt>
                <c:pt idx="241">
                  <c:v>41</c:v>
                </c:pt>
                <c:pt idx="242">
                  <c:v>49</c:v>
                </c:pt>
                <c:pt idx="243">
                  <c:v>61</c:v>
                </c:pt>
                <c:pt idx="244">
                  <c:v>60</c:v>
                </c:pt>
                <c:pt idx="245">
                  <c:v>67</c:v>
                </c:pt>
                <c:pt idx="246">
                  <c:v>58</c:v>
                </c:pt>
                <c:pt idx="247">
                  <c:v>47</c:v>
                </c:pt>
                <c:pt idx="248">
                  <c:v>52</c:v>
                </c:pt>
                <c:pt idx="249">
                  <c:v>62</c:v>
                </c:pt>
                <c:pt idx="250">
                  <c:v>57</c:v>
                </c:pt>
                <c:pt idx="251">
                  <c:v>58</c:v>
                </c:pt>
                <c:pt idx="252">
                  <c:v>64</c:v>
                </c:pt>
                <c:pt idx="253">
                  <c:v>51</c:v>
                </c:pt>
                <c:pt idx="254">
                  <c:v>43</c:v>
                </c:pt>
                <c:pt idx="255">
                  <c:v>42</c:v>
                </c:pt>
                <c:pt idx="256">
                  <c:v>67</c:v>
                </c:pt>
                <c:pt idx="257">
                  <c:v>76</c:v>
                </c:pt>
                <c:pt idx="258">
                  <c:v>70</c:v>
                </c:pt>
                <c:pt idx="259">
                  <c:v>57</c:v>
                </c:pt>
                <c:pt idx="260">
                  <c:v>44</c:v>
                </c:pt>
                <c:pt idx="261">
                  <c:v>58</c:v>
                </c:pt>
                <c:pt idx="262">
                  <c:v>60</c:v>
                </c:pt>
                <c:pt idx="263">
                  <c:v>44</c:v>
                </c:pt>
                <c:pt idx="264">
                  <c:v>61</c:v>
                </c:pt>
                <c:pt idx="265">
                  <c:v>42</c:v>
                </c:pt>
                <c:pt idx="266">
                  <c:v>52</c:v>
                </c:pt>
                <c:pt idx="267">
                  <c:v>59</c:v>
                </c:pt>
                <c:pt idx="268">
                  <c:v>40</c:v>
                </c:pt>
                <c:pt idx="269">
                  <c:v>42</c:v>
                </c:pt>
                <c:pt idx="270">
                  <c:v>61</c:v>
                </c:pt>
                <c:pt idx="271">
                  <c:v>66</c:v>
                </c:pt>
                <c:pt idx="272">
                  <c:v>46</c:v>
                </c:pt>
                <c:pt idx="273">
                  <c:v>71</c:v>
                </c:pt>
                <c:pt idx="274">
                  <c:v>59</c:v>
                </c:pt>
                <c:pt idx="275">
                  <c:v>64</c:v>
                </c:pt>
                <c:pt idx="276">
                  <c:v>66</c:v>
                </c:pt>
                <c:pt idx="277">
                  <c:v>39</c:v>
                </c:pt>
                <c:pt idx="278">
                  <c:v>57</c:v>
                </c:pt>
                <c:pt idx="279">
                  <c:v>58</c:v>
                </c:pt>
                <c:pt idx="280">
                  <c:v>57</c:v>
                </c:pt>
                <c:pt idx="281">
                  <c:v>47</c:v>
                </c:pt>
                <c:pt idx="282">
                  <c:v>55</c:v>
                </c:pt>
                <c:pt idx="283">
                  <c:v>35</c:v>
                </c:pt>
                <c:pt idx="284">
                  <c:v>61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56</c:v>
                </c:pt>
                <c:pt idx="289">
                  <c:v>56</c:v>
                </c:pt>
                <c:pt idx="290">
                  <c:v>67</c:v>
                </c:pt>
                <c:pt idx="291">
                  <c:v>55</c:v>
                </c:pt>
                <c:pt idx="292">
                  <c:v>44</c:v>
                </c:pt>
                <c:pt idx="293">
                  <c:v>63</c:v>
                </c:pt>
                <c:pt idx="294">
                  <c:v>63</c:v>
                </c:pt>
                <c:pt idx="295">
                  <c:v>41</c:v>
                </c:pt>
                <c:pt idx="296">
                  <c:v>59</c:v>
                </c:pt>
                <c:pt idx="297">
                  <c:v>57</c:v>
                </c:pt>
                <c:pt idx="298">
                  <c:v>45</c:v>
                </c:pt>
                <c:pt idx="299">
                  <c:v>68</c:v>
                </c:pt>
                <c:pt idx="300">
                  <c:v>57</c:v>
                </c:pt>
                <c:pt idx="301">
                  <c:v>57</c:v>
                </c:pt>
                <c:pt idx="302">
                  <c:v>38</c:v>
                </c:pt>
              </c:numCache>
            </c:numRef>
          </c:xVal>
          <c:yVal>
            <c:numRef>
              <c:f>cleveland_data!$H$2:$H$304</c:f>
              <c:numCache>
                <c:formatCode>General</c:formatCode>
                <c:ptCount val="303"/>
                <c:pt idx="0">
                  <c:v>150</c:v>
                </c:pt>
                <c:pt idx="1">
                  <c:v>108</c:v>
                </c:pt>
                <c:pt idx="2">
                  <c:v>129</c:v>
                </c:pt>
                <c:pt idx="3">
                  <c:v>187</c:v>
                </c:pt>
                <c:pt idx="4">
                  <c:v>172</c:v>
                </c:pt>
                <c:pt idx="5">
                  <c:v>178</c:v>
                </c:pt>
                <c:pt idx="6">
                  <c:v>160</c:v>
                </c:pt>
                <c:pt idx="7">
                  <c:v>163</c:v>
                </c:pt>
                <c:pt idx="8">
                  <c:v>147</c:v>
                </c:pt>
                <c:pt idx="9">
                  <c:v>155</c:v>
                </c:pt>
                <c:pt idx="10">
                  <c:v>148</c:v>
                </c:pt>
                <c:pt idx="11">
                  <c:v>153</c:v>
                </c:pt>
                <c:pt idx="12">
                  <c:v>142</c:v>
                </c:pt>
                <c:pt idx="13">
                  <c:v>173</c:v>
                </c:pt>
                <c:pt idx="14">
                  <c:v>162</c:v>
                </c:pt>
                <c:pt idx="15">
                  <c:v>174</c:v>
                </c:pt>
                <c:pt idx="16">
                  <c:v>168</c:v>
                </c:pt>
                <c:pt idx="17">
                  <c:v>160</c:v>
                </c:pt>
                <c:pt idx="18">
                  <c:v>139</c:v>
                </c:pt>
                <c:pt idx="19">
                  <c:v>171</c:v>
                </c:pt>
                <c:pt idx="20">
                  <c:v>144</c:v>
                </c:pt>
                <c:pt idx="21">
                  <c:v>162</c:v>
                </c:pt>
                <c:pt idx="22">
                  <c:v>160</c:v>
                </c:pt>
                <c:pt idx="23">
                  <c:v>173</c:v>
                </c:pt>
                <c:pt idx="24">
                  <c:v>132</c:v>
                </c:pt>
                <c:pt idx="25">
                  <c:v>158</c:v>
                </c:pt>
                <c:pt idx="26">
                  <c:v>172</c:v>
                </c:pt>
                <c:pt idx="27">
                  <c:v>114</c:v>
                </c:pt>
                <c:pt idx="28">
                  <c:v>171</c:v>
                </c:pt>
                <c:pt idx="29">
                  <c:v>114</c:v>
                </c:pt>
                <c:pt idx="30">
                  <c:v>151</c:v>
                </c:pt>
                <c:pt idx="31">
                  <c:v>160</c:v>
                </c:pt>
                <c:pt idx="32">
                  <c:v>158</c:v>
                </c:pt>
                <c:pt idx="33">
                  <c:v>161</c:v>
                </c:pt>
                <c:pt idx="34">
                  <c:v>179</c:v>
                </c:pt>
                <c:pt idx="35">
                  <c:v>178</c:v>
                </c:pt>
                <c:pt idx="36">
                  <c:v>120</c:v>
                </c:pt>
                <c:pt idx="37">
                  <c:v>112</c:v>
                </c:pt>
                <c:pt idx="38">
                  <c:v>132</c:v>
                </c:pt>
                <c:pt idx="39">
                  <c:v>137</c:v>
                </c:pt>
                <c:pt idx="40">
                  <c:v>114</c:v>
                </c:pt>
                <c:pt idx="41">
                  <c:v>178</c:v>
                </c:pt>
                <c:pt idx="42">
                  <c:v>162</c:v>
                </c:pt>
                <c:pt idx="43">
                  <c:v>157</c:v>
                </c:pt>
                <c:pt idx="44">
                  <c:v>169</c:v>
                </c:pt>
                <c:pt idx="45">
                  <c:v>165</c:v>
                </c:pt>
                <c:pt idx="46">
                  <c:v>123</c:v>
                </c:pt>
                <c:pt idx="47">
                  <c:v>128</c:v>
                </c:pt>
                <c:pt idx="48">
                  <c:v>157</c:v>
                </c:pt>
                <c:pt idx="49">
                  <c:v>152</c:v>
                </c:pt>
                <c:pt idx="50">
                  <c:v>168</c:v>
                </c:pt>
                <c:pt idx="51">
                  <c:v>140</c:v>
                </c:pt>
                <c:pt idx="52">
                  <c:v>153</c:v>
                </c:pt>
                <c:pt idx="53">
                  <c:v>188</c:v>
                </c:pt>
                <c:pt idx="54">
                  <c:v>144</c:v>
                </c:pt>
                <c:pt idx="55">
                  <c:v>109</c:v>
                </c:pt>
                <c:pt idx="56">
                  <c:v>163</c:v>
                </c:pt>
                <c:pt idx="57">
                  <c:v>158</c:v>
                </c:pt>
                <c:pt idx="58">
                  <c:v>152</c:v>
                </c:pt>
                <c:pt idx="59">
                  <c:v>125</c:v>
                </c:pt>
                <c:pt idx="60">
                  <c:v>142</c:v>
                </c:pt>
                <c:pt idx="61">
                  <c:v>160</c:v>
                </c:pt>
                <c:pt idx="62">
                  <c:v>131</c:v>
                </c:pt>
                <c:pt idx="63">
                  <c:v>170</c:v>
                </c:pt>
                <c:pt idx="64">
                  <c:v>113</c:v>
                </c:pt>
                <c:pt idx="65">
                  <c:v>142</c:v>
                </c:pt>
                <c:pt idx="66">
                  <c:v>155</c:v>
                </c:pt>
                <c:pt idx="67">
                  <c:v>165</c:v>
                </c:pt>
                <c:pt idx="68">
                  <c:v>140</c:v>
                </c:pt>
                <c:pt idx="69">
                  <c:v>147</c:v>
                </c:pt>
                <c:pt idx="70">
                  <c:v>148</c:v>
                </c:pt>
                <c:pt idx="71">
                  <c:v>163</c:v>
                </c:pt>
                <c:pt idx="72">
                  <c:v>99</c:v>
                </c:pt>
                <c:pt idx="73">
                  <c:v>158</c:v>
                </c:pt>
                <c:pt idx="74">
                  <c:v>177</c:v>
                </c:pt>
                <c:pt idx="75">
                  <c:v>151</c:v>
                </c:pt>
                <c:pt idx="76">
                  <c:v>141</c:v>
                </c:pt>
                <c:pt idx="77">
                  <c:v>142</c:v>
                </c:pt>
                <c:pt idx="78">
                  <c:v>180</c:v>
                </c:pt>
                <c:pt idx="79">
                  <c:v>111</c:v>
                </c:pt>
                <c:pt idx="80">
                  <c:v>148</c:v>
                </c:pt>
                <c:pt idx="81">
                  <c:v>143</c:v>
                </c:pt>
                <c:pt idx="82">
                  <c:v>182</c:v>
                </c:pt>
                <c:pt idx="83">
                  <c:v>150</c:v>
                </c:pt>
                <c:pt idx="84">
                  <c:v>172</c:v>
                </c:pt>
                <c:pt idx="85">
                  <c:v>180</c:v>
                </c:pt>
                <c:pt idx="86">
                  <c:v>156</c:v>
                </c:pt>
                <c:pt idx="87">
                  <c:v>115</c:v>
                </c:pt>
                <c:pt idx="88">
                  <c:v>160</c:v>
                </c:pt>
                <c:pt idx="89">
                  <c:v>149</c:v>
                </c:pt>
                <c:pt idx="90">
                  <c:v>151</c:v>
                </c:pt>
                <c:pt idx="91">
                  <c:v>145</c:v>
                </c:pt>
                <c:pt idx="92">
                  <c:v>146</c:v>
                </c:pt>
                <c:pt idx="93">
                  <c:v>175</c:v>
                </c:pt>
                <c:pt idx="94">
                  <c:v>172</c:v>
                </c:pt>
                <c:pt idx="95">
                  <c:v>161</c:v>
                </c:pt>
                <c:pt idx="96">
                  <c:v>142</c:v>
                </c:pt>
                <c:pt idx="97">
                  <c:v>157</c:v>
                </c:pt>
                <c:pt idx="98">
                  <c:v>158</c:v>
                </c:pt>
                <c:pt idx="99">
                  <c:v>186</c:v>
                </c:pt>
                <c:pt idx="100">
                  <c:v>185</c:v>
                </c:pt>
                <c:pt idx="101">
                  <c:v>174</c:v>
                </c:pt>
                <c:pt idx="102">
                  <c:v>159</c:v>
                </c:pt>
                <c:pt idx="103">
                  <c:v>130</c:v>
                </c:pt>
                <c:pt idx="104">
                  <c:v>139</c:v>
                </c:pt>
                <c:pt idx="105">
                  <c:v>156</c:v>
                </c:pt>
                <c:pt idx="106">
                  <c:v>162</c:v>
                </c:pt>
                <c:pt idx="107">
                  <c:v>150</c:v>
                </c:pt>
                <c:pt idx="108">
                  <c:v>140</c:v>
                </c:pt>
                <c:pt idx="109">
                  <c:v>140</c:v>
                </c:pt>
                <c:pt idx="110">
                  <c:v>146</c:v>
                </c:pt>
                <c:pt idx="111">
                  <c:v>144</c:v>
                </c:pt>
                <c:pt idx="112">
                  <c:v>190</c:v>
                </c:pt>
                <c:pt idx="113">
                  <c:v>136</c:v>
                </c:pt>
                <c:pt idx="114">
                  <c:v>97</c:v>
                </c:pt>
                <c:pt idx="115">
                  <c:v>132</c:v>
                </c:pt>
                <c:pt idx="116">
                  <c:v>165</c:v>
                </c:pt>
                <c:pt idx="117">
                  <c:v>182</c:v>
                </c:pt>
                <c:pt idx="118">
                  <c:v>132</c:v>
                </c:pt>
                <c:pt idx="119">
                  <c:v>127</c:v>
                </c:pt>
                <c:pt idx="120">
                  <c:v>150</c:v>
                </c:pt>
                <c:pt idx="121">
                  <c:v>154</c:v>
                </c:pt>
                <c:pt idx="122">
                  <c:v>143</c:v>
                </c:pt>
                <c:pt idx="123">
                  <c:v>111</c:v>
                </c:pt>
                <c:pt idx="124">
                  <c:v>174</c:v>
                </c:pt>
                <c:pt idx="125">
                  <c:v>175</c:v>
                </c:pt>
                <c:pt idx="126">
                  <c:v>133</c:v>
                </c:pt>
                <c:pt idx="127">
                  <c:v>126</c:v>
                </c:pt>
                <c:pt idx="128">
                  <c:v>170</c:v>
                </c:pt>
                <c:pt idx="129">
                  <c:v>163</c:v>
                </c:pt>
                <c:pt idx="130">
                  <c:v>147</c:v>
                </c:pt>
                <c:pt idx="131">
                  <c:v>154</c:v>
                </c:pt>
                <c:pt idx="132">
                  <c:v>202</c:v>
                </c:pt>
                <c:pt idx="133">
                  <c:v>186</c:v>
                </c:pt>
                <c:pt idx="134">
                  <c:v>165</c:v>
                </c:pt>
                <c:pt idx="135">
                  <c:v>161</c:v>
                </c:pt>
                <c:pt idx="136">
                  <c:v>125</c:v>
                </c:pt>
                <c:pt idx="137">
                  <c:v>103</c:v>
                </c:pt>
                <c:pt idx="138">
                  <c:v>130</c:v>
                </c:pt>
                <c:pt idx="139">
                  <c:v>166</c:v>
                </c:pt>
                <c:pt idx="140">
                  <c:v>164</c:v>
                </c:pt>
                <c:pt idx="141">
                  <c:v>159</c:v>
                </c:pt>
                <c:pt idx="142">
                  <c:v>184</c:v>
                </c:pt>
                <c:pt idx="143">
                  <c:v>131</c:v>
                </c:pt>
                <c:pt idx="144">
                  <c:v>154</c:v>
                </c:pt>
                <c:pt idx="145">
                  <c:v>152</c:v>
                </c:pt>
                <c:pt idx="146">
                  <c:v>124</c:v>
                </c:pt>
                <c:pt idx="147">
                  <c:v>179</c:v>
                </c:pt>
                <c:pt idx="148">
                  <c:v>170</c:v>
                </c:pt>
                <c:pt idx="149">
                  <c:v>160</c:v>
                </c:pt>
                <c:pt idx="150">
                  <c:v>178</c:v>
                </c:pt>
                <c:pt idx="151">
                  <c:v>122</c:v>
                </c:pt>
                <c:pt idx="152">
                  <c:v>160</c:v>
                </c:pt>
                <c:pt idx="153">
                  <c:v>145</c:v>
                </c:pt>
                <c:pt idx="154">
                  <c:v>96</c:v>
                </c:pt>
                <c:pt idx="155">
                  <c:v>109</c:v>
                </c:pt>
                <c:pt idx="156">
                  <c:v>173</c:v>
                </c:pt>
                <c:pt idx="157">
                  <c:v>171</c:v>
                </c:pt>
                <c:pt idx="158">
                  <c:v>170</c:v>
                </c:pt>
                <c:pt idx="159">
                  <c:v>151</c:v>
                </c:pt>
                <c:pt idx="160">
                  <c:v>156</c:v>
                </c:pt>
                <c:pt idx="161">
                  <c:v>162</c:v>
                </c:pt>
                <c:pt idx="162">
                  <c:v>158</c:v>
                </c:pt>
                <c:pt idx="163">
                  <c:v>122</c:v>
                </c:pt>
                <c:pt idx="164">
                  <c:v>175</c:v>
                </c:pt>
                <c:pt idx="165">
                  <c:v>168</c:v>
                </c:pt>
                <c:pt idx="166">
                  <c:v>169</c:v>
                </c:pt>
                <c:pt idx="167">
                  <c:v>159</c:v>
                </c:pt>
                <c:pt idx="168">
                  <c:v>156</c:v>
                </c:pt>
                <c:pt idx="169">
                  <c:v>138</c:v>
                </c:pt>
                <c:pt idx="170">
                  <c:v>112</c:v>
                </c:pt>
                <c:pt idx="171">
                  <c:v>111</c:v>
                </c:pt>
                <c:pt idx="172">
                  <c:v>143</c:v>
                </c:pt>
                <c:pt idx="173">
                  <c:v>157</c:v>
                </c:pt>
                <c:pt idx="174">
                  <c:v>132</c:v>
                </c:pt>
                <c:pt idx="175">
                  <c:v>88</c:v>
                </c:pt>
                <c:pt idx="176">
                  <c:v>147</c:v>
                </c:pt>
                <c:pt idx="177">
                  <c:v>105</c:v>
                </c:pt>
                <c:pt idx="178">
                  <c:v>162</c:v>
                </c:pt>
                <c:pt idx="179">
                  <c:v>173</c:v>
                </c:pt>
                <c:pt idx="180">
                  <c:v>166</c:v>
                </c:pt>
                <c:pt idx="181">
                  <c:v>150</c:v>
                </c:pt>
                <c:pt idx="182">
                  <c:v>178</c:v>
                </c:pt>
                <c:pt idx="183">
                  <c:v>145</c:v>
                </c:pt>
                <c:pt idx="184">
                  <c:v>161</c:v>
                </c:pt>
                <c:pt idx="185">
                  <c:v>179</c:v>
                </c:pt>
                <c:pt idx="186">
                  <c:v>194</c:v>
                </c:pt>
                <c:pt idx="187">
                  <c:v>120</c:v>
                </c:pt>
                <c:pt idx="188">
                  <c:v>195</c:v>
                </c:pt>
                <c:pt idx="189">
                  <c:v>146</c:v>
                </c:pt>
                <c:pt idx="190">
                  <c:v>163</c:v>
                </c:pt>
                <c:pt idx="191">
                  <c:v>122</c:v>
                </c:pt>
                <c:pt idx="192">
                  <c:v>143</c:v>
                </c:pt>
                <c:pt idx="193">
                  <c:v>106</c:v>
                </c:pt>
                <c:pt idx="194">
                  <c:v>115</c:v>
                </c:pt>
                <c:pt idx="195">
                  <c:v>125</c:v>
                </c:pt>
                <c:pt idx="196">
                  <c:v>131</c:v>
                </c:pt>
                <c:pt idx="197">
                  <c:v>152</c:v>
                </c:pt>
                <c:pt idx="198">
                  <c:v>162</c:v>
                </c:pt>
                <c:pt idx="199">
                  <c:v>125</c:v>
                </c:pt>
                <c:pt idx="200">
                  <c:v>159</c:v>
                </c:pt>
                <c:pt idx="201">
                  <c:v>154</c:v>
                </c:pt>
                <c:pt idx="202">
                  <c:v>173</c:v>
                </c:pt>
                <c:pt idx="203">
                  <c:v>133</c:v>
                </c:pt>
                <c:pt idx="204">
                  <c:v>161</c:v>
                </c:pt>
                <c:pt idx="205">
                  <c:v>147</c:v>
                </c:pt>
                <c:pt idx="206">
                  <c:v>130</c:v>
                </c:pt>
                <c:pt idx="207">
                  <c:v>126</c:v>
                </c:pt>
                <c:pt idx="208">
                  <c:v>155</c:v>
                </c:pt>
                <c:pt idx="209">
                  <c:v>154</c:v>
                </c:pt>
                <c:pt idx="210">
                  <c:v>170</c:v>
                </c:pt>
                <c:pt idx="211">
                  <c:v>182</c:v>
                </c:pt>
                <c:pt idx="212">
                  <c:v>168</c:v>
                </c:pt>
                <c:pt idx="213">
                  <c:v>165</c:v>
                </c:pt>
                <c:pt idx="214">
                  <c:v>160</c:v>
                </c:pt>
                <c:pt idx="215">
                  <c:v>162</c:v>
                </c:pt>
                <c:pt idx="216">
                  <c:v>172</c:v>
                </c:pt>
                <c:pt idx="217">
                  <c:v>152</c:v>
                </c:pt>
                <c:pt idx="218">
                  <c:v>122</c:v>
                </c:pt>
                <c:pt idx="219">
                  <c:v>182</c:v>
                </c:pt>
                <c:pt idx="220">
                  <c:v>172</c:v>
                </c:pt>
                <c:pt idx="221">
                  <c:v>167</c:v>
                </c:pt>
                <c:pt idx="222">
                  <c:v>179</c:v>
                </c:pt>
                <c:pt idx="223">
                  <c:v>95</c:v>
                </c:pt>
                <c:pt idx="224">
                  <c:v>169</c:v>
                </c:pt>
                <c:pt idx="225">
                  <c:v>192</c:v>
                </c:pt>
                <c:pt idx="226">
                  <c:v>143</c:v>
                </c:pt>
                <c:pt idx="227">
                  <c:v>172</c:v>
                </c:pt>
                <c:pt idx="228">
                  <c:v>108</c:v>
                </c:pt>
                <c:pt idx="229">
                  <c:v>132</c:v>
                </c:pt>
                <c:pt idx="230">
                  <c:v>169</c:v>
                </c:pt>
                <c:pt idx="231">
                  <c:v>117</c:v>
                </c:pt>
                <c:pt idx="232">
                  <c:v>126</c:v>
                </c:pt>
                <c:pt idx="233">
                  <c:v>121</c:v>
                </c:pt>
                <c:pt idx="234">
                  <c:v>163</c:v>
                </c:pt>
                <c:pt idx="235">
                  <c:v>116</c:v>
                </c:pt>
                <c:pt idx="236">
                  <c:v>103</c:v>
                </c:pt>
                <c:pt idx="237">
                  <c:v>144</c:v>
                </c:pt>
                <c:pt idx="238">
                  <c:v>162</c:v>
                </c:pt>
                <c:pt idx="239">
                  <c:v>162</c:v>
                </c:pt>
                <c:pt idx="240">
                  <c:v>153</c:v>
                </c:pt>
                <c:pt idx="241">
                  <c:v>163</c:v>
                </c:pt>
                <c:pt idx="242">
                  <c:v>163</c:v>
                </c:pt>
                <c:pt idx="243">
                  <c:v>145</c:v>
                </c:pt>
                <c:pt idx="244">
                  <c:v>96</c:v>
                </c:pt>
                <c:pt idx="245">
                  <c:v>71</c:v>
                </c:pt>
                <c:pt idx="246">
                  <c:v>156</c:v>
                </c:pt>
                <c:pt idx="247">
                  <c:v>118</c:v>
                </c:pt>
                <c:pt idx="248">
                  <c:v>168</c:v>
                </c:pt>
                <c:pt idx="249">
                  <c:v>140</c:v>
                </c:pt>
                <c:pt idx="250">
                  <c:v>126</c:v>
                </c:pt>
                <c:pt idx="251">
                  <c:v>105</c:v>
                </c:pt>
                <c:pt idx="252">
                  <c:v>105</c:v>
                </c:pt>
                <c:pt idx="253">
                  <c:v>157</c:v>
                </c:pt>
                <c:pt idx="254">
                  <c:v>181</c:v>
                </c:pt>
                <c:pt idx="255">
                  <c:v>173</c:v>
                </c:pt>
                <c:pt idx="256">
                  <c:v>142</c:v>
                </c:pt>
                <c:pt idx="257">
                  <c:v>116</c:v>
                </c:pt>
                <c:pt idx="258">
                  <c:v>143</c:v>
                </c:pt>
                <c:pt idx="259">
                  <c:v>141</c:v>
                </c:pt>
                <c:pt idx="260">
                  <c:v>149</c:v>
                </c:pt>
                <c:pt idx="261">
                  <c:v>152</c:v>
                </c:pt>
                <c:pt idx="262">
                  <c:v>171</c:v>
                </c:pt>
                <c:pt idx="263">
                  <c:v>169</c:v>
                </c:pt>
                <c:pt idx="264">
                  <c:v>125</c:v>
                </c:pt>
                <c:pt idx="265">
                  <c:v>125</c:v>
                </c:pt>
                <c:pt idx="266">
                  <c:v>156</c:v>
                </c:pt>
                <c:pt idx="267">
                  <c:v>134</c:v>
                </c:pt>
                <c:pt idx="268">
                  <c:v>181</c:v>
                </c:pt>
                <c:pt idx="269">
                  <c:v>150</c:v>
                </c:pt>
                <c:pt idx="270">
                  <c:v>138</c:v>
                </c:pt>
                <c:pt idx="271">
                  <c:v>138</c:v>
                </c:pt>
                <c:pt idx="272">
                  <c:v>120</c:v>
                </c:pt>
                <c:pt idx="273">
                  <c:v>125</c:v>
                </c:pt>
                <c:pt idx="274">
                  <c:v>162</c:v>
                </c:pt>
                <c:pt idx="275">
                  <c:v>155</c:v>
                </c:pt>
                <c:pt idx="276">
                  <c:v>152</c:v>
                </c:pt>
                <c:pt idx="277">
                  <c:v>152</c:v>
                </c:pt>
                <c:pt idx="278">
                  <c:v>164</c:v>
                </c:pt>
                <c:pt idx="279">
                  <c:v>131</c:v>
                </c:pt>
                <c:pt idx="280">
                  <c:v>143</c:v>
                </c:pt>
                <c:pt idx="281">
                  <c:v>179</c:v>
                </c:pt>
                <c:pt idx="282">
                  <c:v>130</c:v>
                </c:pt>
                <c:pt idx="283">
                  <c:v>174</c:v>
                </c:pt>
                <c:pt idx="284">
                  <c:v>161</c:v>
                </c:pt>
                <c:pt idx="285">
                  <c:v>140</c:v>
                </c:pt>
                <c:pt idx="286">
                  <c:v>146</c:v>
                </c:pt>
                <c:pt idx="287">
                  <c:v>144</c:v>
                </c:pt>
                <c:pt idx="288">
                  <c:v>163</c:v>
                </c:pt>
                <c:pt idx="289">
                  <c:v>169</c:v>
                </c:pt>
                <c:pt idx="290">
                  <c:v>150</c:v>
                </c:pt>
                <c:pt idx="291">
                  <c:v>166</c:v>
                </c:pt>
                <c:pt idx="292">
                  <c:v>144</c:v>
                </c:pt>
                <c:pt idx="293">
                  <c:v>144</c:v>
                </c:pt>
                <c:pt idx="294">
                  <c:v>136</c:v>
                </c:pt>
                <c:pt idx="295">
                  <c:v>182</c:v>
                </c:pt>
                <c:pt idx="296">
                  <c:v>90</c:v>
                </c:pt>
                <c:pt idx="297">
                  <c:v>123</c:v>
                </c:pt>
                <c:pt idx="298">
                  <c:v>132</c:v>
                </c:pt>
                <c:pt idx="299">
                  <c:v>141</c:v>
                </c:pt>
                <c:pt idx="300">
                  <c:v>115</c:v>
                </c:pt>
                <c:pt idx="301">
                  <c:v>174</c:v>
                </c:pt>
                <c:pt idx="302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2-4AF0-9E6E-B7FF2725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4072"/>
        <c:axId val="733243416"/>
      </c:scatterChart>
      <c:valAx>
        <c:axId val="733244072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3416"/>
        <c:crosses val="autoZero"/>
        <c:crossBetween val="midCat"/>
      </c:valAx>
      <c:valAx>
        <c:axId val="733243416"/>
        <c:scaling>
          <c:orientation val="minMax"/>
          <c:max val="2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Maximum Heart Rate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428667429495829"/>
              <c:y val="-5.686144495095943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588360807197882"/>
              <c:y val="6.871114794861168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chart_data!$K$2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</c:spPr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F-4BC7-9EAD-63E4A66662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AF-4BC7-9EAD-63E4A66662D8}"/>
              </c:ext>
            </c:extLst>
          </c:dPt>
          <c:dLbls>
            <c:dLbl>
              <c:idx val="0"/>
              <c:layout>
                <c:manualLayout>
                  <c:x val="-0.21428667429495829"/>
                  <c:y val="-5.686144495095943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F-4BC7-9EAD-63E4A66662D8}"/>
                </c:ext>
              </c:extLst>
            </c:dLbl>
            <c:dLbl>
              <c:idx val="1"/>
              <c:layout>
                <c:manualLayout>
                  <c:x val="0.18588360807197882"/>
                  <c:y val="6.8711147948611684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F-4BC7-9EAD-63E4A6666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chart_data!$J$3:$J$5</c:f>
              <c:strCache>
                <c:ptCount val="2"/>
                <c:pt idx="0">
                  <c:v>No Heart Disease</c:v>
                </c:pt>
                <c:pt idx="1">
                  <c:v>Heart Disease</c:v>
                </c:pt>
              </c:strCache>
            </c:strRef>
          </c:cat>
          <c:val>
            <c:numRef>
              <c:f>chart_data!$K$3:$K$5</c:f>
              <c:numCache>
                <c:formatCode>0.0%</c:formatCode>
                <c:ptCount val="2"/>
                <c:pt idx="0">
                  <c:v>0.54125412541254125</c:v>
                </c:pt>
                <c:pt idx="1">
                  <c:v>0.45874587458745875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AF-4BC7-9EAD-63E4A66662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53925810892899"/>
          <c:y val="0.46886310263848596"/>
          <c:w val="0.30908143435504792"/>
          <c:h val="0.160834921950545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</a:t>
            </a:r>
            <a:r>
              <a:rPr lang="en-GB" baseline="0"/>
              <a:t> Disease by Exercise-induced Angina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chart_data!$K$41:$K$42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chart_data!$J$43:$J$45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chart_data!$K$43:$K$45</c:f>
              <c:numCache>
                <c:formatCode>0.0%</c:formatCode>
                <c:ptCount val="2"/>
                <c:pt idx="0">
                  <c:v>0.69117647058823528</c:v>
                </c:pt>
                <c:pt idx="1">
                  <c:v>0.23232323232323232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1-47EE-BAEE-F90F54DD62B4}"/>
            </c:ext>
          </c:extLst>
        </c:ser>
        <c:ser>
          <c:idx val="1"/>
          <c:order val="1"/>
          <c:tx>
            <c:strRef>
              <c:f>chart_data!$L$41:$L$42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chart_data!$J$43:$J$45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chart_data!$L$43:$L$45</c:f>
              <c:numCache>
                <c:formatCode>0.0%</c:formatCode>
                <c:ptCount val="2"/>
                <c:pt idx="0">
                  <c:v>0.30882352941176472</c:v>
                </c:pt>
                <c:pt idx="1">
                  <c:v>0.76767676767676762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1-47EE-BAEE-F90F54DD62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4720704"/>
        <c:axId val="1098744144"/>
      </c:barChart>
      <c:catAx>
        <c:axId val="182472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44144"/>
        <c:crosses val="autoZero"/>
        <c:auto val="1"/>
        <c:lblAlgn val="ctr"/>
        <c:lblOffset val="100"/>
        <c:noMultiLvlLbl val="0"/>
      </c:catAx>
      <c:valAx>
        <c:axId val="109874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72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chart_data!$K$7:$K$8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chart_data!$J$9:$J$11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chart_data!$K$9:$K$11</c:f>
              <c:numCache>
                <c:formatCode>0.0%</c:formatCode>
                <c:ptCount val="2"/>
                <c:pt idx="0">
                  <c:v>0.74226804123711343</c:v>
                </c:pt>
                <c:pt idx="1">
                  <c:v>0.44660194174757284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0-4027-B9BA-E398CA235629}"/>
            </c:ext>
          </c:extLst>
        </c:ser>
        <c:ser>
          <c:idx val="1"/>
          <c:order val="1"/>
          <c:tx>
            <c:strRef>
              <c:f>chart_data!$L$7:$L$8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chart_data!$J$9:$J$11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chart_data!$L$9:$L$11</c:f>
              <c:numCache>
                <c:formatCode>0.0%</c:formatCode>
                <c:ptCount val="2"/>
                <c:pt idx="0">
                  <c:v>0.25773195876288657</c:v>
                </c:pt>
                <c:pt idx="1">
                  <c:v>0.55339805825242716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0-4027-B9BA-E398CA235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0507040"/>
        <c:axId val="1218191376"/>
      </c:barChart>
      <c:catAx>
        <c:axId val="129050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91376"/>
        <c:crosses val="autoZero"/>
        <c:auto val="1"/>
        <c:lblAlgn val="ctr"/>
        <c:lblOffset val="100"/>
        <c:noMultiLvlLbl val="0"/>
      </c:catAx>
      <c:valAx>
        <c:axId val="121819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0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chart_data!$K$16:$K$17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chart_data!$J$18:$J$23</c:f>
              <c:strCache>
                <c:ptCount val="5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</c:strCache>
            </c:strRef>
          </c:cat>
          <c:val>
            <c:numRef>
              <c:f>chart_data!$K$18:$K$23</c:f>
              <c:numCache>
                <c:formatCode>0.0%</c:formatCode>
                <c:ptCount val="5"/>
                <c:pt idx="0">
                  <c:v>0.72727272727272729</c:v>
                </c:pt>
                <c:pt idx="1">
                  <c:v>0.70422535211267601</c:v>
                </c:pt>
                <c:pt idx="2">
                  <c:v>0.5431034482758621</c:v>
                </c:pt>
                <c:pt idx="3">
                  <c:v>0.38043478260869568</c:v>
                </c:pt>
                <c:pt idx="4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9-4924-BB82-51DA5ACCE5E2}"/>
            </c:ext>
          </c:extLst>
        </c:ser>
        <c:ser>
          <c:idx val="1"/>
          <c:order val="1"/>
          <c:tx>
            <c:strRef>
              <c:f>chart_data!$L$16:$L$17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chart_data!$J$18:$J$23</c:f>
              <c:strCache>
                <c:ptCount val="5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</c:strCache>
            </c:strRef>
          </c:cat>
          <c:val>
            <c:numRef>
              <c:f>chart_data!$L$18:$L$23</c:f>
              <c:numCache>
                <c:formatCode>0.0%</c:formatCode>
                <c:ptCount val="5"/>
                <c:pt idx="0">
                  <c:v>0.27272727272727271</c:v>
                </c:pt>
                <c:pt idx="1">
                  <c:v>0.29577464788732394</c:v>
                </c:pt>
                <c:pt idx="2">
                  <c:v>0.45689655172413796</c:v>
                </c:pt>
                <c:pt idx="3">
                  <c:v>0.61956521739130432</c:v>
                </c:pt>
                <c:pt idx="4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9-4924-BB82-51DA5ACCE5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8972864"/>
        <c:axId val="1098769584"/>
      </c:barChart>
      <c:catAx>
        <c:axId val="19089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69584"/>
        <c:crosses val="autoZero"/>
        <c:auto val="1"/>
        <c:lblAlgn val="ctr"/>
        <c:lblOffset val="100"/>
        <c:noMultiLvlLbl val="0"/>
      </c:catAx>
      <c:valAx>
        <c:axId val="10987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by Chest Pain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chart_data!$K$29:$K$30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chart_data!$J$31:$J$35</c:f>
              <c:strCache>
                <c:ptCount val="4"/>
                <c:pt idx="0">
                  <c:v>Typical Angina</c:v>
                </c:pt>
                <c:pt idx="1">
                  <c:v>Atypical Angina</c:v>
                </c:pt>
                <c:pt idx="2">
                  <c:v>Non-anginal</c:v>
                </c:pt>
                <c:pt idx="3">
                  <c:v>Asymptomatic</c:v>
                </c:pt>
              </c:strCache>
            </c:strRef>
          </c:cat>
          <c:val>
            <c:numRef>
              <c:f>chart_data!$K$31:$K$35</c:f>
              <c:numCache>
                <c:formatCode>0.0%</c:formatCode>
                <c:ptCount val="4"/>
                <c:pt idx="0">
                  <c:v>0.69565217391304346</c:v>
                </c:pt>
                <c:pt idx="1">
                  <c:v>0.82</c:v>
                </c:pt>
                <c:pt idx="2">
                  <c:v>0.79069767441860461</c:v>
                </c:pt>
                <c:pt idx="3">
                  <c:v>0.27083333333333331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F-449C-B98F-2361381629EA}"/>
            </c:ext>
          </c:extLst>
        </c:ser>
        <c:ser>
          <c:idx val="1"/>
          <c:order val="1"/>
          <c:tx>
            <c:strRef>
              <c:f>chart_data!$L$29:$L$30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chart_data!$J$31:$J$35</c:f>
              <c:strCache>
                <c:ptCount val="4"/>
                <c:pt idx="0">
                  <c:v>Typical Angina</c:v>
                </c:pt>
                <c:pt idx="1">
                  <c:v>Atypical Angina</c:v>
                </c:pt>
                <c:pt idx="2">
                  <c:v>Non-anginal</c:v>
                </c:pt>
                <c:pt idx="3">
                  <c:v>Asymptomatic</c:v>
                </c:pt>
              </c:strCache>
            </c:strRef>
          </c:cat>
          <c:val>
            <c:numRef>
              <c:f>chart_data!$L$31:$L$35</c:f>
              <c:numCache>
                <c:formatCode>0.0%</c:formatCode>
                <c:ptCount val="4"/>
                <c:pt idx="0">
                  <c:v>0.30434782608695654</c:v>
                </c:pt>
                <c:pt idx="1">
                  <c:v>0.18</c:v>
                </c:pt>
                <c:pt idx="2">
                  <c:v>0.20930232558139536</c:v>
                </c:pt>
                <c:pt idx="3">
                  <c:v>0.72916666666666663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F-449C-B98F-2361381629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4763392"/>
        <c:axId val="1098739824"/>
      </c:barChart>
      <c:catAx>
        <c:axId val="182476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39824"/>
        <c:crosses val="autoZero"/>
        <c:auto val="1"/>
        <c:lblAlgn val="ctr"/>
        <c:lblOffset val="100"/>
        <c:noMultiLvlLbl val="0"/>
      </c:catAx>
      <c:valAx>
        <c:axId val="109873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7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by Thallium Stress Test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chart_data!$K$51:$K$52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chart_data!$J$53:$J$56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Reversible Defect</c:v>
                </c:pt>
              </c:strCache>
            </c:strRef>
          </c:cat>
          <c:val>
            <c:numRef>
              <c:f>chart_data!$K$53:$K$56</c:f>
              <c:numCache>
                <c:formatCode>0.0%</c:formatCode>
                <c:ptCount val="3"/>
                <c:pt idx="0">
                  <c:v>0.77710843373493976</c:v>
                </c:pt>
                <c:pt idx="1">
                  <c:v>0.33333333333333331</c:v>
                </c:pt>
                <c:pt idx="2">
                  <c:v>0.23931623931623933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8-4370-9BFC-F933FD2C3431}"/>
            </c:ext>
          </c:extLst>
        </c:ser>
        <c:ser>
          <c:idx val="1"/>
          <c:order val="1"/>
          <c:tx>
            <c:strRef>
              <c:f>chart_data!$L$51:$L$52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chart_data!$J$53:$J$56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Reversible Defect</c:v>
                </c:pt>
              </c:strCache>
            </c:strRef>
          </c:cat>
          <c:val>
            <c:numRef>
              <c:f>chart_data!$L$53:$L$56</c:f>
              <c:numCache>
                <c:formatCode>0.0%</c:formatCode>
                <c:ptCount val="3"/>
                <c:pt idx="0">
                  <c:v>0.22289156626506024</c:v>
                </c:pt>
                <c:pt idx="1">
                  <c:v>0.66666666666666663</c:v>
                </c:pt>
                <c:pt idx="2">
                  <c:v>0.76068376068376065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8-4370-9BFC-F933FD2C34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8982608"/>
        <c:axId val="1286985104"/>
      </c:barChart>
      <c:catAx>
        <c:axId val="190898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85104"/>
        <c:crosses val="autoZero"/>
        <c:auto val="1"/>
        <c:lblAlgn val="ctr"/>
        <c:lblOffset val="100"/>
        <c:noMultiLvlLbl val="0"/>
      </c:catAx>
      <c:valAx>
        <c:axId val="12869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Heart Disease by Age Group</a:t>
            </a:r>
          </a:p>
        </c:rich>
      </c:tx>
      <c:layout>
        <c:manualLayout>
          <c:xMode val="edge"/>
          <c:yMode val="edge"/>
          <c:x val="0.27377314814814813"/>
          <c:y val="1.6770272137035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20771361913089E-2"/>
          <c:y val="0.13792816687387763"/>
          <c:w val="0.84505559200933233"/>
          <c:h val="0.7112725514573836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chart_data!$K$16:$K$17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chart_data!$J$18:$J$23</c:f>
              <c:strCache>
                <c:ptCount val="5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</c:strCache>
            </c:strRef>
          </c:cat>
          <c:val>
            <c:numRef>
              <c:f>chart_data!$K$18:$K$23</c:f>
              <c:numCache>
                <c:formatCode>0.0%</c:formatCode>
                <c:ptCount val="5"/>
                <c:pt idx="0">
                  <c:v>0.72727272727272729</c:v>
                </c:pt>
                <c:pt idx="1">
                  <c:v>0.70422535211267601</c:v>
                </c:pt>
                <c:pt idx="2">
                  <c:v>0.5431034482758621</c:v>
                </c:pt>
                <c:pt idx="3">
                  <c:v>0.38043478260869568</c:v>
                </c:pt>
                <c:pt idx="4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F-4A45-AE48-D4DC7E34A045}"/>
            </c:ext>
          </c:extLst>
        </c:ser>
        <c:ser>
          <c:idx val="1"/>
          <c:order val="1"/>
          <c:tx>
            <c:strRef>
              <c:f>chart_data!$L$16:$L$17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chart_data!$J$18:$J$23</c:f>
              <c:strCache>
                <c:ptCount val="5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</c:strCache>
            </c:strRef>
          </c:cat>
          <c:val>
            <c:numRef>
              <c:f>chart_data!$L$18:$L$23</c:f>
              <c:numCache>
                <c:formatCode>0.0%</c:formatCode>
                <c:ptCount val="5"/>
                <c:pt idx="0">
                  <c:v>0.27272727272727271</c:v>
                </c:pt>
                <c:pt idx="1">
                  <c:v>0.29577464788732394</c:v>
                </c:pt>
                <c:pt idx="2">
                  <c:v>0.45689655172413796</c:v>
                </c:pt>
                <c:pt idx="3">
                  <c:v>0.61956521739130432</c:v>
                </c:pt>
                <c:pt idx="4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F-4A45-AE48-D4DC7E34A0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8972864"/>
        <c:axId val="1098769584"/>
      </c:barChart>
      <c:catAx>
        <c:axId val="19089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69584"/>
        <c:crosses val="autoZero"/>
        <c:auto val="1"/>
        <c:lblAlgn val="ctr"/>
        <c:lblOffset val="100"/>
        <c:noMultiLvlLbl val="0"/>
      </c:catAx>
      <c:valAx>
        <c:axId val="10987695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7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Heart Disease by Chest Pain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243171751968504"/>
          <c:y val="0.15501960784313726"/>
          <c:w val="0.67235892388451446"/>
          <c:h val="0.732169522927281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chart_data!$K$29:$K$30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chart_data!$J$31:$J$35</c:f>
              <c:strCache>
                <c:ptCount val="4"/>
                <c:pt idx="0">
                  <c:v>Typical Angina</c:v>
                </c:pt>
                <c:pt idx="1">
                  <c:v>Atypical Angina</c:v>
                </c:pt>
                <c:pt idx="2">
                  <c:v>Non-anginal</c:v>
                </c:pt>
                <c:pt idx="3">
                  <c:v>Asymptomatic</c:v>
                </c:pt>
              </c:strCache>
            </c:strRef>
          </c:cat>
          <c:val>
            <c:numRef>
              <c:f>chart_data!$K$31:$K$35</c:f>
              <c:numCache>
                <c:formatCode>0.0%</c:formatCode>
                <c:ptCount val="4"/>
                <c:pt idx="0">
                  <c:v>0.69565217391304346</c:v>
                </c:pt>
                <c:pt idx="1">
                  <c:v>0.82</c:v>
                </c:pt>
                <c:pt idx="2">
                  <c:v>0.79069767441860461</c:v>
                </c:pt>
                <c:pt idx="3">
                  <c:v>0.27083333333333331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2-4715-BA42-6639F9A3B94E}"/>
            </c:ext>
          </c:extLst>
        </c:ser>
        <c:ser>
          <c:idx val="1"/>
          <c:order val="1"/>
          <c:tx>
            <c:strRef>
              <c:f>chart_data!$L$29:$L$30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chart_data!$J$31:$J$35</c:f>
              <c:strCache>
                <c:ptCount val="4"/>
                <c:pt idx="0">
                  <c:v>Typical Angina</c:v>
                </c:pt>
                <c:pt idx="1">
                  <c:v>Atypical Angina</c:v>
                </c:pt>
                <c:pt idx="2">
                  <c:v>Non-anginal</c:v>
                </c:pt>
                <c:pt idx="3">
                  <c:v>Asymptomatic</c:v>
                </c:pt>
              </c:strCache>
            </c:strRef>
          </c:cat>
          <c:val>
            <c:numRef>
              <c:f>chart_data!$L$31:$L$35</c:f>
              <c:numCache>
                <c:formatCode>0.0%</c:formatCode>
                <c:ptCount val="4"/>
                <c:pt idx="0">
                  <c:v>0.30434782608695654</c:v>
                </c:pt>
                <c:pt idx="1">
                  <c:v>0.18</c:v>
                </c:pt>
                <c:pt idx="2">
                  <c:v>0.20930232558139536</c:v>
                </c:pt>
                <c:pt idx="3">
                  <c:v>0.72916666666666663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12-4715-BA42-6639F9A3B9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4763392"/>
        <c:axId val="1098739824"/>
      </c:barChart>
      <c:catAx>
        <c:axId val="182476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39824"/>
        <c:crosses val="autoZero"/>
        <c:auto val="1"/>
        <c:lblAlgn val="ctr"/>
        <c:lblOffset val="100"/>
        <c:noMultiLvlLbl val="0"/>
      </c:catAx>
      <c:valAx>
        <c:axId val="10987398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76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[cleveland_heart_disease_analysis.xlsx]chart_data!PivotTable17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baseline="0"/>
              <a:t>Heart Disease by Exercise-induced Angina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928190616797895E-2"/>
          <c:y val="0.15501960784313726"/>
          <c:w val="0.83107078412073498"/>
          <c:h val="0.732169522927281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chart_data!$K$41:$K$42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chart_data!$J$43:$J$45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chart_data!$K$43:$K$45</c:f>
              <c:numCache>
                <c:formatCode>0.0%</c:formatCode>
                <c:ptCount val="2"/>
                <c:pt idx="0">
                  <c:v>0.69117647058823528</c:v>
                </c:pt>
                <c:pt idx="1">
                  <c:v>0.23232323232323232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D-44AE-9118-C57AD22B9647}"/>
            </c:ext>
          </c:extLst>
        </c:ser>
        <c:ser>
          <c:idx val="1"/>
          <c:order val="1"/>
          <c:tx>
            <c:strRef>
              <c:f>chart_data!$L$41:$L$42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chart_data!$J$43:$J$45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chart_data!$L$43:$L$45</c:f>
              <c:numCache>
                <c:formatCode>0.0%</c:formatCode>
                <c:ptCount val="2"/>
                <c:pt idx="0">
                  <c:v>0.30882352941176472</c:v>
                </c:pt>
                <c:pt idx="1">
                  <c:v>0.76767676767676762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D-44AE-9118-C57AD22B96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4720704"/>
        <c:axId val="1098744144"/>
      </c:barChart>
      <c:catAx>
        <c:axId val="182472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44144"/>
        <c:crosses val="autoZero"/>
        <c:auto val="1"/>
        <c:lblAlgn val="ctr"/>
        <c:lblOffset val="100"/>
        <c:noMultiLvlLbl val="0"/>
      </c:catAx>
      <c:valAx>
        <c:axId val="1098744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7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Heart Disease by Thallium Stress Test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835356517935258"/>
          <c:y val="0.15501960784313726"/>
          <c:w val="0.68590478273549138"/>
          <c:h val="0.732169522927281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chart_data!$K$51:$K$52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chart_data!$J$53:$J$56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Reversible Defect</c:v>
                </c:pt>
              </c:strCache>
            </c:strRef>
          </c:cat>
          <c:val>
            <c:numRef>
              <c:f>chart_data!$K$53:$K$56</c:f>
              <c:numCache>
                <c:formatCode>0.0%</c:formatCode>
                <c:ptCount val="3"/>
                <c:pt idx="0">
                  <c:v>0.77710843373493976</c:v>
                </c:pt>
                <c:pt idx="1">
                  <c:v>0.33333333333333331</c:v>
                </c:pt>
                <c:pt idx="2">
                  <c:v>0.23931623931623933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5-42A4-8066-8EB01A656A93}"/>
            </c:ext>
          </c:extLst>
        </c:ser>
        <c:ser>
          <c:idx val="1"/>
          <c:order val="1"/>
          <c:tx>
            <c:strRef>
              <c:f>chart_data!$L$51:$L$52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chart_data!$J$53:$J$56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Reversible Defect</c:v>
                </c:pt>
              </c:strCache>
            </c:strRef>
          </c:cat>
          <c:val>
            <c:numRef>
              <c:f>chart_data!$L$53:$L$56</c:f>
              <c:numCache>
                <c:formatCode>0.0%</c:formatCode>
                <c:ptCount val="3"/>
                <c:pt idx="0">
                  <c:v>0.22289156626506024</c:v>
                </c:pt>
                <c:pt idx="1">
                  <c:v>0.66666666666666663</c:v>
                </c:pt>
                <c:pt idx="2">
                  <c:v>0.76068376068376065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5-42A4-8066-8EB01A656A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8982608"/>
        <c:axId val="1286985104"/>
      </c:barChart>
      <c:catAx>
        <c:axId val="190898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85104"/>
        <c:crosses val="autoZero"/>
        <c:auto val="1"/>
        <c:lblAlgn val="ctr"/>
        <c:lblOffset val="100"/>
        <c:noMultiLvlLbl val="0"/>
      </c:catAx>
      <c:valAx>
        <c:axId val="12869851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8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[cleveland_heart_disease_analysis.xlsx]chart_data!PivotTable21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Heart Disease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53060429469152"/>
          <c:y val="0.13906772207563764"/>
          <c:w val="0.78819252048652444"/>
          <c:h val="0.759729915027112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chart_data!$K$7:$K$8</c:f>
              <c:strCache>
                <c:ptCount val="1"/>
                <c:pt idx="0">
                  <c:v>No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chart_data!$J$9:$J$11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chart_data!$K$9:$K$11</c:f>
              <c:numCache>
                <c:formatCode>0.0%</c:formatCode>
                <c:ptCount val="2"/>
                <c:pt idx="0">
                  <c:v>0.74226804123711343</c:v>
                </c:pt>
                <c:pt idx="1">
                  <c:v>0.44660194174757284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3-4E78-B9F1-CD89A1151141}"/>
            </c:ext>
          </c:extLst>
        </c:ser>
        <c:ser>
          <c:idx val="1"/>
          <c:order val="1"/>
          <c:tx>
            <c:strRef>
              <c:f>chart_data!$L$7:$L$8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chart_data!$J$9:$J$11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chart_data!$L$9:$L$11</c:f>
              <c:numCache>
                <c:formatCode>0.0%</c:formatCode>
                <c:ptCount val="2"/>
                <c:pt idx="0">
                  <c:v>0.25773195876288657</c:v>
                </c:pt>
                <c:pt idx="1">
                  <c:v>0.55339805825242716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3-4E78-B9F1-CD89A11511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0507040"/>
        <c:axId val="1218191376"/>
      </c:barChart>
      <c:catAx>
        <c:axId val="129050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91376"/>
        <c:crosses val="autoZero"/>
        <c:auto val="1"/>
        <c:lblAlgn val="ctr"/>
        <c:lblOffset val="100"/>
        <c:noMultiLvlLbl val="0"/>
      </c:catAx>
      <c:valAx>
        <c:axId val="12181913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0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1270162366726528E-3"/>
          <c:y val="2.1987963905567214E-2"/>
          <c:w val="0.29898560604985397"/>
          <c:h val="0.144264156953995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Distribution of Sample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Distribution of Sample</a:t>
          </a:r>
        </a:p>
      </cx:txPr>
    </cx:title>
    <cx:plotArea>
      <cx:plotAreaRegion>
        <cx:series layoutId="clusteredColumn" uniqueId="{E9C8F45B-C1F3-426B-973B-60E32E6FCD9B}">
          <cx:tx>
            <cx:txData>
              <cx:f>_xlchart.v1.0</cx:f>
              <cx:v>age</cx:v>
            </cx:txData>
          </cx:tx>
          <cx:spPr>
            <a:solidFill>
              <a:schemeClr val="accent2"/>
            </a:solidFill>
            <a:ln>
              <a:noFill/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aseline="0"/>
                </a:pPr>
                <a:endPara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Group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Group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  <cx:spPr>
    <a:ln w="9525">
      <a:solidFill>
        <a:sysClr val="windowText" lastClr="000000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Serum Cholesterol (mg/dL)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by Heart Disease Status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0-D467-4BBC-992A-0A24236BB1F5}">
          <cx:tx>
            <cx:txData>
              <cx:f>_xlchart.v1.10</cx:f>
              <cx:v>No Heart Disease</cx:v>
            </cx:txData>
          </cx:tx>
          <cx:spPr>
            <a:solidFill>
              <a:schemeClr val="accent3"/>
            </a:solidFill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D467-4BBC-992A-0A24236BB1F5}">
          <cx:tx>
            <cx:txData>
              <cx:f>_xlchart.v1.12</cx:f>
              <cx:v>Heart Disease</cx:v>
            </cx:txData>
          </cx:tx>
          <cx:spPr>
            <a:solidFill>
              <a:schemeClr val="accent2"/>
            </a:solidFill>
          </cx:spPr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00"/>
        <cx:majorGridlines/>
        <cx:tickLabels/>
      </cx:axis>
    </cx:plotArea>
    <cx:legend pos="t" align="ctr" overlay="0"/>
  </cx:chart>
  <cx:spPr>
    <a:ln>
      <a:solidFill>
        <a:sysClr val="windowText" lastClr="000000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Resting Systolic Blood Pressure (mmHg) by Heart Disease Status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Resting Systolic Blood Pressure (mmHg) by Heart Disease Status</a:t>
          </a:r>
        </a:p>
      </cx:txPr>
    </cx:title>
    <cx:plotArea>
      <cx:plotAreaRegion>
        <cx:series layoutId="boxWhisker" uniqueId="{00000000-AE57-4288-BD08-00C73B1F3999}">
          <cx:tx>
            <cx:txData>
              <cx:f>_xlchart.v1.2</cx:f>
              <cx:v>No Heart Disease</cx:v>
            </cx:txData>
          </cx:tx>
          <cx:spPr>
            <a:solidFill>
              <a:schemeClr val="accent3"/>
            </a:solidFill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AE57-4288-BD08-00C73B1F3999}">
          <cx:tx>
            <cx:txData>
              <cx:f>_xlchart.v1.4</cx:f>
              <cx:v>Heart Disease</cx:v>
            </cx:txData>
          </cx:tx>
          <cx:spPr>
            <a:solidFill>
              <a:schemeClr val="accent2"/>
            </a:solidFill>
          </cx:spPr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10" min="90"/>
        <cx:majorGridlines/>
        <cx:tickLabels/>
      </cx:axis>
    </cx:plotArea>
    <cx:legend pos="t" align="ctr" overlay="0"/>
  </cx:chart>
  <cx:spPr>
    <a:ln>
      <a:solidFill>
        <a:sysClr val="windowText" lastClr="000000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Max HR (bpm) by Heart Disease Status</cx:v>
        </cx:txData>
      </cx:tx>
    </cx:title>
    <cx:plotArea>
      <cx:plotAreaRegion>
        <cx:series layoutId="boxWhisker" uniqueId="{00000000-7C26-4984-B1BA-21986C42978C}">
          <cx:tx>
            <cx:txData>
              <cx:f>_xlchart.v1.6</cx:f>
              <cx:v>No Heart Disease</cx:v>
            </cx:txData>
          </cx:tx>
          <cx:spPr>
            <a:solidFill>
              <a:schemeClr val="accent3"/>
            </a:solidFill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7C26-4984-B1BA-21986C42978C}">
          <cx:tx>
            <cx:txData>
              <cx:f>_xlchart.v1.8</cx:f>
              <cx:v>Heart Disease</cx:v>
            </cx:txData>
          </cx:tx>
          <cx:spPr>
            <a:solidFill>
              <a:schemeClr val="accent2"/>
            </a:solidFill>
          </cx:spPr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10" min="70"/>
        <cx:majorGridlines/>
        <cx:tickLabels/>
      </cx:axis>
    </cx:plotArea>
    <cx:legend pos="t" align="ctr" overlay="0"/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3" Type="http://schemas.openxmlformats.org/officeDocument/2006/relationships/chart" Target="../charts/chart3.xml"/><Relationship Id="rId7" Type="http://schemas.microsoft.com/office/2014/relationships/chartEx" Target="../charts/chartEx4.xml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11" Type="http://schemas.openxmlformats.org/officeDocument/2006/relationships/chart" Target="../charts/chart7.xml"/><Relationship Id="rId5" Type="http://schemas.microsoft.com/office/2014/relationships/chartEx" Target="../charts/chartEx2.xml"/><Relationship Id="rId10" Type="http://schemas.openxmlformats.org/officeDocument/2006/relationships/chart" Target="../charts/chart6.xml"/><Relationship Id="rId4" Type="http://schemas.microsoft.com/office/2014/relationships/chartEx" Target="../charts/chartEx1.xml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A4165-0B2F-4021-83AA-D52F10FE8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613832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47EB7B-6894-4E20-BB4C-378E5B10A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02A105-D864-4B7C-92D6-73777FD37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8793</xdr:colOff>
      <xdr:row>19</xdr:row>
      <xdr:rowOff>0</xdr:rowOff>
    </xdr:from>
    <xdr:to>
      <xdr:col>17</xdr:col>
      <xdr:colOff>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9CB2C80-0F62-4757-800A-EFCB873E53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5193" y="3619500"/>
              <a:ext cx="4868007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4762</xdr:colOff>
      <xdr:row>19</xdr:row>
      <xdr:rowOff>0</xdr:rowOff>
    </xdr:from>
    <xdr:to>
      <xdr:col>26</xdr:col>
      <xdr:colOff>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EB38D32-BE09-4C4B-9D3C-7ED3F88B8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7562" y="3619500"/>
              <a:ext cx="4872038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613832</xdr:colOff>
      <xdr:row>1</xdr:row>
      <xdr:rowOff>0</xdr:rowOff>
    </xdr:from>
    <xdr:to>
      <xdr:col>25</xdr:col>
      <xdr:colOff>613833</xdr:colOff>
      <xdr:row>17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4F4D9CC-082F-4BB8-BB7E-78EBFECD99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8999" y="190500"/>
              <a:ext cx="4910667" cy="3048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600075</xdr:colOff>
      <xdr:row>35</xdr:row>
      <xdr:rowOff>0</xdr:rowOff>
    </xdr:from>
    <xdr:to>
      <xdr:col>26</xdr:col>
      <xdr:colOff>0</xdr:colOff>
      <xdr:row>54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2719CEE-D869-4154-8085-5319C37AE2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5242" y="6667500"/>
              <a:ext cx="4924425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35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1E45E8E-B7D3-471F-99A0-AA7CE2492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612321</xdr:colOff>
      <xdr:row>34</xdr:row>
      <xdr:rowOff>190499</xdr:rowOff>
    </xdr:from>
    <xdr:to>
      <xdr:col>16</xdr:col>
      <xdr:colOff>612320</xdr:colOff>
      <xdr:row>54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2D9C2AC-5074-4CC7-B629-F564B0812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8</xdr:col>
      <xdr:colOff>0</xdr:colOff>
      <xdr:row>70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72B4846-C8FB-4129-94D8-4F1541030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17</xdr:col>
      <xdr:colOff>9525</xdr:colOff>
      <xdr:row>71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58918D8-910F-46AF-971C-1C83194A9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56</xdr:row>
      <xdr:rowOff>0</xdr:rowOff>
    </xdr:from>
    <xdr:to>
      <xdr:col>26</xdr:col>
      <xdr:colOff>0</xdr:colOff>
      <xdr:row>71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CC78A0B-56E7-4C24-99A3-999FCA01C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72</xdr:row>
      <xdr:rowOff>1</xdr:rowOff>
    </xdr:from>
    <xdr:to>
      <xdr:col>8</xdr:col>
      <xdr:colOff>0</xdr:colOff>
      <xdr:row>87</xdr:row>
      <xdr:rowOff>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CEC7DCD-0FB4-4981-9731-1AB4B532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</xdr:row>
      <xdr:rowOff>0</xdr:rowOff>
    </xdr:from>
    <xdr:to>
      <xdr:col>25</xdr:col>
      <xdr:colOff>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8AD6F-7EB6-4FCE-A6BA-B014F7FE5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25</xdr:row>
      <xdr:rowOff>0</xdr:rowOff>
    </xdr:from>
    <xdr:to>
      <xdr:col>8</xdr:col>
      <xdr:colOff>1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5F793D-EC18-4C30-9DE8-4E5FA7ED6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</xdr:colOff>
      <xdr:row>25</xdr:row>
      <xdr:rowOff>1</xdr:rowOff>
    </xdr:from>
    <xdr:to>
      <xdr:col>16</xdr:col>
      <xdr:colOff>1</xdr:colOff>
      <xdr:row>42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BB5B7B-E5AB-4571-A26B-E07AC6F0E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25</xdr:row>
      <xdr:rowOff>0</xdr:rowOff>
    </xdr:from>
    <xdr:to>
      <xdr:col>25</xdr:col>
      <xdr:colOff>0</xdr:colOff>
      <xdr:row>42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E9B7B6-C976-4778-99B3-4078B6D0D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</xdr:row>
      <xdr:rowOff>9525</xdr:rowOff>
    </xdr:from>
    <xdr:to>
      <xdr:col>7</xdr:col>
      <xdr:colOff>371474</xdr:colOff>
      <xdr:row>25</xdr:row>
      <xdr:rowOff>71437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E2B0C9-08BD-C114-FF9C-856568ACBCD2}"/>
            </a:ext>
          </a:extLst>
        </xdr:cNvPr>
        <xdr:cNvSpPr/>
      </xdr:nvSpPr>
      <xdr:spPr>
        <a:xfrm>
          <a:off x="0" y="1152525"/>
          <a:ext cx="4622005" cy="36814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185738</xdr:colOff>
      <xdr:row>6</xdr:row>
      <xdr:rowOff>114299</xdr:rowOff>
    </xdr:from>
    <xdr:to>
      <xdr:col>4</xdr:col>
      <xdr:colOff>185737</xdr:colOff>
      <xdr:row>9</xdr:row>
      <xdr:rowOff>0</xdr:rowOff>
    </xdr:to>
    <xdr:sp macro="" textlink="analysis!C16">
      <xdr:nvSpPr>
        <xdr:cNvPr id="11" name="TextBox 10">
          <a:extLst>
            <a:ext uri="{FF2B5EF4-FFF2-40B4-BE49-F238E27FC236}">
              <a16:creationId xmlns:a16="http://schemas.microsoft.com/office/drawing/2014/main" id="{E1A4C944-4A97-96BF-25AE-988B6CE7C742}"/>
            </a:ext>
          </a:extLst>
        </xdr:cNvPr>
        <xdr:cNvSpPr txBox="1"/>
      </xdr:nvSpPr>
      <xdr:spPr>
        <a:xfrm>
          <a:off x="2014538" y="1257299"/>
          <a:ext cx="609599" cy="457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DF9B8F1-F40E-4799-86B1-A512BFC2A13B}" type="TxLink">
            <a:rPr lang="en-US" sz="2000" b="0" i="0" u="none" strike="noStrike">
              <a:ln>
                <a:solidFill>
                  <a:sysClr val="windowText" lastClr="000000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t>303</a:t>
          </a:fld>
          <a:endParaRPr lang="en-US" sz="4000" b="0" i="0" u="none" strike="noStrike">
            <a:ln>
              <a:solidFill>
                <a:sysClr val="windowText" lastClr="000000"/>
              </a:solidFill>
            </a:ln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471487</xdr:colOff>
      <xdr:row>8</xdr:row>
      <xdr:rowOff>57150</xdr:rowOff>
    </xdr:from>
    <xdr:to>
      <xdr:col>5</xdr:col>
      <xdr:colOff>280987</xdr:colOff>
      <xdr:row>9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C470573-2843-4DBB-8A54-1A14E5CCA929}"/>
            </a:ext>
          </a:extLst>
        </xdr:cNvPr>
        <xdr:cNvSpPr txBox="1"/>
      </xdr:nvSpPr>
      <xdr:spPr>
        <a:xfrm>
          <a:off x="1690687" y="1581150"/>
          <a:ext cx="16383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Total Patients</a:t>
          </a:r>
        </a:p>
      </xdr:txBody>
    </xdr:sp>
    <xdr:clientData/>
  </xdr:twoCellAnchor>
  <xdr:twoCellAnchor>
    <xdr:from>
      <xdr:col>3</xdr:col>
      <xdr:colOff>171450</xdr:colOff>
      <xdr:row>11</xdr:row>
      <xdr:rowOff>38100</xdr:rowOff>
    </xdr:from>
    <xdr:to>
      <xdr:col>4</xdr:col>
      <xdr:colOff>200025</xdr:colOff>
      <xdr:row>13</xdr:row>
      <xdr:rowOff>95250</xdr:rowOff>
    </xdr:to>
    <xdr:sp macro="" textlink="analysis!C15">
      <xdr:nvSpPr>
        <xdr:cNvPr id="13" name="TextBox 12">
          <a:extLst>
            <a:ext uri="{FF2B5EF4-FFF2-40B4-BE49-F238E27FC236}">
              <a16:creationId xmlns:a16="http://schemas.microsoft.com/office/drawing/2014/main" id="{7455366D-2CDC-A56C-634E-8B7C9AAA28DB}"/>
            </a:ext>
          </a:extLst>
        </xdr:cNvPr>
        <xdr:cNvSpPr txBox="1"/>
      </xdr:nvSpPr>
      <xdr:spPr>
        <a:xfrm>
          <a:off x="2000250" y="2133600"/>
          <a:ext cx="638175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4AA51A-55FB-48D0-94D8-EE1BF81DA0A1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139</a:t>
          </a:fld>
          <a:endParaRPr lang="en-GB" sz="2000" b="1"/>
        </a:p>
      </xdr:txBody>
    </xdr:sp>
    <xdr:clientData/>
  </xdr:twoCellAnchor>
  <xdr:twoCellAnchor>
    <xdr:from>
      <xdr:col>2</xdr:col>
      <xdr:colOff>257175</xdr:colOff>
      <xdr:row>12</xdr:row>
      <xdr:rowOff>133350</xdr:rowOff>
    </xdr:from>
    <xdr:to>
      <xdr:col>5</xdr:col>
      <xdr:colOff>457199</xdr:colOff>
      <xdr:row>13</xdr:row>
      <xdr:rowOff>171450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705426-5709-795D-F246-198B5660B50B}"/>
            </a:ext>
          </a:extLst>
        </xdr:cNvPr>
        <xdr:cNvSpPr txBox="1"/>
      </xdr:nvSpPr>
      <xdr:spPr>
        <a:xfrm>
          <a:off x="1476375" y="2419350"/>
          <a:ext cx="2028824" cy="228600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Heart Disease</a:t>
          </a:r>
          <a:r>
            <a:rPr lang="en-GB" sz="1400" b="1" baseline="0"/>
            <a:t> Cases</a:t>
          </a:r>
          <a:endParaRPr lang="en-GB" sz="1400" b="1"/>
        </a:p>
      </xdr:txBody>
    </xdr:sp>
    <xdr:clientData/>
  </xdr:twoCellAnchor>
  <xdr:twoCellAnchor>
    <xdr:from>
      <xdr:col>3</xdr:col>
      <xdr:colOff>61912</xdr:colOff>
      <xdr:row>15</xdr:row>
      <xdr:rowOff>133350</xdr:rowOff>
    </xdr:from>
    <xdr:to>
      <xdr:col>4</xdr:col>
      <xdr:colOff>309562</xdr:colOff>
      <xdr:row>17</xdr:row>
      <xdr:rowOff>142875</xdr:rowOff>
    </xdr:to>
    <xdr:sp macro="" textlink="analysis!D15">
      <xdr:nvSpPr>
        <xdr:cNvPr id="15" name="TextBox 14">
          <a:extLst>
            <a:ext uri="{FF2B5EF4-FFF2-40B4-BE49-F238E27FC236}">
              <a16:creationId xmlns:a16="http://schemas.microsoft.com/office/drawing/2014/main" id="{C4C95CDE-602C-29B7-3082-B8FA1BA660C0}"/>
            </a:ext>
          </a:extLst>
        </xdr:cNvPr>
        <xdr:cNvSpPr txBox="1"/>
      </xdr:nvSpPr>
      <xdr:spPr>
        <a:xfrm>
          <a:off x="1890712" y="2990850"/>
          <a:ext cx="857250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5F5E10-81BC-47C3-983E-937CD9F1C45B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45.9%</a:t>
          </a:fld>
          <a:endParaRPr lang="en-GB" sz="2000" b="1"/>
        </a:p>
      </xdr:txBody>
    </xdr:sp>
    <xdr:clientData/>
  </xdr:twoCellAnchor>
  <xdr:twoCellAnchor>
    <xdr:from>
      <xdr:col>2</xdr:col>
      <xdr:colOff>80963</xdr:colOff>
      <xdr:row>17</xdr:row>
      <xdr:rowOff>85725</xdr:rowOff>
    </xdr:from>
    <xdr:to>
      <xdr:col>5</xdr:col>
      <xdr:colOff>500062</xdr:colOff>
      <xdr:row>18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2D41CE-D222-5CF7-F7D3-23991C12C2EF}"/>
            </a:ext>
          </a:extLst>
        </xdr:cNvPr>
        <xdr:cNvSpPr txBox="1"/>
      </xdr:nvSpPr>
      <xdr:spPr>
        <a:xfrm>
          <a:off x="1300163" y="3324225"/>
          <a:ext cx="224789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Heart Disease Prevalence</a:t>
          </a:r>
        </a:p>
      </xdr:txBody>
    </xdr:sp>
    <xdr:clientData/>
  </xdr:twoCellAnchor>
  <xdr:twoCellAnchor>
    <xdr:from>
      <xdr:col>3</xdr:col>
      <xdr:colOff>133350</xdr:colOff>
      <xdr:row>20</xdr:row>
      <xdr:rowOff>19050</xdr:rowOff>
    </xdr:from>
    <xdr:to>
      <xdr:col>4</xdr:col>
      <xdr:colOff>238125</xdr:colOff>
      <xdr:row>22</xdr:row>
      <xdr:rowOff>0</xdr:rowOff>
    </xdr:to>
    <xdr:sp macro="" textlink="analysis!C9">
      <xdr:nvSpPr>
        <xdr:cNvPr id="17" name="TextBox 16">
          <a:extLst>
            <a:ext uri="{FF2B5EF4-FFF2-40B4-BE49-F238E27FC236}">
              <a16:creationId xmlns:a16="http://schemas.microsoft.com/office/drawing/2014/main" id="{8AED6774-90AF-3C45-F27C-2D154844E745}"/>
            </a:ext>
          </a:extLst>
        </xdr:cNvPr>
        <xdr:cNvSpPr txBox="1"/>
      </xdr:nvSpPr>
      <xdr:spPr>
        <a:xfrm>
          <a:off x="1962150" y="3829050"/>
          <a:ext cx="714375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A24482-DE75-41F0-9449-88770AB95517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54.4</a:t>
          </a:fld>
          <a:endParaRPr lang="en-GB" sz="2000" b="1"/>
        </a:p>
      </xdr:txBody>
    </xdr:sp>
    <xdr:clientData/>
  </xdr:twoCellAnchor>
  <xdr:twoCellAnchor>
    <xdr:from>
      <xdr:col>2</xdr:col>
      <xdr:colOff>492919</xdr:colOff>
      <xdr:row>21</xdr:row>
      <xdr:rowOff>133350</xdr:rowOff>
    </xdr:from>
    <xdr:to>
      <xdr:col>4</xdr:col>
      <xdr:colOff>526255</xdr:colOff>
      <xdr:row>23</xdr:row>
      <xdr:rowOff>57150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F48DEC9-92D0-D5D6-1864-7E703E455776}"/>
            </a:ext>
          </a:extLst>
        </xdr:cNvPr>
        <xdr:cNvSpPr txBox="1"/>
      </xdr:nvSpPr>
      <xdr:spPr>
        <a:xfrm>
          <a:off x="1712119" y="4133850"/>
          <a:ext cx="1252536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Average Age</a:t>
          </a:r>
        </a:p>
      </xdr:txBody>
    </xdr:sp>
    <xdr:clientData/>
  </xdr:twoCellAnchor>
  <xdr:twoCellAnchor>
    <xdr:from>
      <xdr:col>6</xdr:col>
      <xdr:colOff>0</xdr:colOff>
      <xdr:row>6</xdr:row>
      <xdr:rowOff>9525</xdr:rowOff>
    </xdr:from>
    <xdr:to>
      <xdr:col>16</xdr:col>
      <xdr:colOff>33867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06063D-25D6-4E25-81AB-9599DB475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0</xdr:row>
      <xdr:rowOff>9525</xdr:rowOff>
    </xdr:from>
    <xdr:to>
      <xdr:col>25</xdr:col>
      <xdr:colOff>0</xdr:colOff>
      <xdr:row>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60A445-E037-8EE6-49E5-0A721DBBFE27}"/>
            </a:ext>
          </a:extLst>
        </xdr:cNvPr>
        <xdr:cNvSpPr txBox="1"/>
      </xdr:nvSpPr>
      <xdr:spPr>
        <a:xfrm>
          <a:off x="9525" y="9525"/>
          <a:ext cx="15230475" cy="1143000"/>
        </a:xfrm>
        <a:prstGeom prst="rect">
          <a:avLst/>
        </a:prstGeom>
        <a:solidFill>
          <a:schemeClr val="accent2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200">
              <a:latin typeface="Arial Black" panose="020B0A04020102020204" pitchFamily="34" charset="0"/>
            </a:rPr>
            <a:t>CLEVELAND HEART DISEASE</a:t>
          </a:r>
          <a:r>
            <a:rPr lang="en-GB" sz="3200" baseline="0">
              <a:latin typeface="Arial Black" panose="020B0A04020102020204" pitchFamily="34" charset="0"/>
            </a:rPr>
            <a:t> ANALYSIS</a:t>
          </a:r>
        </a:p>
        <a:p>
          <a:pPr algn="ctr"/>
          <a:r>
            <a:rPr lang="en-GB" sz="1400" baseline="0">
              <a:latin typeface="Arial" panose="020B0604020202020204" pitchFamily="34" charset="0"/>
              <a:cs typeface="Arial" panose="020B0604020202020204" pitchFamily="34" charset="0"/>
            </a:rPr>
            <a:t>Exploratory analysis of patient characteristics and heart disease prevalence in the Cleveland dataset</a:t>
          </a:r>
        </a:p>
        <a:p>
          <a:pPr algn="ctr"/>
          <a:r>
            <a:rPr lang="en-GB" sz="1100" i="1" baseline="0">
              <a:latin typeface="Arial" panose="020B0604020202020204" pitchFamily="34" charset="0"/>
              <a:cs typeface="Arial" panose="020B0604020202020204" pitchFamily="34" charset="0"/>
            </a:rPr>
            <a:t>Source: UCI CLeveland Heart Disease dataset. n = 303. Percentages represent within-category proportions.</a:t>
          </a:r>
          <a:endParaRPr lang="en-GB" sz="2400" i="1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" refreshedDate="46271.887238310184" createdVersion="6" refreshedVersion="6" minRefreshableVersion="3" recordCount="303" xr:uid="{9E988B01-6A44-42C6-B3FD-0C97AA1F4BBC}">
  <cacheSource type="worksheet">
    <worksheetSource name="ClevelandData"/>
  </cacheSource>
  <cacheFields count="13">
    <cacheField name="age" numFmtId="0">
      <sharedItems containsSemiMixedTypes="0" containsString="0" containsNumber="1" containsInteger="1" minValue="29" maxValue="77" count="41">
        <n v="63"/>
        <n v="67"/>
        <n v="37"/>
        <n v="41"/>
        <n v="56"/>
        <n v="62"/>
        <n v="57"/>
        <n v="53"/>
        <n v="44"/>
        <n v="52"/>
        <n v="48"/>
        <n v="54"/>
        <n v="49"/>
        <n v="64"/>
        <n v="58"/>
        <n v="60"/>
        <n v="50"/>
        <n v="66"/>
        <n v="43"/>
        <n v="40"/>
        <n v="69"/>
        <n v="59"/>
        <n v="42"/>
        <n v="55"/>
        <n v="61"/>
        <n v="65"/>
        <n v="71"/>
        <n v="51"/>
        <n v="46"/>
        <n v="45"/>
        <n v="39"/>
        <n v="68"/>
        <n v="47"/>
        <n v="34"/>
        <n v="35"/>
        <n v="29"/>
        <n v="70"/>
        <n v="77"/>
        <n v="38"/>
        <n v="74"/>
        <n v="76"/>
      </sharedItems>
      <fieldGroup base="0">
        <rangePr startNum="29" endNum="77" groupInterval="10"/>
        <groupItems count="7">
          <s v="&lt;29"/>
          <s v="29-38"/>
          <s v="39-48"/>
          <s v="49-58"/>
          <s v="59-68"/>
          <s v="69-78"/>
          <s v="&gt;79"/>
        </groupItems>
      </fieldGroup>
    </cacheField>
    <cacheField name="sex" numFmtId="0">
      <sharedItems containsSemiMixedTypes="0" containsString="0" containsNumber="1" containsInteger="1" minValue="0" maxValue="1" count="2">
        <n v="1"/>
        <n v="0"/>
      </sharedItems>
    </cacheField>
    <cacheField name="cpt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rbp" numFmtId="0">
      <sharedItems containsSemiMixedTypes="0" containsString="0" containsNumber="1" containsInteger="1" minValue="94" maxValue="200" count="50">
        <n v="145"/>
        <n v="160"/>
        <n v="120"/>
        <n v="130"/>
        <n v="140"/>
        <n v="172"/>
        <n v="150"/>
        <n v="110"/>
        <n v="132"/>
        <n v="117"/>
        <n v="135"/>
        <n v="112"/>
        <n v="105"/>
        <n v="124"/>
        <n v="125"/>
        <n v="142"/>
        <n v="128"/>
        <n v="170"/>
        <n v="155"/>
        <n v="104"/>
        <n v="180"/>
        <n v="138"/>
        <n v="108"/>
        <n v="134"/>
        <n v="122"/>
        <n v="115"/>
        <n v="118"/>
        <n v="100"/>
        <n v="200"/>
        <n v="94"/>
        <n v="165"/>
        <n v="102"/>
        <n v="152"/>
        <n v="101"/>
        <n v="126"/>
        <n v="174"/>
        <n v="148"/>
        <n v="178"/>
        <n v="158"/>
        <n v="192"/>
        <n v="129"/>
        <n v="144"/>
        <n v="123"/>
        <n v="136"/>
        <n v="146"/>
        <n v="106"/>
        <n v="156"/>
        <n v="154"/>
        <n v="114"/>
        <n v="164"/>
      </sharedItems>
      <fieldGroup base="3">
        <rangePr autoStart="0" autoEnd="0" startNum="90" endNum="180" groupInterval="30"/>
        <groupItems count="5">
          <s v="&lt;90"/>
          <s v="90-119"/>
          <s v="120-149"/>
          <s v="150-180"/>
          <s v="&gt;180"/>
        </groupItems>
      </fieldGroup>
    </cacheField>
    <cacheField name="chol" numFmtId="0">
      <sharedItems containsSemiMixedTypes="0" containsString="0" containsNumber="1" containsInteger="1" minValue="126" maxValue="564" count="152">
        <n v="233"/>
        <n v="286"/>
        <n v="229"/>
        <n v="250"/>
        <n v="204"/>
        <n v="236"/>
        <n v="268"/>
        <n v="354"/>
        <n v="254"/>
        <n v="203"/>
        <n v="192"/>
        <n v="294"/>
        <n v="256"/>
        <n v="263"/>
        <n v="199"/>
        <n v="168"/>
        <n v="239"/>
        <n v="275"/>
        <n v="266"/>
        <n v="211"/>
        <n v="283"/>
        <n v="284"/>
        <n v="224"/>
        <n v="206"/>
        <n v="219"/>
        <n v="340"/>
        <n v="226"/>
        <n v="247"/>
        <n v="167"/>
        <n v="230"/>
        <n v="335"/>
        <n v="234"/>
        <n v="177"/>
        <n v="276"/>
        <n v="353"/>
        <n v="243"/>
        <n v="225"/>
        <n v="302"/>
        <n v="212"/>
        <n v="330"/>
        <n v="175"/>
        <n v="417"/>
        <n v="197"/>
        <n v="198"/>
        <n v="290"/>
        <n v="253"/>
        <n v="172"/>
        <n v="273"/>
        <n v="213"/>
        <n v="305"/>
        <n v="216"/>
        <n v="304"/>
        <n v="188"/>
        <n v="282"/>
        <n v="185"/>
        <n v="232"/>
        <n v="326"/>
        <n v="231"/>
        <n v="269"/>
        <n v="267"/>
        <n v="248"/>
        <n v="360"/>
        <n v="258"/>
        <n v="308"/>
        <n v="245"/>
        <n v="270"/>
        <n v="208"/>
        <n v="264"/>
        <n v="321"/>
        <n v="274"/>
        <n v="325"/>
        <n v="235"/>
        <n v="257"/>
        <n v="164"/>
        <n v="141"/>
        <n v="252"/>
        <n v="255"/>
        <n v="201"/>
        <n v="222"/>
        <n v="260"/>
        <n v="182"/>
        <n v="303"/>
        <n v="265"/>
        <n v="309"/>
        <n v="307"/>
        <n v="249"/>
        <n v="186"/>
        <n v="341"/>
        <n v="183"/>
        <n v="407"/>
        <n v="217"/>
        <n v="288"/>
        <n v="220"/>
        <n v="209"/>
        <n v="227"/>
        <n v="261"/>
        <n v="174"/>
        <n v="281"/>
        <n v="221"/>
        <n v="205"/>
        <n v="240"/>
        <n v="289"/>
        <n v="318"/>
        <n v="298"/>
        <n v="564"/>
        <n v="246"/>
        <n v="322"/>
        <n v="299"/>
        <n v="300"/>
        <n v="293"/>
        <n v="277"/>
        <n v="214"/>
        <n v="207"/>
        <n v="223"/>
        <n v="160"/>
        <n v="394"/>
        <n v="184"/>
        <n v="315"/>
        <n v="409"/>
        <n v="244"/>
        <n v="195"/>
        <n v="196"/>
        <n v="126"/>
        <n v="313"/>
        <n v="259"/>
        <n v="200"/>
        <n v="262"/>
        <n v="215"/>
        <n v="228"/>
        <n v="193"/>
        <n v="271"/>
        <n v="210"/>
        <n v="327"/>
        <n v="149"/>
        <n v="295"/>
        <n v="306"/>
        <n v="178"/>
        <n v="237"/>
        <n v="218"/>
        <n v="242"/>
        <n v="319"/>
        <n v="166"/>
        <n v="180"/>
        <n v="311"/>
        <n v="278"/>
        <n v="342"/>
        <n v="169"/>
        <n v="187"/>
        <n v="157"/>
        <n v="176"/>
        <n v="241"/>
        <n v="131"/>
      </sharedItems>
      <fieldGroup base="4">
        <rangePr autoStart="0" autoEnd="0" startNum="200" endNum="239" groupInterval="40"/>
        <groupItems count="3">
          <s v="&lt;200"/>
          <s v="200-239"/>
          <s v="&gt;240"/>
        </groupItems>
      </fieldGroup>
    </cacheField>
    <cacheField name="fbs" numFmtId="0">
      <sharedItems containsSemiMixedTypes="0" containsString="0" containsNumber="1" containsInteger="1" minValue="0" maxValue="1" count="2">
        <n v="1"/>
        <n v="0"/>
      </sharedItems>
    </cacheField>
    <cacheField name="restecg" numFmtId="0">
      <sharedItems containsSemiMixedTypes="0" containsString="0" containsNumber="1" containsInteger="1" minValue="0" maxValue="2" count="3">
        <n v="2"/>
        <n v="0"/>
        <n v="1"/>
      </sharedItems>
    </cacheField>
    <cacheField name="maxhr" numFmtId="0">
      <sharedItems containsSemiMixedTypes="0" containsString="0" containsNumber="1" containsInteger="1" minValue="71" maxValue="202" count="91">
        <n v="150"/>
        <n v="108"/>
        <n v="129"/>
        <n v="187"/>
        <n v="172"/>
        <n v="178"/>
        <n v="160"/>
        <n v="163"/>
        <n v="147"/>
        <n v="155"/>
        <n v="148"/>
        <n v="153"/>
        <n v="142"/>
        <n v="173"/>
        <n v="162"/>
        <n v="174"/>
        <n v="168"/>
        <n v="139"/>
        <n v="171"/>
        <n v="144"/>
        <n v="132"/>
        <n v="158"/>
        <n v="114"/>
        <n v="151"/>
        <n v="161"/>
        <n v="179"/>
        <n v="120"/>
        <n v="112"/>
        <n v="137"/>
        <n v="157"/>
        <n v="169"/>
        <n v="165"/>
        <n v="123"/>
        <n v="128"/>
        <n v="152"/>
        <n v="140"/>
        <n v="188"/>
        <n v="109"/>
        <n v="125"/>
        <n v="131"/>
        <n v="170"/>
        <n v="113"/>
        <n v="99"/>
        <n v="177"/>
        <n v="141"/>
        <n v="180"/>
        <n v="111"/>
        <n v="143"/>
        <n v="182"/>
        <n v="156"/>
        <n v="115"/>
        <n v="149"/>
        <n v="145"/>
        <n v="146"/>
        <n v="175"/>
        <n v="186"/>
        <n v="185"/>
        <n v="159"/>
        <n v="130"/>
        <n v="190"/>
        <n v="136"/>
        <n v="97"/>
        <n v="127"/>
        <n v="154"/>
        <n v="133"/>
        <n v="126"/>
        <n v="202"/>
        <n v="103"/>
        <n v="166"/>
        <n v="164"/>
        <n v="184"/>
        <n v="124"/>
        <n v="122"/>
        <n v="96"/>
        <n v="138"/>
        <n v="88"/>
        <n v="105"/>
        <n v="194"/>
        <n v="195"/>
        <n v="106"/>
        <n v="167"/>
        <n v="95"/>
        <n v="192"/>
        <n v="117"/>
        <n v="121"/>
        <n v="116"/>
        <n v="71"/>
        <n v="118"/>
        <n v="181"/>
        <n v="134"/>
        <n v="90"/>
      </sharedItems>
      <fieldGroup base="7">
        <rangePr autoStart="0" autoEnd="0" startNum="100" endNum="180" groupInterval="20"/>
        <groupItems count="6">
          <s v="&lt;100"/>
          <s v="100-119"/>
          <s v="120-139"/>
          <s v="140-159"/>
          <s v="160-180"/>
          <s v="&gt;180"/>
        </groupItems>
      </fieldGroup>
    </cacheField>
    <cacheField name="exang" numFmtId="0">
      <sharedItems containsSemiMixedTypes="0" containsString="0" containsNumber="1" containsInteger="1" minValue="0" maxValue="1" count="2">
        <n v="0"/>
        <n v="1"/>
      </sharedItems>
    </cacheField>
    <cacheField name="slope" numFmtId="0">
      <sharedItems containsSemiMixedTypes="0" containsString="0" containsNumber="1" containsInteger="1" minValue="1" maxValue="3" count="3">
        <n v="3"/>
        <n v="2"/>
        <n v="1"/>
      </sharedItems>
    </cacheField>
    <cacheField name="thal" numFmtId="0">
      <sharedItems containsMixedTypes="1" containsNumber="1" containsInteger="1" minValue="3" maxValue="7" count="4">
        <n v="6"/>
        <n v="3"/>
        <n v="7"/>
        <s v="?"/>
      </sharedItems>
    </cacheField>
    <cacheField name="num" numFmtId="0">
      <sharedItems containsSemiMixedTypes="0" containsString="0" containsNumber="1" containsInteger="1" minValue="0" maxValue="4"/>
    </cacheField>
    <cacheField name="h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821583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  <x v="0"/>
    <x v="0"/>
    <x v="0"/>
    <x v="0"/>
    <x v="0"/>
    <x v="0"/>
    <x v="0"/>
    <x v="0"/>
    <x v="0"/>
    <x v="0"/>
    <n v="0"/>
    <x v="0"/>
  </r>
  <r>
    <x v="1"/>
    <x v="0"/>
    <x v="1"/>
    <x v="1"/>
    <x v="1"/>
    <x v="1"/>
    <x v="0"/>
    <x v="1"/>
    <x v="1"/>
    <x v="1"/>
    <x v="1"/>
    <n v="2"/>
    <x v="1"/>
  </r>
  <r>
    <x v="1"/>
    <x v="0"/>
    <x v="1"/>
    <x v="2"/>
    <x v="2"/>
    <x v="1"/>
    <x v="0"/>
    <x v="2"/>
    <x v="1"/>
    <x v="1"/>
    <x v="2"/>
    <n v="1"/>
    <x v="1"/>
  </r>
  <r>
    <x v="2"/>
    <x v="0"/>
    <x v="2"/>
    <x v="3"/>
    <x v="3"/>
    <x v="1"/>
    <x v="1"/>
    <x v="3"/>
    <x v="0"/>
    <x v="0"/>
    <x v="1"/>
    <n v="0"/>
    <x v="0"/>
  </r>
  <r>
    <x v="3"/>
    <x v="1"/>
    <x v="3"/>
    <x v="3"/>
    <x v="4"/>
    <x v="1"/>
    <x v="0"/>
    <x v="4"/>
    <x v="0"/>
    <x v="2"/>
    <x v="1"/>
    <n v="0"/>
    <x v="0"/>
  </r>
  <r>
    <x v="4"/>
    <x v="0"/>
    <x v="3"/>
    <x v="2"/>
    <x v="5"/>
    <x v="1"/>
    <x v="1"/>
    <x v="5"/>
    <x v="0"/>
    <x v="2"/>
    <x v="1"/>
    <n v="0"/>
    <x v="0"/>
  </r>
  <r>
    <x v="5"/>
    <x v="1"/>
    <x v="1"/>
    <x v="4"/>
    <x v="6"/>
    <x v="1"/>
    <x v="0"/>
    <x v="6"/>
    <x v="0"/>
    <x v="0"/>
    <x v="1"/>
    <n v="3"/>
    <x v="1"/>
  </r>
  <r>
    <x v="6"/>
    <x v="1"/>
    <x v="1"/>
    <x v="2"/>
    <x v="7"/>
    <x v="1"/>
    <x v="1"/>
    <x v="7"/>
    <x v="1"/>
    <x v="2"/>
    <x v="1"/>
    <n v="0"/>
    <x v="0"/>
  </r>
  <r>
    <x v="0"/>
    <x v="0"/>
    <x v="1"/>
    <x v="3"/>
    <x v="8"/>
    <x v="1"/>
    <x v="0"/>
    <x v="8"/>
    <x v="0"/>
    <x v="1"/>
    <x v="2"/>
    <n v="2"/>
    <x v="1"/>
  </r>
  <r>
    <x v="7"/>
    <x v="0"/>
    <x v="1"/>
    <x v="4"/>
    <x v="9"/>
    <x v="0"/>
    <x v="0"/>
    <x v="9"/>
    <x v="1"/>
    <x v="0"/>
    <x v="2"/>
    <n v="1"/>
    <x v="1"/>
  </r>
  <r>
    <x v="6"/>
    <x v="0"/>
    <x v="1"/>
    <x v="4"/>
    <x v="10"/>
    <x v="1"/>
    <x v="1"/>
    <x v="10"/>
    <x v="0"/>
    <x v="1"/>
    <x v="0"/>
    <n v="0"/>
    <x v="0"/>
  </r>
  <r>
    <x v="4"/>
    <x v="1"/>
    <x v="3"/>
    <x v="4"/>
    <x v="11"/>
    <x v="1"/>
    <x v="0"/>
    <x v="11"/>
    <x v="0"/>
    <x v="1"/>
    <x v="1"/>
    <n v="0"/>
    <x v="0"/>
  </r>
  <r>
    <x v="4"/>
    <x v="0"/>
    <x v="2"/>
    <x v="3"/>
    <x v="12"/>
    <x v="0"/>
    <x v="0"/>
    <x v="12"/>
    <x v="1"/>
    <x v="1"/>
    <x v="0"/>
    <n v="2"/>
    <x v="1"/>
  </r>
  <r>
    <x v="8"/>
    <x v="0"/>
    <x v="3"/>
    <x v="2"/>
    <x v="13"/>
    <x v="1"/>
    <x v="1"/>
    <x v="13"/>
    <x v="0"/>
    <x v="2"/>
    <x v="2"/>
    <n v="0"/>
    <x v="0"/>
  </r>
  <r>
    <x v="9"/>
    <x v="0"/>
    <x v="2"/>
    <x v="5"/>
    <x v="14"/>
    <x v="0"/>
    <x v="1"/>
    <x v="14"/>
    <x v="0"/>
    <x v="2"/>
    <x v="2"/>
    <n v="0"/>
    <x v="0"/>
  </r>
  <r>
    <x v="6"/>
    <x v="0"/>
    <x v="2"/>
    <x v="6"/>
    <x v="15"/>
    <x v="1"/>
    <x v="1"/>
    <x v="15"/>
    <x v="0"/>
    <x v="2"/>
    <x v="1"/>
    <n v="0"/>
    <x v="0"/>
  </r>
  <r>
    <x v="10"/>
    <x v="0"/>
    <x v="3"/>
    <x v="7"/>
    <x v="2"/>
    <x v="1"/>
    <x v="1"/>
    <x v="16"/>
    <x v="0"/>
    <x v="0"/>
    <x v="2"/>
    <n v="1"/>
    <x v="1"/>
  </r>
  <r>
    <x v="11"/>
    <x v="0"/>
    <x v="1"/>
    <x v="4"/>
    <x v="16"/>
    <x v="1"/>
    <x v="1"/>
    <x v="6"/>
    <x v="0"/>
    <x v="2"/>
    <x v="1"/>
    <n v="0"/>
    <x v="0"/>
  </r>
  <r>
    <x v="10"/>
    <x v="1"/>
    <x v="2"/>
    <x v="3"/>
    <x v="17"/>
    <x v="1"/>
    <x v="1"/>
    <x v="17"/>
    <x v="0"/>
    <x v="2"/>
    <x v="1"/>
    <n v="0"/>
    <x v="0"/>
  </r>
  <r>
    <x v="12"/>
    <x v="0"/>
    <x v="3"/>
    <x v="3"/>
    <x v="18"/>
    <x v="1"/>
    <x v="1"/>
    <x v="18"/>
    <x v="0"/>
    <x v="2"/>
    <x v="1"/>
    <n v="0"/>
    <x v="0"/>
  </r>
  <r>
    <x v="13"/>
    <x v="0"/>
    <x v="0"/>
    <x v="7"/>
    <x v="19"/>
    <x v="1"/>
    <x v="0"/>
    <x v="19"/>
    <x v="1"/>
    <x v="1"/>
    <x v="1"/>
    <n v="0"/>
    <x v="0"/>
  </r>
  <r>
    <x v="14"/>
    <x v="1"/>
    <x v="0"/>
    <x v="6"/>
    <x v="20"/>
    <x v="0"/>
    <x v="0"/>
    <x v="14"/>
    <x v="0"/>
    <x v="2"/>
    <x v="1"/>
    <n v="0"/>
    <x v="0"/>
  </r>
  <r>
    <x v="14"/>
    <x v="0"/>
    <x v="3"/>
    <x v="2"/>
    <x v="21"/>
    <x v="1"/>
    <x v="0"/>
    <x v="6"/>
    <x v="0"/>
    <x v="1"/>
    <x v="1"/>
    <n v="1"/>
    <x v="1"/>
  </r>
  <r>
    <x v="14"/>
    <x v="0"/>
    <x v="2"/>
    <x v="8"/>
    <x v="22"/>
    <x v="1"/>
    <x v="0"/>
    <x v="13"/>
    <x v="0"/>
    <x v="2"/>
    <x v="2"/>
    <n v="3"/>
    <x v="1"/>
  </r>
  <r>
    <x v="15"/>
    <x v="0"/>
    <x v="1"/>
    <x v="3"/>
    <x v="23"/>
    <x v="1"/>
    <x v="0"/>
    <x v="20"/>
    <x v="1"/>
    <x v="1"/>
    <x v="2"/>
    <n v="4"/>
    <x v="1"/>
  </r>
  <r>
    <x v="16"/>
    <x v="1"/>
    <x v="2"/>
    <x v="2"/>
    <x v="24"/>
    <x v="1"/>
    <x v="1"/>
    <x v="21"/>
    <x v="0"/>
    <x v="1"/>
    <x v="1"/>
    <n v="0"/>
    <x v="0"/>
  </r>
  <r>
    <x v="14"/>
    <x v="1"/>
    <x v="2"/>
    <x v="2"/>
    <x v="25"/>
    <x v="1"/>
    <x v="1"/>
    <x v="4"/>
    <x v="0"/>
    <x v="2"/>
    <x v="1"/>
    <n v="0"/>
    <x v="0"/>
  </r>
  <r>
    <x v="17"/>
    <x v="1"/>
    <x v="0"/>
    <x v="6"/>
    <x v="26"/>
    <x v="1"/>
    <x v="1"/>
    <x v="22"/>
    <x v="0"/>
    <x v="0"/>
    <x v="1"/>
    <n v="0"/>
    <x v="0"/>
  </r>
  <r>
    <x v="18"/>
    <x v="0"/>
    <x v="1"/>
    <x v="6"/>
    <x v="27"/>
    <x v="1"/>
    <x v="1"/>
    <x v="18"/>
    <x v="0"/>
    <x v="2"/>
    <x v="1"/>
    <n v="0"/>
    <x v="0"/>
  </r>
  <r>
    <x v="19"/>
    <x v="0"/>
    <x v="1"/>
    <x v="7"/>
    <x v="28"/>
    <x v="1"/>
    <x v="0"/>
    <x v="22"/>
    <x v="1"/>
    <x v="1"/>
    <x v="2"/>
    <n v="3"/>
    <x v="1"/>
  </r>
  <r>
    <x v="20"/>
    <x v="1"/>
    <x v="0"/>
    <x v="4"/>
    <x v="16"/>
    <x v="1"/>
    <x v="1"/>
    <x v="23"/>
    <x v="0"/>
    <x v="2"/>
    <x v="1"/>
    <n v="0"/>
    <x v="0"/>
  </r>
  <r>
    <x v="15"/>
    <x v="0"/>
    <x v="1"/>
    <x v="9"/>
    <x v="29"/>
    <x v="0"/>
    <x v="1"/>
    <x v="6"/>
    <x v="1"/>
    <x v="2"/>
    <x v="2"/>
    <n v="2"/>
    <x v="1"/>
  </r>
  <r>
    <x v="13"/>
    <x v="0"/>
    <x v="2"/>
    <x v="4"/>
    <x v="30"/>
    <x v="1"/>
    <x v="1"/>
    <x v="21"/>
    <x v="0"/>
    <x v="2"/>
    <x v="1"/>
    <n v="1"/>
    <x v="1"/>
  </r>
  <r>
    <x v="21"/>
    <x v="0"/>
    <x v="1"/>
    <x v="10"/>
    <x v="31"/>
    <x v="1"/>
    <x v="1"/>
    <x v="24"/>
    <x v="0"/>
    <x v="1"/>
    <x v="2"/>
    <n v="0"/>
    <x v="0"/>
  </r>
  <r>
    <x v="8"/>
    <x v="0"/>
    <x v="2"/>
    <x v="3"/>
    <x v="0"/>
    <x v="1"/>
    <x v="1"/>
    <x v="25"/>
    <x v="1"/>
    <x v="2"/>
    <x v="1"/>
    <n v="0"/>
    <x v="0"/>
  </r>
  <r>
    <x v="22"/>
    <x v="0"/>
    <x v="1"/>
    <x v="4"/>
    <x v="26"/>
    <x v="1"/>
    <x v="1"/>
    <x v="5"/>
    <x v="0"/>
    <x v="2"/>
    <x v="1"/>
    <n v="0"/>
    <x v="0"/>
  </r>
  <r>
    <x v="18"/>
    <x v="0"/>
    <x v="1"/>
    <x v="2"/>
    <x v="32"/>
    <x v="1"/>
    <x v="0"/>
    <x v="26"/>
    <x v="1"/>
    <x v="1"/>
    <x v="2"/>
    <n v="3"/>
    <x v="1"/>
  </r>
  <r>
    <x v="6"/>
    <x v="0"/>
    <x v="1"/>
    <x v="6"/>
    <x v="33"/>
    <x v="1"/>
    <x v="0"/>
    <x v="27"/>
    <x v="1"/>
    <x v="1"/>
    <x v="0"/>
    <n v="1"/>
    <x v="1"/>
  </r>
  <r>
    <x v="23"/>
    <x v="0"/>
    <x v="1"/>
    <x v="8"/>
    <x v="34"/>
    <x v="1"/>
    <x v="1"/>
    <x v="20"/>
    <x v="1"/>
    <x v="1"/>
    <x v="2"/>
    <n v="3"/>
    <x v="1"/>
  </r>
  <r>
    <x v="24"/>
    <x v="0"/>
    <x v="2"/>
    <x v="6"/>
    <x v="35"/>
    <x v="0"/>
    <x v="1"/>
    <x v="28"/>
    <x v="1"/>
    <x v="1"/>
    <x v="1"/>
    <n v="0"/>
    <x v="0"/>
  </r>
  <r>
    <x v="25"/>
    <x v="1"/>
    <x v="1"/>
    <x v="6"/>
    <x v="36"/>
    <x v="1"/>
    <x v="0"/>
    <x v="22"/>
    <x v="0"/>
    <x v="1"/>
    <x v="2"/>
    <n v="4"/>
    <x v="1"/>
  </r>
  <r>
    <x v="19"/>
    <x v="0"/>
    <x v="0"/>
    <x v="4"/>
    <x v="14"/>
    <x v="1"/>
    <x v="1"/>
    <x v="5"/>
    <x v="1"/>
    <x v="2"/>
    <x v="2"/>
    <n v="0"/>
    <x v="0"/>
  </r>
  <r>
    <x v="26"/>
    <x v="1"/>
    <x v="3"/>
    <x v="1"/>
    <x v="37"/>
    <x v="1"/>
    <x v="1"/>
    <x v="14"/>
    <x v="0"/>
    <x v="2"/>
    <x v="1"/>
    <n v="0"/>
    <x v="0"/>
  </r>
  <r>
    <x v="21"/>
    <x v="0"/>
    <x v="2"/>
    <x v="6"/>
    <x v="38"/>
    <x v="0"/>
    <x v="1"/>
    <x v="29"/>
    <x v="0"/>
    <x v="2"/>
    <x v="1"/>
    <n v="0"/>
    <x v="0"/>
  </r>
  <r>
    <x v="24"/>
    <x v="1"/>
    <x v="1"/>
    <x v="3"/>
    <x v="39"/>
    <x v="1"/>
    <x v="0"/>
    <x v="30"/>
    <x v="0"/>
    <x v="2"/>
    <x v="1"/>
    <n v="1"/>
    <x v="1"/>
  </r>
  <r>
    <x v="14"/>
    <x v="0"/>
    <x v="2"/>
    <x v="11"/>
    <x v="29"/>
    <x v="1"/>
    <x v="0"/>
    <x v="31"/>
    <x v="0"/>
    <x v="1"/>
    <x v="2"/>
    <n v="4"/>
    <x v="1"/>
  </r>
  <r>
    <x v="27"/>
    <x v="0"/>
    <x v="2"/>
    <x v="7"/>
    <x v="40"/>
    <x v="1"/>
    <x v="1"/>
    <x v="32"/>
    <x v="0"/>
    <x v="2"/>
    <x v="1"/>
    <n v="0"/>
    <x v="0"/>
  </r>
  <r>
    <x v="16"/>
    <x v="0"/>
    <x v="1"/>
    <x v="6"/>
    <x v="35"/>
    <x v="1"/>
    <x v="0"/>
    <x v="33"/>
    <x v="0"/>
    <x v="1"/>
    <x v="2"/>
    <n v="4"/>
    <x v="1"/>
  </r>
  <r>
    <x v="25"/>
    <x v="1"/>
    <x v="2"/>
    <x v="4"/>
    <x v="41"/>
    <x v="0"/>
    <x v="0"/>
    <x v="29"/>
    <x v="0"/>
    <x v="2"/>
    <x v="1"/>
    <n v="0"/>
    <x v="0"/>
  </r>
  <r>
    <x v="7"/>
    <x v="0"/>
    <x v="2"/>
    <x v="3"/>
    <x v="42"/>
    <x v="0"/>
    <x v="0"/>
    <x v="34"/>
    <x v="0"/>
    <x v="0"/>
    <x v="1"/>
    <n v="0"/>
    <x v="0"/>
  </r>
  <r>
    <x v="3"/>
    <x v="1"/>
    <x v="3"/>
    <x v="12"/>
    <x v="43"/>
    <x v="1"/>
    <x v="1"/>
    <x v="16"/>
    <x v="0"/>
    <x v="2"/>
    <x v="1"/>
    <n v="0"/>
    <x v="0"/>
  </r>
  <r>
    <x v="25"/>
    <x v="0"/>
    <x v="1"/>
    <x v="2"/>
    <x v="32"/>
    <x v="1"/>
    <x v="1"/>
    <x v="35"/>
    <x v="0"/>
    <x v="2"/>
    <x v="2"/>
    <n v="0"/>
    <x v="0"/>
  </r>
  <r>
    <x v="8"/>
    <x v="0"/>
    <x v="1"/>
    <x v="11"/>
    <x v="44"/>
    <x v="1"/>
    <x v="0"/>
    <x v="11"/>
    <x v="0"/>
    <x v="2"/>
    <x v="1"/>
    <n v="2"/>
    <x v="1"/>
  </r>
  <r>
    <x v="8"/>
    <x v="0"/>
    <x v="3"/>
    <x v="3"/>
    <x v="24"/>
    <x v="1"/>
    <x v="0"/>
    <x v="36"/>
    <x v="0"/>
    <x v="2"/>
    <x v="1"/>
    <n v="0"/>
    <x v="0"/>
  </r>
  <r>
    <x v="15"/>
    <x v="0"/>
    <x v="1"/>
    <x v="3"/>
    <x v="45"/>
    <x v="1"/>
    <x v="1"/>
    <x v="19"/>
    <x v="1"/>
    <x v="2"/>
    <x v="2"/>
    <n v="1"/>
    <x v="1"/>
  </r>
  <r>
    <x v="11"/>
    <x v="0"/>
    <x v="1"/>
    <x v="13"/>
    <x v="18"/>
    <x v="1"/>
    <x v="0"/>
    <x v="37"/>
    <x v="1"/>
    <x v="1"/>
    <x v="2"/>
    <n v="1"/>
    <x v="1"/>
  </r>
  <r>
    <x v="16"/>
    <x v="0"/>
    <x v="2"/>
    <x v="4"/>
    <x v="0"/>
    <x v="1"/>
    <x v="1"/>
    <x v="7"/>
    <x v="0"/>
    <x v="1"/>
    <x v="2"/>
    <n v="1"/>
    <x v="1"/>
  </r>
  <r>
    <x v="3"/>
    <x v="0"/>
    <x v="1"/>
    <x v="7"/>
    <x v="46"/>
    <x v="1"/>
    <x v="0"/>
    <x v="21"/>
    <x v="0"/>
    <x v="2"/>
    <x v="2"/>
    <n v="1"/>
    <x v="1"/>
  </r>
  <r>
    <x v="11"/>
    <x v="0"/>
    <x v="2"/>
    <x v="14"/>
    <x v="47"/>
    <x v="1"/>
    <x v="0"/>
    <x v="34"/>
    <x v="0"/>
    <x v="0"/>
    <x v="1"/>
    <n v="0"/>
    <x v="0"/>
  </r>
  <r>
    <x v="27"/>
    <x v="0"/>
    <x v="0"/>
    <x v="14"/>
    <x v="48"/>
    <x v="1"/>
    <x v="0"/>
    <x v="38"/>
    <x v="1"/>
    <x v="2"/>
    <x v="1"/>
    <n v="0"/>
    <x v="0"/>
  </r>
  <r>
    <x v="27"/>
    <x v="1"/>
    <x v="1"/>
    <x v="3"/>
    <x v="49"/>
    <x v="1"/>
    <x v="1"/>
    <x v="12"/>
    <x v="1"/>
    <x v="1"/>
    <x v="2"/>
    <n v="2"/>
    <x v="1"/>
  </r>
  <r>
    <x v="28"/>
    <x v="1"/>
    <x v="2"/>
    <x v="15"/>
    <x v="32"/>
    <x v="1"/>
    <x v="0"/>
    <x v="6"/>
    <x v="1"/>
    <x v="0"/>
    <x v="1"/>
    <n v="0"/>
    <x v="0"/>
  </r>
  <r>
    <x v="14"/>
    <x v="0"/>
    <x v="1"/>
    <x v="16"/>
    <x v="50"/>
    <x v="1"/>
    <x v="0"/>
    <x v="39"/>
    <x v="1"/>
    <x v="1"/>
    <x v="2"/>
    <n v="1"/>
    <x v="1"/>
  </r>
  <r>
    <x v="11"/>
    <x v="1"/>
    <x v="2"/>
    <x v="10"/>
    <x v="51"/>
    <x v="0"/>
    <x v="1"/>
    <x v="40"/>
    <x v="0"/>
    <x v="2"/>
    <x v="1"/>
    <n v="0"/>
    <x v="0"/>
  </r>
  <r>
    <x v="11"/>
    <x v="0"/>
    <x v="1"/>
    <x v="2"/>
    <x v="52"/>
    <x v="1"/>
    <x v="1"/>
    <x v="41"/>
    <x v="0"/>
    <x v="1"/>
    <x v="2"/>
    <n v="2"/>
    <x v="1"/>
  </r>
  <r>
    <x v="15"/>
    <x v="0"/>
    <x v="1"/>
    <x v="0"/>
    <x v="53"/>
    <x v="1"/>
    <x v="0"/>
    <x v="12"/>
    <x v="1"/>
    <x v="1"/>
    <x v="2"/>
    <n v="2"/>
    <x v="1"/>
  </r>
  <r>
    <x v="15"/>
    <x v="0"/>
    <x v="2"/>
    <x v="4"/>
    <x v="54"/>
    <x v="1"/>
    <x v="0"/>
    <x v="9"/>
    <x v="0"/>
    <x v="1"/>
    <x v="1"/>
    <n v="1"/>
    <x v="1"/>
  </r>
  <r>
    <x v="11"/>
    <x v="0"/>
    <x v="2"/>
    <x v="6"/>
    <x v="55"/>
    <x v="1"/>
    <x v="0"/>
    <x v="31"/>
    <x v="0"/>
    <x v="2"/>
    <x v="2"/>
    <n v="0"/>
    <x v="0"/>
  </r>
  <r>
    <x v="21"/>
    <x v="0"/>
    <x v="1"/>
    <x v="17"/>
    <x v="56"/>
    <x v="1"/>
    <x v="0"/>
    <x v="35"/>
    <x v="1"/>
    <x v="0"/>
    <x v="2"/>
    <n v="2"/>
    <x v="1"/>
  </r>
  <r>
    <x v="28"/>
    <x v="0"/>
    <x v="2"/>
    <x v="6"/>
    <x v="57"/>
    <x v="1"/>
    <x v="1"/>
    <x v="8"/>
    <x v="0"/>
    <x v="1"/>
    <x v="1"/>
    <n v="1"/>
    <x v="1"/>
  </r>
  <r>
    <x v="25"/>
    <x v="1"/>
    <x v="2"/>
    <x v="18"/>
    <x v="58"/>
    <x v="1"/>
    <x v="1"/>
    <x v="10"/>
    <x v="0"/>
    <x v="2"/>
    <x v="1"/>
    <n v="0"/>
    <x v="0"/>
  </r>
  <r>
    <x v="1"/>
    <x v="0"/>
    <x v="1"/>
    <x v="14"/>
    <x v="8"/>
    <x v="0"/>
    <x v="1"/>
    <x v="7"/>
    <x v="0"/>
    <x v="1"/>
    <x v="2"/>
    <n v="3"/>
    <x v="1"/>
  </r>
  <r>
    <x v="5"/>
    <x v="0"/>
    <x v="1"/>
    <x v="2"/>
    <x v="59"/>
    <x v="1"/>
    <x v="1"/>
    <x v="42"/>
    <x v="1"/>
    <x v="1"/>
    <x v="2"/>
    <n v="1"/>
    <x v="1"/>
  </r>
  <r>
    <x v="25"/>
    <x v="0"/>
    <x v="1"/>
    <x v="7"/>
    <x v="60"/>
    <x v="1"/>
    <x v="0"/>
    <x v="21"/>
    <x v="0"/>
    <x v="2"/>
    <x v="0"/>
    <n v="1"/>
    <x v="1"/>
  </r>
  <r>
    <x v="8"/>
    <x v="0"/>
    <x v="1"/>
    <x v="7"/>
    <x v="42"/>
    <x v="1"/>
    <x v="0"/>
    <x v="43"/>
    <x v="0"/>
    <x v="2"/>
    <x v="1"/>
    <n v="1"/>
    <x v="1"/>
  </r>
  <r>
    <x v="25"/>
    <x v="1"/>
    <x v="2"/>
    <x v="1"/>
    <x v="61"/>
    <x v="1"/>
    <x v="0"/>
    <x v="23"/>
    <x v="0"/>
    <x v="2"/>
    <x v="1"/>
    <n v="0"/>
    <x v="0"/>
  </r>
  <r>
    <x v="15"/>
    <x v="0"/>
    <x v="1"/>
    <x v="14"/>
    <x v="62"/>
    <x v="1"/>
    <x v="0"/>
    <x v="44"/>
    <x v="1"/>
    <x v="1"/>
    <x v="2"/>
    <n v="1"/>
    <x v="1"/>
  </r>
  <r>
    <x v="27"/>
    <x v="1"/>
    <x v="2"/>
    <x v="4"/>
    <x v="63"/>
    <x v="1"/>
    <x v="0"/>
    <x v="12"/>
    <x v="0"/>
    <x v="2"/>
    <x v="1"/>
    <n v="0"/>
    <x v="0"/>
  </r>
  <r>
    <x v="10"/>
    <x v="0"/>
    <x v="3"/>
    <x v="3"/>
    <x v="64"/>
    <x v="1"/>
    <x v="0"/>
    <x v="45"/>
    <x v="0"/>
    <x v="1"/>
    <x v="1"/>
    <n v="0"/>
    <x v="0"/>
  </r>
  <r>
    <x v="14"/>
    <x v="0"/>
    <x v="1"/>
    <x v="6"/>
    <x v="65"/>
    <x v="1"/>
    <x v="0"/>
    <x v="46"/>
    <x v="1"/>
    <x v="2"/>
    <x v="2"/>
    <n v="3"/>
    <x v="1"/>
  </r>
  <r>
    <x v="29"/>
    <x v="0"/>
    <x v="1"/>
    <x v="19"/>
    <x v="66"/>
    <x v="1"/>
    <x v="0"/>
    <x v="10"/>
    <x v="1"/>
    <x v="1"/>
    <x v="1"/>
    <n v="0"/>
    <x v="0"/>
  </r>
  <r>
    <x v="7"/>
    <x v="1"/>
    <x v="1"/>
    <x v="3"/>
    <x v="67"/>
    <x v="1"/>
    <x v="0"/>
    <x v="47"/>
    <x v="0"/>
    <x v="1"/>
    <x v="1"/>
    <n v="0"/>
    <x v="0"/>
  </r>
  <r>
    <x v="30"/>
    <x v="0"/>
    <x v="2"/>
    <x v="4"/>
    <x v="68"/>
    <x v="1"/>
    <x v="0"/>
    <x v="48"/>
    <x v="0"/>
    <x v="2"/>
    <x v="1"/>
    <n v="0"/>
    <x v="0"/>
  </r>
  <r>
    <x v="31"/>
    <x v="0"/>
    <x v="2"/>
    <x v="20"/>
    <x v="69"/>
    <x v="0"/>
    <x v="0"/>
    <x v="0"/>
    <x v="1"/>
    <x v="1"/>
    <x v="2"/>
    <n v="3"/>
    <x v="1"/>
  </r>
  <r>
    <x v="9"/>
    <x v="0"/>
    <x v="3"/>
    <x v="2"/>
    <x v="70"/>
    <x v="1"/>
    <x v="1"/>
    <x v="4"/>
    <x v="0"/>
    <x v="2"/>
    <x v="1"/>
    <n v="0"/>
    <x v="0"/>
  </r>
  <r>
    <x v="8"/>
    <x v="0"/>
    <x v="2"/>
    <x v="4"/>
    <x v="71"/>
    <x v="1"/>
    <x v="0"/>
    <x v="45"/>
    <x v="0"/>
    <x v="2"/>
    <x v="1"/>
    <n v="0"/>
    <x v="0"/>
  </r>
  <r>
    <x v="32"/>
    <x v="0"/>
    <x v="2"/>
    <x v="21"/>
    <x v="72"/>
    <x v="1"/>
    <x v="0"/>
    <x v="49"/>
    <x v="0"/>
    <x v="2"/>
    <x v="1"/>
    <n v="0"/>
    <x v="0"/>
  </r>
  <r>
    <x v="7"/>
    <x v="1"/>
    <x v="2"/>
    <x v="16"/>
    <x v="50"/>
    <x v="1"/>
    <x v="0"/>
    <x v="50"/>
    <x v="0"/>
    <x v="2"/>
    <x v="3"/>
    <n v="0"/>
    <x v="0"/>
  </r>
  <r>
    <x v="7"/>
    <x v="1"/>
    <x v="1"/>
    <x v="21"/>
    <x v="31"/>
    <x v="1"/>
    <x v="0"/>
    <x v="6"/>
    <x v="0"/>
    <x v="2"/>
    <x v="1"/>
    <n v="0"/>
    <x v="0"/>
  </r>
  <r>
    <x v="27"/>
    <x v="1"/>
    <x v="2"/>
    <x v="3"/>
    <x v="12"/>
    <x v="1"/>
    <x v="0"/>
    <x v="51"/>
    <x v="0"/>
    <x v="2"/>
    <x v="1"/>
    <n v="0"/>
    <x v="0"/>
  </r>
  <r>
    <x v="17"/>
    <x v="0"/>
    <x v="1"/>
    <x v="2"/>
    <x v="37"/>
    <x v="1"/>
    <x v="0"/>
    <x v="23"/>
    <x v="0"/>
    <x v="1"/>
    <x v="1"/>
    <n v="0"/>
    <x v="0"/>
  </r>
  <r>
    <x v="5"/>
    <x v="1"/>
    <x v="1"/>
    <x v="1"/>
    <x v="73"/>
    <x v="1"/>
    <x v="0"/>
    <x v="52"/>
    <x v="0"/>
    <x v="0"/>
    <x v="2"/>
    <n v="3"/>
    <x v="1"/>
  </r>
  <r>
    <x v="5"/>
    <x v="0"/>
    <x v="2"/>
    <x v="3"/>
    <x v="57"/>
    <x v="1"/>
    <x v="1"/>
    <x v="53"/>
    <x v="0"/>
    <x v="1"/>
    <x v="2"/>
    <n v="0"/>
    <x v="0"/>
  </r>
  <r>
    <x v="8"/>
    <x v="1"/>
    <x v="2"/>
    <x v="22"/>
    <x v="74"/>
    <x v="1"/>
    <x v="1"/>
    <x v="54"/>
    <x v="0"/>
    <x v="1"/>
    <x v="1"/>
    <n v="0"/>
    <x v="0"/>
  </r>
  <r>
    <x v="0"/>
    <x v="1"/>
    <x v="2"/>
    <x v="10"/>
    <x v="75"/>
    <x v="1"/>
    <x v="0"/>
    <x v="4"/>
    <x v="0"/>
    <x v="2"/>
    <x v="1"/>
    <n v="0"/>
    <x v="0"/>
  </r>
  <r>
    <x v="9"/>
    <x v="0"/>
    <x v="1"/>
    <x v="16"/>
    <x v="76"/>
    <x v="1"/>
    <x v="1"/>
    <x v="24"/>
    <x v="1"/>
    <x v="2"/>
    <x v="2"/>
    <n v="1"/>
    <x v="1"/>
  </r>
  <r>
    <x v="21"/>
    <x v="0"/>
    <x v="1"/>
    <x v="7"/>
    <x v="16"/>
    <x v="1"/>
    <x v="0"/>
    <x v="12"/>
    <x v="1"/>
    <x v="1"/>
    <x v="2"/>
    <n v="2"/>
    <x v="1"/>
  </r>
  <r>
    <x v="15"/>
    <x v="1"/>
    <x v="1"/>
    <x v="6"/>
    <x v="62"/>
    <x v="1"/>
    <x v="0"/>
    <x v="29"/>
    <x v="0"/>
    <x v="1"/>
    <x v="2"/>
    <n v="3"/>
    <x v="1"/>
  </r>
  <r>
    <x v="9"/>
    <x v="0"/>
    <x v="3"/>
    <x v="23"/>
    <x v="77"/>
    <x v="1"/>
    <x v="1"/>
    <x v="21"/>
    <x v="0"/>
    <x v="2"/>
    <x v="1"/>
    <n v="0"/>
    <x v="0"/>
  </r>
  <r>
    <x v="10"/>
    <x v="0"/>
    <x v="1"/>
    <x v="24"/>
    <x v="78"/>
    <x v="1"/>
    <x v="0"/>
    <x v="55"/>
    <x v="0"/>
    <x v="2"/>
    <x v="1"/>
    <n v="0"/>
    <x v="0"/>
  </r>
  <r>
    <x v="29"/>
    <x v="0"/>
    <x v="1"/>
    <x v="25"/>
    <x v="79"/>
    <x v="1"/>
    <x v="0"/>
    <x v="56"/>
    <x v="0"/>
    <x v="2"/>
    <x v="1"/>
    <n v="0"/>
    <x v="0"/>
  </r>
  <r>
    <x v="33"/>
    <x v="0"/>
    <x v="0"/>
    <x v="26"/>
    <x v="80"/>
    <x v="1"/>
    <x v="0"/>
    <x v="15"/>
    <x v="0"/>
    <x v="2"/>
    <x v="1"/>
    <n v="0"/>
    <x v="0"/>
  </r>
  <r>
    <x v="6"/>
    <x v="1"/>
    <x v="1"/>
    <x v="16"/>
    <x v="81"/>
    <x v="1"/>
    <x v="0"/>
    <x v="57"/>
    <x v="0"/>
    <x v="2"/>
    <x v="1"/>
    <n v="0"/>
    <x v="0"/>
  </r>
  <r>
    <x v="26"/>
    <x v="1"/>
    <x v="2"/>
    <x v="7"/>
    <x v="82"/>
    <x v="0"/>
    <x v="0"/>
    <x v="58"/>
    <x v="0"/>
    <x v="2"/>
    <x v="1"/>
    <n v="0"/>
    <x v="0"/>
  </r>
  <r>
    <x v="12"/>
    <x v="0"/>
    <x v="2"/>
    <x v="2"/>
    <x v="52"/>
    <x v="1"/>
    <x v="1"/>
    <x v="17"/>
    <x v="0"/>
    <x v="1"/>
    <x v="2"/>
    <n v="3"/>
    <x v="1"/>
  </r>
  <r>
    <x v="11"/>
    <x v="0"/>
    <x v="3"/>
    <x v="22"/>
    <x v="83"/>
    <x v="1"/>
    <x v="1"/>
    <x v="49"/>
    <x v="0"/>
    <x v="2"/>
    <x v="2"/>
    <n v="0"/>
    <x v="0"/>
  </r>
  <r>
    <x v="21"/>
    <x v="0"/>
    <x v="1"/>
    <x v="4"/>
    <x v="32"/>
    <x v="1"/>
    <x v="1"/>
    <x v="14"/>
    <x v="1"/>
    <x v="2"/>
    <x v="2"/>
    <n v="2"/>
    <x v="1"/>
  </r>
  <r>
    <x v="6"/>
    <x v="0"/>
    <x v="2"/>
    <x v="16"/>
    <x v="2"/>
    <x v="1"/>
    <x v="0"/>
    <x v="0"/>
    <x v="0"/>
    <x v="1"/>
    <x v="2"/>
    <n v="1"/>
    <x v="1"/>
  </r>
  <r>
    <x v="24"/>
    <x v="0"/>
    <x v="1"/>
    <x v="2"/>
    <x v="79"/>
    <x v="1"/>
    <x v="1"/>
    <x v="35"/>
    <x v="1"/>
    <x v="1"/>
    <x v="2"/>
    <n v="2"/>
    <x v="1"/>
  </r>
  <r>
    <x v="30"/>
    <x v="0"/>
    <x v="1"/>
    <x v="26"/>
    <x v="24"/>
    <x v="1"/>
    <x v="1"/>
    <x v="35"/>
    <x v="0"/>
    <x v="1"/>
    <x v="2"/>
    <n v="3"/>
    <x v="1"/>
  </r>
  <r>
    <x v="24"/>
    <x v="1"/>
    <x v="1"/>
    <x v="0"/>
    <x v="84"/>
    <x v="1"/>
    <x v="0"/>
    <x v="53"/>
    <x v="1"/>
    <x v="1"/>
    <x v="2"/>
    <n v="1"/>
    <x v="1"/>
  </r>
  <r>
    <x v="4"/>
    <x v="0"/>
    <x v="1"/>
    <x v="14"/>
    <x v="85"/>
    <x v="0"/>
    <x v="0"/>
    <x v="19"/>
    <x v="1"/>
    <x v="1"/>
    <x v="1"/>
    <n v="1"/>
    <x v="1"/>
  </r>
  <r>
    <x v="9"/>
    <x v="0"/>
    <x v="0"/>
    <x v="26"/>
    <x v="86"/>
    <x v="1"/>
    <x v="0"/>
    <x v="59"/>
    <x v="0"/>
    <x v="1"/>
    <x v="0"/>
    <n v="0"/>
    <x v="0"/>
  </r>
  <r>
    <x v="18"/>
    <x v="1"/>
    <x v="1"/>
    <x v="8"/>
    <x v="87"/>
    <x v="0"/>
    <x v="0"/>
    <x v="60"/>
    <x v="1"/>
    <x v="1"/>
    <x v="2"/>
    <n v="2"/>
    <x v="1"/>
  </r>
  <r>
    <x v="5"/>
    <x v="1"/>
    <x v="2"/>
    <x v="3"/>
    <x v="13"/>
    <x v="1"/>
    <x v="1"/>
    <x v="61"/>
    <x v="0"/>
    <x v="1"/>
    <x v="2"/>
    <n v="2"/>
    <x v="1"/>
  </r>
  <r>
    <x v="3"/>
    <x v="0"/>
    <x v="3"/>
    <x v="10"/>
    <x v="9"/>
    <x v="1"/>
    <x v="1"/>
    <x v="20"/>
    <x v="0"/>
    <x v="1"/>
    <x v="0"/>
    <n v="0"/>
    <x v="0"/>
  </r>
  <r>
    <x v="14"/>
    <x v="0"/>
    <x v="2"/>
    <x v="4"/>
    <x v="19"/>
    <x v="0"/>
    <x v="0"/>
    <x v="31"/>
    <x v="0"/>
    <x v="2"/>
    <x v="1"/>
    <n v="0"/>
    <x v="0"/>
  </r>
  <r>
    <x v="34"/>
    <x v="1"/>
    <x v="1"/>
    <x v="21"/>
    <x v="88"/>
    <x v="1"/>
    <x v="1"/>
    <x v="48"/>
    <x v="0"/>
    <x v="2"/>
    <x v="1"/>
    <n v="0"/>
    <x v="0"/>
  </r>
  <r>
    <x v="0"/>
    <x v="0"/>
    <x v="1"/>
    <x v="3"/>
    <x v="39"/>
    <x v="0"/>
    <x v="0"/>
    <x v="20"/>
    <x v="1"/>
    <x v="2"/>
    <x v="2"/>
    <n v="3"/>
    <x v="1"/>
  </r>
  <r>
    <x v="25"/>
    <x v="0"/>
    <x v="1"/>
    <x v="10"/>
    <x v="8"/>
    <x v="1"/>
    <x v="0"/>
    <x v="62"/>
    <x v="0"/>
    <x v="1"/>
    <x v="2"/>
    <n v="2"/>
    <x v="1"/>
  </r>
  <r>
    <x v="10"/>
    <x v="0"/>
    <x v="1"/>
    <x v="3"/>
    <x v="12"/>
    <x v="0"/>
    <x v="0"/>
    <x v="0"/>
    <x v="1"/>
    <x v="2"/>
    <x v="2"/>
    <n v="3"/>
    <x v="1"/>
  </r>
  <r>
    <x v="0"/>
    <x v="1"/>
    <x v="1"/>
    <x v="6"/>
    <x v="89"/>
    <x v="1"/>
    <x v="0"/>
    <x v="63"/>
    <x v="0"/>
    <x v="1"/>
    <x v="2"/>
    <n v="4"/>
    <x v="1"/>
  </r>
  <r>
    <x v="27"/>
    <x v="0"/>
    <x v="2"/>
    <x v="27"/>
    <x v="78"/>
    <x v="1"/>
    <x v="1"/>
    <x v="47"/>
    <x v="1"/>
    <x v="1"/>
    <x v="1"/>
    <n v="0"/>
    <x v="0"/>
  </r>
  <r>
    <x v="23"/>
    <x v="0"/>
    <x v="1"/>
    <x v="4"/>
    <x v="90"/>
    <x v="1"/>
    <x v="1"/>
    <x v="46"/>
    <x v="1"/>
    <x v="0"/>
    <x v="2"/>
    <n v="3"/>
    <x v="1"/>
  </r>
  <r>
    <x v="25"/>
    <x v="0"/>
    <x v="0"/>
    <x v="21"/>
    <x v="53"/>
    <x v="0"/>
    <x v="0"/>
    <x v="15"/>
    <x v="0"/>
    <x v="1"/>
    <x v="1"/>
    <n v="1"/>
    <x v="1"/>
  </r>
  <r>
    <x v="29"/>
    <x v="1"/>
    <x v="3"/>
    <x v="3"/>
    <x v="31"/>
    <x v="1"/>
    <x v="0"/>
    <x v="54"/>
    <x v="0"/>
    <x v="1"/>
    <x v="1"/>
    <n v="0"/>
    <x v="0"/>
  </r>
  <r>
    <x v="4"/>
    <x v="1"/>
    <x v="1"/>
    <x v="28"/>
    <x v="91"/>
    <x v="0"/>
    <x v="0"/>
    <x v="64"/>
    <x v="1"/>
    <x v="0"/>
    <x v="2"/>
    <n v="3"/>
    <x v="1"/>
  </r>
  <r>
    <x v="11"/>
    <x v="0"/>
    <x v="1"/>
    <x v="7"/>
    <x v="16"/>
    <x v="1"/>
    <x v="1"/>
    <x v="65"/>
    <x v="1"/>
    <x v="1"/>
    <x v="2"/>
    <n v="3"/>
    <x v="1"/>
  </r>
  <r>
    <x v="8"/>
    <x v="0"/>
    <x v="3"/>
    <x v="2"/>
    <x v="92"/>
    <x v="1"/>
    <x v="1"/>
    <x v="40"/>
    <x v="0"/>
    <x v="2"/>
    <x v="1"/>
    <n v="0"/>
    <x v="0"/>
  </r>
  <r>
    <x v="5"/>
    <x v="1"/>
    <x v="1"/>
    <x v="13"/>
    <x v="93"/>
    <x v="1"/>
    <x v="1"/>
    <x v="7"/>
    <x v="0"/>
    <x v="2"/>
    <x v="1"/>
    <n v="0"/>
    <x v="0"/>
  </r>
  <r>
    <x v="11"/>
    <x v="0"/>
    <x v="2"/>
    <x v="2"/>
    <x v="62"/>
    <x v="1"/>
    <x v="0"/>
    <x v="8"/>
    <x v="0"/>
    <x v="1"/>
    <x v="2"/>
    <n v="0"/>
    <x v="0"/>
  </r>
  <r>
    <x v="27"/>
    <x v="0"/>
    <x v="2"/>
    <x v="29"/>
    <x v="94"/>
    <x v="1"/>
    <x v="1"/>
    <x v="63"/>
    <x v="1"/>
    <x v="2"/>
    <x v="2"/>
    <n v="0"/>
    <x v="0"/>
  </r>
  <r>
    <x v="35"/>
    <x v="0"/>
    <x v="3"/>
    <x v="3"/>
    <x v="4"/>
    <x v="1"/>
    <x v="0"/>
    <x v="66"/>
    <x v="0"/>
    <x v="2"/>
    <x v="1"/>
    <n v="0"/>
    <x v="0"/>
  </r>
  <r>
    <x v="27"/>
    <x v="0"/>
    <x v="1"/>
    <x v="4"/>
    <x v="95"/>
    <x v="1"/>
    <x v="0"/>
    <x v="55"/>
    <x v="1"/>
    <x v="2"/>
    <x v="1"/>
    <n v="0"/>
    <x v="0"/>
  </r>
  <r>
    <x v="18"/>
    <x v="1"/>
    <x v="2"/>
    <x v="24"/>
    <x v="48"/>
    <x v="1"/>
    <x v="1"/>
    <x v="31"/>
    <x v="0"/>
    <x v="1"/>
    <x v="1"/>
    <n v="0"/>
    <x v="0"/>
  </r>
  <r>
    <x v="23"/>
    <x v="1"/>
    <x v="3"/>
    <x v="10"/>
    <x v="3"/>
    <x v="1"/>
    <x v="0"/>
    <x v="24"/>
    <x v="0"/>
    <x v="1"/>
    <x v="1"/>
    <n v="0"/>
    <x v="0"/>
  </r>
  <r>
    <x v="36"/>
    <x v="0"/>
    <x v="1"/>
    <x v="0"/>
    <x v="96"/>
    <x v="1"/>
    <x v="1"/>
    <x v="38"/>
    <x v="1"/>
    <x v="0"/>
    <x v="2"/>
    <n v="4"/>
    <x v="1"/>
  </r>
  <r>
    <x v="5"/>
    <x v="0"/>
    <x v="3"/>
    <x v="2"/>
    <x v="97"/>
    <x v="1"/>
    <x v="0"/>
    <x v="67"/>
    <x v="0"/>
    <x v="1"/>
    <x v="2"/>
    <n v="3"/>
    <x v="1"/>
  </r>
  <r>
    <x v="34"/>
    <x v="0"/>
    <x v="1"/>
    <x v="2"/>
    <x v="43"/>
    <x v="1"/>
    <x v="1"/>
    <x v="58"/>
    <x v="1"/>
    <x v="1"/>
    <x v="2"/>
    <n v="1"/>
    <x v="1"/>
  </r>
  <r>
    <x v="27"/>
    <x v="0"/>
    <x v="2"/>
    <x v="14"/>
    <x v="64"/>
    <x v="0"/>
    <x v="0"/>
    <x v="68"/>
    <x v="0"/>
    <x v="1"/>
    <x v="1"/>
    <n v="0"/>
    <x v="0"/>
  </r>
  <r>
    <x v="21"/>
    <x v="0"/>
    <x v="3"/>
    <x v="4"/>
    <x v="98"/>
    <x v="1"/>
    <x v="1"/>
    <x v="69"/>
    <x v="1"/>
    <x v="2"/>
    <x v="1"/>
    <n v="0"/>
    <x v="0"/>
  </r>
  <r>
    <x v="21"/>
    <x v="0"/>
    <x v="0"/>
    <x v="17"/>
    <x v="91"/>
    <x v="1"/>
    <x v="0"/>
    <x v="57"/>
    <x v="0"/>
    <x v="1"/>
    <x v="2"/>
    <n v="1"/>
    <x v="1"/>
  </r>
  <r>
    <x v="9"/>
    <x v="0"/>
    <x v="3"/>
    <x v="16"/>
    <x v="99"/>
    <x v="0"/>
    <x v="1"/>
    <x v="70"/>
    <x v="0"/>
    <x v="2"/>
    <x v="1"/>
    <n v="0"/>
    <x v="0"/>
  </r>
  <r>
    <x v="13"/>
    <x v="0"/>
    <x v="2"/>
    <x v="14"/>
    <x v="83"/>
    <x v="1"/>
    <x v="1"/>
    <x v="39"/>
    <x v="1"/>
    <x v="1"/>
    <x v="2"/>
    <n v="1"/>
    <x v="1"/>
  </r>
  <r>
    <x v="14"/>
    <x v="0"/>
    <x v="2"/>
    <x v="12"/>
    <x v="100"/>
    <x v="1"/>
    <x v="0"/>
    <x v="63"/>
    <x v="1"/>
    <x v="1"/>
    <x v="2"/>
    <n v="0"/>
    <x v="0"/>
  </r>
  <r>
    <x v="32"/>
    <x v="0"/>
    <x v="2"/>
    <x v="22"/>
    <x v="35"/>
    <x v="1"/>
    <x v="1"/>
    <x v="34"/>
    <x v="0"/>
    <x v="2"/>
    <x v="1"/>
    <n v="1"/>
    <x v="1"/>
  </r>
  <r>
    <x v="6"/>
    <x v="0"/>
    <x v="1"/>
    <x v="30"/>
    <x v="101"/>
    <x v="0"/>
    <x v="0"/>
    <x v="71"/>
    <x v="0"/>
    <x v="1"/>
    <x v="2"/>
    <n v="4"/>
    <x v="1"/>
  </r>
  <r>
    <x v="3"/>
    <x v="0"/>
    <x v="2"/>
    <x v="11"/>
    <x v="3"/>
    <x v="1"/>
    <x v="1"/>
    <x v="25"/>
    <x v="0"/>
    <x v="2"/>
    <x v="1"/>
    <n v="0"/>
    <x v="0"/>
  </r>
  <r>
    <x v="29"/>
    <x v="0"/>
    <x v="3"/>
    <x v="16"/>
    <x v="63"/>
    <x v="1"/>
    <x v="0"/>
    <x v="40"/>
    <x v="0"/>
    <x v="2"/>
    <x v="1"/>
    <n v="0"/>
    <x v="0"/>
  </r>
  <r>
    <x v="15"/>
    <x v="1"/>
    <x v="2"/>
    <x v="31"/>
    <x v="102"/>
    <x v="1"/>
    <x v="1"/>
    <x v="6"/>
    <x v="0"/>
    <x v="2"/>
    <x v="1"/>
    <n v="0"/>
    <x v="0"/>
  </r>
  <r>
    <x v="9"/>
    <x v="0"/>
    <x v="0"/>
    <x v="32"/>
    <x v="103"/>
    <x v="0"/>
    <x v="1"/>
    <x v="5"/>
    <x v="0"/>
    <x v="1"/>
    <x v="2"/>
    <n v="0"/>
    <x v="0"/>
  </r>
  <r>
    <x v="22"/>
    <x v="1"/>
    <x v="1"/>
    <x v="31"/>
    <x v="82"/>
    <x v="1"/>
    <x v="0"/>
    <x v="72"/>
    <x v="0"/>
    <x v="1"/>
    <x v="1"/>
    <n v="0"/>
    <x v="0"/>
  </r>
  <r>
    <x v="1"/>
    <x v="1"/>
    <x v="2"/>
    <x v="25"/>
    <x v="104"/>
    <x v="1"/>
    <x v="0"/>
    <x v="6"/>
    <x v="0"/>
    <x v="1"/>
    <x v="2"/>
    <n v="0"/>
    <x v="0"/>
  </r>
  <r>
    <x v="23"/>
    <x v="0"/>
    <x v="1"/>
    <x v="1"/>
    <x v="101"/>
    <x v="1"/>
    <x v="0"/>
    <x v="52"/>
    <x v="1"/>
    <x v="1"/>
    <x v="2"/>
    <n v="4"/>
    <x v="1"/>
  </r>
  <r>
    <x v="13"/>
    <x v="0"/>
    <x v="1"/>
    <x v="2"/>
    <x v="105"/>
    <x v="1"/>
    <x v="0"/>
    <x v="73"/>
    <x v="1"/>
    <x v="0"/>
    <x v="1"/>
    <n v="3"/>
    <x v="1"/>
  </r>
  <r>
    <x v="36"/>
    <x v="0"/>
    <x v="1"/>
    <x v="3"/>
    <x v="106"/>
    <x v="1"/>
    <x v="0"/>
    <x v="37"/>
    <x v="0"/>
    <x v="1"/>
    <x v="1"/>
    <n v="1"/>
    <x v="1"/>
  </r>
  <r>
    <x v="27"/>
    <x v="0"/>
    <x v="1"/>
    <x v="4"/>
    <x v="107"/>
    <x v="1"/>
    <x v="1"/>
    <x v="13"/>
    <x v="1"/>
    <x v="2"/>
    <x v="2"/>
    <n v="1"/>
    <x v="1"/>
  </r>
  <r>
    <x v="14"/>
    <x v="0"/>
    <x v="1"/>
    <x v="14"/>
    <x v="108"/>
    <x v="1"/>
    <x v="0"/>
    <x v="18"/>
    <x v="0"/>
    <x v="2"/>
    <x v="2"/>
    <n v="1"/>
    <x v="1"/>
  </r>
  <r>
    <x v="15"/>
    <x v="0"/>
    <x v="1"/>
    <x v="4"/>
    <x v="109"/>
    <x v="1"/>
    <x v="0"/>
    <x v="40"/>
    <x v="0"/>
    <x v="1"/>
    <x v="2"/>
    <n v="2"/>
    <x v="1"/>
  </r>
  <r>
    <x v="31"/>
    <x v="0"/>
    <x v="2"/>
    <x v="26"/>
    <x v="110"/>
    <x v="1"/>
    <x v="1"/>
    <x v="23"/>
    <x v="0"/>
    <x v="2"/>
    <x v="2"/>
    <n v="0"/>
    <x v="0"/>
  </r>
  <r>
    <x v="28"/>
    <x v="0"/>
    <x v="3"/>
    <x v="33"/>
    <x v="42"/>
    <x v="0"/>
    <x v="1"/>
    <x v="49"/>
    <x v="0"/>
    <x v="2"/>
    <x v="2"/>
    <n v="0"/>
    <x v="0"/>
  </r>
  <r>
    <x v="37"/>
    <x v="0"/>
    <x v="1"/>
    <x v="14"/>
    <x v="51"/>
    <x v="1"/>
    <x v="0"/>
    <x v="14"/>
    <x v="1"/>
    <x v="2"/>
    <x v="1"/>
    <n v="4"/>
    <x v="1"/>
  </r>
  <r>
    <x v="11"/>
    <x v="1"/>
    <x v="2"/>
    <x v="7"/>
    <x v="111"/>
    <x v="1"/>
    <x v="1"/>
    <x v="21"/>
    <x v="0"/>
    <x v="1"/>
    <x v="1"/>
    <n v="0"/>
    <x v="0"/>
  </r>
  <r>
    <x v="14"/>
    <x v="1"/>
    <x v="1"/>
    <x v="27"/>
    <x v="60"/>
    <x v="1"/>
    <x v="0"/>
    <x v="72"/>
    <x v="0"/>
    <x v="1"/>
    <x v="1"/>
    <n v="0"/>
    <x v="0"/>
  </r>
  <r>
    <x v="10"/>
    <x v="0"/>
    <x v="2"/>
    <x v="13"/>
    <x v="76"/>
    <x v="0"/>
    <x v="1"/>
    <x v="54"/>
    <x v="0"/>
    <x v="2"/>
    <x v="1"/>
    <n v="0"/>
    <x v="0"/>
  </r>
  <r>
    <x v="6"/>
    <x v="0"/>
    <x v="1"/>
    <x v="8"/>
    <x v="112"/>
    <x v="1"/>
    <x v="1"/>
    <x v="16"/>
    <x v="1"/>
    <x v="2"/>
    <x v="2"/>
    <n v="0"/>
    <x v="0"/>
  </r>
  <r>
    <x v="9"/>
    <x v="0"/>
    <x v="2"/>
    <x v="21"/>
    <x v="113"/>
    <x v="1"/>
    <x v="1"/>
    <x v="30"/>
    <x v="0"/>
    <x v="2"/>
    <x v="1"/>
    <n v="0"/>
    <x v="0"/>
  </r>
  <r>
    <x v="11"/>
    <x v="1"/>
    <x v="3"/>
    <x v="8"/>
    <x v="91"/>
    <x v="0"/>
    <x v="0"/>
    <x v="57"/>
    <x v="1"/>
    <x v="2"/>
    <x v="1"/>
    <n v="0"/>
    <x v="0"/>
  </r>
  <r>
    <x v="34"/>
    <x v="0"/>
    <x v="1"/>
    <x v="34"/>
    <x v="53"/>
    <x v="1"/>
    <x v="0"/>
    <x v="49"/>
    <x v="1"/>
    <x v="2"/>
    <x v="2"/>
    <n v="1"/>
    <x v="1"/>
  </r>
  <r>
    <x v="29"/>
    <x v="1"/>
    <x v="3"/>
    <x v="11"/>
    <x v="114"/>
    <x v="1"/>
    <x v="1"/>
    <x v="74"/>
    <x v="0"/>
    <x v="1"/>
    <x v="1"/>
    <n v="0"/>
    <x v="0"/>
  </r>
  <r>
    <x v="36"/>
    <x v="0"/>
    <x v="2"/>
    <x v="1"/>
    <x v="58"/>
    <x v="1"/>
    <x v="1"/>
    <x v="27"/>
    <x v="1"/>
    <x v="1"/>
    <x v="2"/>
    <n v="3"/>
    <x v="1"/>
  </r>
  <r>
    <x v="7"/>
    <x v="0"/>
    <x v="1"/>
    <x v="15"/>
    <x v="26"/>
    <x v="1"/>
    <x v="0"/>
    <x v="46"/>
    <x v="1"/>
    <x v="2"/>
    <x v="2"/>
    <n v="0"/>
    <x v="0"/>
  </r>
  <r>
    <x v="21"/>
    <x v="1"/>
    <x v="1"/>
    <x v="35"/>
    <x v="85"/>
    <x v="1"/>
    <x v="1"/>
    <x v="47"/>
    <x v="1"/>
    <x v="1"/>
    <x v="1"/>
    <n v="1"/>
    <x v="1"/>
  </r>
  <r>
    <x v="5"/>
    <x v="1"/>
    <x v="1"/>
    <x v="4"/>
    <x v="115"/>
    <x v="1"/>
    <x v="0"/>
    <x v="29"/>
    <x v="0"/>
    <x v="1"/>
    <x v="1"/>
    <n v="0"/>
    <x v="0"/>
  </r>
  <r>
    <x v="13"/>
    <x v="0"/>
    <x v="1"/>
    <x v="0"/>
    <x v="38"/>
    <x v="1"/>
    <x v="0"/>
    <x v="20"/>
    <x v="0"/>
    <x v="1"/>
    <x v="0"/>
    <n v="4"/>
    <x v="1"/>
  </r>
  <r>
    <x v="6"/>
    <x v="0"/>
    <x v="1"/>
    <x v="32"/>
    <x v="69"/>
    <x v="1"/>
    <x v="1"/>
    <x v="75"/>
    <x v="1"/>
    <x v="1"/>
    <x v="2"/>
    <n v="1"/>
    <x v="1"/>
  </r>
  <r>
    <x v="9"/>
    <x v="0"/>
    <x v="1"/>
    <x v="22"/>
    <x v="0"/>
    <x v="0"/>
    <x v="1"/>
    <x v="8"/>
    <x v="0"/>
    <x v="2"/>
    <x v="2"/>
    <n v="0"/>
    <x v="0"/>
  </r>
  <r>
    <x v="4"/>
    <x v="0"/>
    <x v="1"/>
    <x v="8"/>
    <x v="116"/>
    <x v="1"/>
    <x v="0"/>
    <x v="76"/>
    <x v="1"/>
    <x v="1"/>
    <x v="0"/>
    <n v="1"/>
    <x v="1"/>
  </r>
  <r>
    <x v="18"/>
    <x v="0"/>
    <x v="2"/>
    <x v="3"/>
    <x v="117"/>
    <x v="1"/>
    <x v="1"/>
    <x v="14"/>
    <x v="0"/>
    <x v="2"/>
    <x v="1"/>
    <n v="0"/>
    <x v="0"/>
  </r>
  <r>
    <x v="7"/>
    <x v="0"/>
    <x v="2"/>
    <x v="3"/>
    <x v="105"/>
    <x v="0"/>
    <x v="0"/>
    <x v="13"/>
    <x v="0"/>
    <x v="2"/>
    <x v="1"/>
    <n v="0"/>
    <x v="0"/>
  </r>
  <r>
    <x v="10"/>
    <x v="0"/>
    <x v="1"/>
    <x v="13"/>
    <x v="69"/>
    <x v="1"/>
    <x v="0"/>
    <x v="68"/>
    <x v="0"/>
    <x v="1"/>
    <x v="2"/>
    <n v="3"/>
    <x v="1"/>
  </r>
  <r>
    <x v="4"/>
    <x v="1"/>
    <x v="1"/>
    <x v="23"/>
    <x v="118"/>
    <x v="1"/>
    <x v="0"/>
    <x v="0"/>
    <x v="1"/>
    <x v="1"/>
    <x v="2"/>
    <n v="2"/>
    <x v="1"/>
  </r>
  <r>
    <x v="22"/>
    <x v="0"/>
    <x v="0"/>
    <x v="36"/>
    <x v="119"/>
    <x v="1"/>
    <x v="0"/>
    <x v="5"/>
    <x v="0"/>
    <x v="2"/>
    <x v="1"/>
    <n v="0"/>
    <x v="0"/>
  </r>
  <r>
    <x v="21"/>
    <x v="0"/>
    <x v="0"/>
    <x v="37"/>
    <x v="65"/>
    <x v="1"/>
    <x v="0"/>
    <x v="52"/>
    <x v="0"/>
    <x v="0"/>
    <x v="2"/>
    <n v="0"/>
    <x v="0"/>
  </r>
  <r>
    <x v="15"/>
    <x v="1"/>
    <x v="1"/>
    <x v="38"/>
    <x v="49"/>
    <x v="1"/>
    <x v="0"/>
    <x v="24"/>
    <x v="0"/>
    <x v="2"/>
    <x v="1"/>
    <n v="1"/>
    <x v="1"/>
  </r>
  <r>
    <x v="0"/>
    <x v="1"/>
    <x v="3"/>
    <x v="4"/>
    <x v="120"/>
    <x v="1"/>
    <x v="1"/>
    <x v="25"/>
    <x v="0"/>
    <x v="2"/>
    <x v="1"/>
    <n v="0"/>
    <x v="0"/>
  </r>
  <r>
    <x v="22"/>
    <x v="0"/>
    <x v="2"/>
    <x v="2"/>
    <x v="100"/>
    <x v="0"/>
    <x v="1"/>
    <x v="77"/>
    <x v="0"/>
    <x v="0"/>
    <x v="2"/>
    <n v="0"/>
    <x v="0"/>
  </r>
  <r>
    <x v="17"/>
    <x v="0"/>
    <x v="3"/>
    <x v="1"/>
    <x v="105"/>
    <x v="1"/>
    <x v="1"/>
    <x v="26"/>
    <x v="1"/>
    <x v="1"/>
    <x v="0"/>
    <n v="2"/>
    <x v="1"/>
  </r>
  <r>
    <x v="11"/>
    <x v="0"/>
    <x v="3"/>
    <x v="39"/>
    <x v="20"/>
    <x v="1"/>
    <x v="0"/>
    <x v="78"/>
    <x v="0"/>
    <x v="2"/>
    <x v="2"/>
    <n v="1"/>
    <x v="1"/>
  </r>
  <r>
    <x v="20"/>
    <x v="0"/>
    <x v="2"/>
    <x v="4"/>
    <x v="8"/>
    <x v="1"/>
    <x v="0"/>
    <x v="53"/>
    <x v="0"/>
    <x v="1"/>
    <x v="2"/>
    <n v="2"/>
    <x v="1"/>
  </r>
  <r>
    <x v="16"/>
    <x v="0"/>
    <x v="2"/>
    <x v="40"/>
    <x v="121"/>
    <x v="1"/>
    <x v="1"/>
    <x v="7"/>
    <x v="0"/>
    <x v="2"/>
    <x v="1"/>
    <n v="0"/>
    <x v="0"/>
  </r>
  <r>
    <x v="27"/>
    <x v="0"/>
    <x v="1"/>
    <x v="4"/>
    <x v="103"/>
    <x v="1"/>
    <x v="1"/>
    <x v="72"/>
    <x v="1"/>
    <x v="1"/>
    <x v="2"/>
    <n v="3"/>
    <x v="1"/>
  </r>
  <r>
    <x v="18"/>
    <x v="0"/>
    <x v="1"/>
    <x v="8"/>
    <x v="27"/>
    <x v="0"/>
    <x v="0"/>
    <x v="47"/>
    <x v="1"/>
    <x v="1"/>
    <x v="2"/>
    <n v="1"/>
    <x v="1"/>
  </r>
  <r>
    <x v="5"/>
    <x v="1"/>
    <x v="1"/>
    <x v="21"/>
    <x v="11"/>
    <x v="0"/>
    <x v="1"/>
    <x v="79"/>
    <x v="0"/>
    <x v="1"/>
    <x v="1"/>
    <n v="2"/>
    <x v="1"/>
  </r>
  <r>
    <x v="31"/>
    <x v="1"/>
    <x v="2"/>
    <x v="2"/>
    <x v="19"/>
    <x v="1"/>
    <x v="0"/>
    <x v="50"/>
    <x v="0"/>
    <x v="1"/>
    <x v="1"/>
    <n v="0"/>
    <x v="0"/>
  </r>
  <r>
    <x v="1"/>
    <x v="0"/>
    <x v="1"/>
    <x v="27"/>
    <x v="107"/>
    <x v="1"/>
    <x v="0"/>
    <x v="38"/>
    <x v="1"/>
    <x v="1"/>
    <x v="1"/>
    <n v="3"/>
    <x v="1"/>
  </r>
  <r>
    <x v="20"/>
    <x v="0"/>
    <x v="0"/>
    <x v="1"/>
    <x v="31"/>
    <x v="0"/>
    <x v="0"/>
    <x v="39"/>
    <x v="0"/>
    <x v="1"/>
    <x v="1"/>
    <n v="0"/>
    <x v="0"/>
  </r>
  <r>
    <x v="29"/>
    <x v="1"/>
    <x v="1"/>
    <x v="21"/>
    <x v="5"/>
    <x v="1"/>
    <x v="0"/>
    <x v="34"/>
    <x v="1"/>
    <x v="1"/>
    <x v="1"/>
    <n v="0"/>
    <x v="0"/>
  </r>
  <r>
    <x v="16"/>
    <x v="1"/>
    <x v="3"/>
    <x v="2"/>
    <x v="119"/>
    <x v="1"/>
    <x v="1"/>
    <x v="14"/>
    <x v="0"/>
    <x v="2"/>
    <x v="1"/>
    <n v="0"/>
    <x v="0"/>
  </r>
  <r>
    <x v="21"/>
    <x v="0"/>
    <x v="0"/>
    <x v="1"/>
    <x v="47"/>
    <x v="1"/>
    <x v="0"/>
    <x v="38"/>
    <x v="0"/>
    <x v="2"/>
    <x v="1"/>
    <n v="1"/>
    <x v="1"/>
  </r>
  <r>
    <x v="16"/>
    <x v="1"/>
    <x v="1"/>
    <x v="7"/>
    <x v="8"/>
    <x v="1"/>
    <x v="0"/>
    <x v="57"/>
    <x v="0"/>
    <x v="2"/>
    <x v="1"/>
    <n v="0"/>
    <x v="0"/>
  </r>
  <r>
    <x v="13"/>
    <x v="1"/>
    <x v="1"/>
    <x v="20"/>
    <x v="70"/>
    <x v="1"/>
    <x v="1"/>
    <x v="63"/>
    <x v="1"/>
    <x v="2"/>
    <x v="1"/>
    <n v="0"/>
    <x v="0"/>
  </r>
  <r>
    <x v="6"/>
    <x v="0"/>
    <x v="2"/>
    <x v="6"/>
    <x v="122"/>
    <x v="0"/>
    <x v="1"/>
    <x v="13"/>
    <x v="0"/>
    <x v="2"/>
    <x v="2"/>
    <n v="0"/>
    <x v="0"/>
  </r>
  <r>
    <x v="13"/>
    <x v="1"/>
    <x v="2"/>
    <x v="4"/>
    <x v="123"/>
    <x v="1"/>
    <x v="1"/>
    <x v="64"/>
    <x v="0"/>
    <x v="2"/>
    <x v="2"/>
    <n v="0"/>
    <x v="0"/>
  </r>
  <r>
    <x v="18"/>
    <x v="0"/>
    <x v="1"/>
    <x v="7"/>
    <x v="19"/>
    <x v="1"/>
    <x v="1"/>
    <x v="24"/>
    <x v="0"/>
    <x v="2"/>
    <x v="2"/>
    <n v="0"/>
    <x v="0"/>
  </r>
  <r>
    <x v="29"/>
    <x v="0"/>
    <x v="1"/>
    <x v="15"/>
    <x v="83"/>
    <x v="1"/>
    <x v="0"/>
    <x v="8"/>
    <x v="1"/>
    <x v="1"/>
    <x v="2"/>
    <n v="3"/>
    <x v="1"/>
  </r>
  <r>
    <x v="14"/>
    <x v="0"/>
    <x v="1"/>
    <x v="16"/>
    <x v="124"/>
    <x v="1"/>
    <x v="0"/>
    <x v="58"/>
    <x v="1"/>
    <x v="1"/>
    <x v="2"/>
    <n v="3"/>
    <x v="1"/>
  </r>
  <r>
    <x v="16"/>
    <x v="0"/>
    <x v="1"/>
    <x v="41"/>
    <x v="125"/>
    <x v="1"/>
    <x v="0"/>
    <x v="65"/>
    <x v="1"/>
    <x v="1"/>
    <x v="2"/>
    <n v="3"/>
    <x v="1"/>
  </r>
  <r>
    <x v="23"/>
    <x v="0"/>
    <x v="3"/>
    <x v="3"/>
    <x v="126"/>
    <x v="1"/>
    <x v="1"/>
    <x v="9"/>
    <x v="0"/>
    <x v="2"/>
    <x v="1"/>
    <n v="0"/>
    <x v="0"/>
  </r>
  <r>
    <x v="5"/>
    <x v="1"/>
    <x v="1"/>
    <x v="6"/>
    <x v="119"/>
    <x v="1"/>
    <x v="1"/>
    <x v="63"/>
    <x v="1"/>
    <x v="1"/>
    <x v="1"/>
    <n v="1"/>
    <x v="1"/>
  </r>
  <r>
    <x v="2"/>
    <x v="1"/>
    <x v="2"/>
    <x v="2"/>
    <x v="127"/>
    <x v="1"/>
    <x v="1"/>
    <x v="40"/>
    <x v="0"/>
    <x v="2"/>
    <x v="1"/>
    <n v="0"/>
    <x v="0"/>
  </r>
  <r>
    <x v="38"/>
    <x v="0"/>
    <x v="0"/>
    <x v="2"/>
    <x v="57"/>
    <x v="1"/>
    <x v="1"/>
    <x v="48"/>
    <x v="1"/>
    <x v="1"/>
    <x v="2"/>
    <n v="4"/>
    <x v="1"/>
  </r>
  <r>
    <x v="3"/>
    <x v="0"/>
    <x v="2"/>
    <x v="3"/>
    <x v="111"/>
    <x v="1"/>
    <x v="0"/>
    <x v="16"/>
    <x v="0"/>
    <x v="1"/>
    <x v="1"/>
    <n v="0"/>
    <x v="0"/>
  </r>
  <r>
    <x v="17"/>
    <x v="1"/>
    <x v="1"/>
    <x v="37"/>
    <x v="128"/>
    <x v="0"/>
    <x v="1"/>
    <x v="31"/>
    <x v="1"/>
    <x v="1"/>
    <x v="2"/>
    <n v="3"/>
    <x v="1"/>
  </r>
  <r>
    <x v="9"/>
    <x v="0"/>
    <x v="1"/>
    <x v="11"/>
    <x v="29"/>
    <x v="1"/>
    <x v="1"/>
    <x v="6"/>
    <x v="0"/>
    <x v="2"/>
    <x v="1"/>
    <n v="1"/>
    <x v="1"/>
  </r>
  <r>
    <x v="4"/>
    <x v="0"/>
    <x v="0"/>
    <x v="2"/>
    <x v="129"/>
    <x v="1"/>
    <x v="0"/>
    <x v="14"/>
    <x v="0"/>
    <x v="1"/>
    <x v="2"/>
    <n v="0"/>
    <x v="0"/>
  </r>
  <r>
    <x v="28"/>
    <x v="1"/>
    <x v="3"/>
    <x v="12"/>
    <x v="4"/>
    <x v="1"/>
    <x v="1"/>
    <x v="4"/>
    <x v="0"/>
    <x v="2"/>
    <x v="1"/>
    <n v="0"/>
    <x v="0"/>
  </r>
  <r>
    <x v="28"/>
    <x v="1"/>
    <x v="1"/>
    <x v="21"/>
    <x v="35"/>
    <x v="1"/>
    <x v="0"/>
    <x v="34"/>
    <x v="1"/>
    <x v="1"/>
    <x v="1"/>
    <n v="0"/>
    <x v="0"/>
  </r>
  <r>
    <x v="13"/>
    <x v="1"/>
    <x v="1"/>
    <x v="3"/>
    <x v="81"/>
    <x v="1"/>
    <x v="1"/>
    <x v="72"/>
    <x v="0"/>
    <x v="1"/>
    <x v="1"/>
    <n v="0"/>
    <x v="0"/>
  </r>
  <r>
    <x v="21"/>
    <x v="0"/>
    <x v="1"/>
    <x v="21"/>
    <x v="130"/>
    <x v="1"/>
    <x v="0"/>
    <x v="48"/>
    <x v="0"/>
    <x v="2"/>
    <x v="1"/>
    <n v="0"/>
    <x v="0"/>
  </r>
  <r>
    <x v="3"/>
    <x v="1"/>
    <x v="2"/>
    <x v="11"/>
    <x v="6"/>
    <x v="1"/>
    <x v="0"/>
    <x v="4"/>
    <x v="1"/>
    <x v="2"/>
    <x v="1"/>
    <n v="0"/>
    <x v="0"/>
  </r>
  <r>
    <x v="11"/>
    <x v="1"/>
    <x v="2"/>
    <x v="22"/>
    <x v="59"/>
    <x v="1"/>
    <x v="0"/>
    <x v="80"/>
    <x v="0"/>
    <x v="2"/>
    <x v="1"/>
    <n v="0"/>
    <x v="0"/>
  </r>
  <r>
    <x v="30"/>
    <x v="1"/>
    <x v="2"/>
    <x v="29"/>
    <x v="14"/>
    <x v="1"/>
    <x v="1"/>
    <x v="25"/>
    <x v="0"/>
    <x v="2"/>
    <x v="1"/>
    <n v="0"/>
    <x v="0"/>
  </r>
  <r>
    <x v="7"/>
    <x v="0"/>
    <x v="1"/>
    <x v="42"/>
    <x v="53"/>
    <x v="1"/>
    <x v="1"/>
    <x v="81"/>
    <x v="1"/>
    <x v="1"/>
    <x v="2"/>
    <n v="3"/>
    <x v="1"/>
  </r>
  <r>
    <x v="0"/>
    <x v="1"/>
    <x v="1"/>
    <x v="22"/>
    <x v="58"/>
    <x v="1"/>
    <x v="1"/>
    <x v="30"/>
    <x v="1"/>
    <x v="1"/>
    <x v="1"/>
    <n v="1"/>
    <x v="1"/>
  </r>
  <r>
    <x v="33"/>
    <x v="1"/>
    <x v="3"/>
    <x v="26"/>
    <x v="131"/>
    <x v="1"/>
    <x v="1"/>
    <x v="82"/>
    <x v="0"/>
    <x v="2"/>
    <x v="1"/>
    <n v="0"/>
    <x v="0"/>
  </r>
  <r>
    <x v="32"/>
    <x v="0"/>
    <x v="1"/>
    <x v="11"/>
    <x v="4"/>
    <x v="1"/>
    <x v="1"/>
    <x v="47"/>
    <x v="0"/>
    <x v="2"/>
    <x v="1"/>
    <n v="0"/>
    <x v="0"/>
  </r>
  <r>
    <x v="1"/>
    <x v="1"/>
    <x v="2"/>
    <x v="32"/>
    <x v="110"/>
    <x v="1"/>
    <x v="1"/>
    <x v="4"/>
    <x v="0"/>
    <x v="2"/>
    <x v="1"/>
    <n v="0"/>
    <x v="0"/>
  </r>
  <r>
    <x v="11"/>
    <x v="0"/>
    <x v="1"/>
    <x v="7"/>
    <x v="23"/>
    <x v="1"/>
    <x v="0"/>
    <x v="1"/>
    <x v="1"/>
    <x v="1"/>
    <x v="1"/>
    <n v="3"/>
    <x v="1"/>
  </r>
  <r>
    <x v="17"/>
    <x v="0"/>
    <x v="1"/>
    <x v="11"/>
    <x v="38"/>
    <x v="1"/>
    <x v="0"/>
    <x v="20"/>
    <x v="1"/>
    <x v="2"/>
    <x v="1"/>
    <n v="2"/>
    <x v="1"/>
  </r>
  <r>
    <x v="9"/>
    <x v="1"/>
    <x v="2"/>
    <x v="43"/>
    <x v="121"/>
    <x v="1"/>
    <x v="0"/>
    <x v="30"/>
    <x v="0"/>
    <x v="1"/>
    <x v="1"/>
    <n v="0"/>
    <x v="0"/>
  </r>
  <r>
    <x v="23"/>
    <x v="1"/>
    <x v="1"/>
    <x v="20"/>
    <x v="132"/>
    <x v="1"/>
    <x v="2"/>
    <x v="83"/>
    <x v="1"/>
    <x v="1"/>
    <x v="1"/>
    <n v="2"/>
    <x v="1"/>
  </r>
  <r>
    <x v="12"/>
    <x v="0"/>
    <x v="2"/>
    <x v="26"/>
    <x v="133"/>
    <x v="1"/>
    <x v="0"/>
    <x v="65"/>
    <x v="0"/>
    <x v="2"/>
    <x v="1"/>
    <n v="1"/>
    <x v="1"/>
  </r>
  <r>
    <x v="39"/>
    <x v="1"/>
    <x v="3"/>
    <x v="2"/>
    <x v="58"/>
    <x v="1"/>
    <x v="0"/>
    <x v="84"/>
    <x v="1"/>
    <x v="2"/>
    <x v="1"/>
    <n v="0"/>
    <x v="0"/>
  </r>
  <r>
    <x v="11"/>
    <x v="1"/>
    <x v="2"/>
    <x v="1"/>
    <x v="77"/>
    <x v="1"/>
    <x v="1"/>
    <x v="7"/>
    <x v="0"/>
    <x v="2"/>
    <x v="1"/>
    <n v="0"/>
    <x v="0"/>
  </r>
  <r>
    <x v="11"/>
    <x v="0"/>
    <x v="1"/>
    <x v="24"/>
    <x v="1"/>
    <x v="1"/>
    <x v="0"/>
    <x v="85"/>
    <x v="1"/>
    <x v="1"/>
    <x v="1"/>
    <n v="3"/>
    <x v="1"/>
  </r>
  <r>
    <x v="4"/>
    <x v="0"/>
    <x v="1"/>
    <x v="3"/>
    <x v="20"/>
    <x v="0"/>
    <x v="0"/>
    <x v="67"/>
    <x v="1"/>
    <x v="0"/>
    <x v="2"/>
    <n v="2"/>
    <x v="1"/>
  </r>
  <r>
    <x v="28"/>
    <x v="0"/>
    <x v="1"/>
    <x v="2"/>
    <x v="85"/>
    <x v="1"/>
    <x v="0"/>
    <x v="19"/>
    <x v="0"/>
    <x v="2"/>
    <x v="2"/>
    <n v="1"/>
    <x v="1"/>
  </r>
  <r>
    <x v="12"/>
    <x v="1"/>
    <x v="3"/>
    <x v="23"/>
    <x v="130"/>
    <x v="1"/>
    <x v="1"/>
    <x v="14"/>
    <x v="0"/>
    <x v="1"/>
    <x v="1"/>
    <n v="0"/>
    <x v="0"/>
  </r>
  <r>
    <x v="22"/>
    <x v="0"/>
    <x v="3"/>
    <x v="2"/>
    <x v="134"/>
    <x v="1"/>
    <x v="1"/>
    <x v="14"/>
    <x v="0"/>
    <x v="2"/>
    <x v="1"/>
    <n v="0"/>
    <x v="0"/>
  </r>
  <r>
    <x v="3"/>
    <x v="0"/>
    <x v="3"/>
    <x v="7"/>
    <x v="71"/>
    <x v="1"/>
    <x v="1"/>
    <x v="11"/>
    <x v="0"/>
    <x v="2"/>
    <x v="1"/>
    <n v="0"/>
    <x v="0"/>
  </r>
  <r>
    <x v="3"/>
    <x v="1"/>
    <x v="3"/>
    <x v="34"/>
    <x v="135"/>
    <x v="1"/>
    <x v="1"/>
    <x v="7"/>
    <x v="0"/>
    <x v="2"/>
    <x v="1"/>
    <n v="0"/>
    <x v="0"/>
  </r>
  <r>
    <x v="12"/>
    <x v="1"/>
    <x v="1"/>
    <x v="3"/>
    <x v="58"/>
    <x v="1"/>
    <x v="1"/>
    <x v="7"/>
    <x v="0"/>
    <x v="2"/>
    <x v="1"/>
    <n v="0"/>
    <x v="0"/>
  </r>
  <r>
    <x v="24"/>
    <x v="0"/>
    <x v="0"/>
    <x v="23"/>
    <x v="31"/>
    <x v="1"/>
    <x v="1"/>
    <x v="52"/>
    <x v="0"/>
    <x v="1"/>
    <x v="1"/>
    <n v="2"/>
    <x v="1"/>
  </r>
  <r>
    <x v="15"/>
    <x v="1"/>
    <x v="2"/>
    <x v="2"/>
    <x v="136"/>
    <x v="0"/>
    <x v="1"/>
    <x v="73"/>
    <x v="0"/>
    <x v="2"/>
    <x v="1"/>
    <n v="0"/>
    <x v="0"/>
  </r>
  <r>
    <x v="1"/>
    <x v="0"/>
    <x v="1"/>
    <x v="2"/>
    <x v="137"/>
    <x v="1"/>
    <x v="1"/>
    <x v="86"/>
    <x v="0"/>
    <x v="1"/>
    <x v="1"/>
    <n v="2"/>
    <x v="1"/>
  </r>
  <r>
    <x v="14"/>
    <x v="0"/>
    <x v="1"/>
    <x v="27"/>
    <x v="31"/>
    <x v="1"/>
    <x v="1"/>
    <x v="49"/>
    <x v="0"/>
    <x v="2"/>
    <x v="2"/>
    <n v="2"/>
    <x v="1"/>
  </r>
  <r>
    <x v="32"/>
    <x v="0"/>
    <x v="1"/>
    <x v="7"/>
    <x v="17"/>
    <x v="1"/>
    <x v="0"/>
    <x v="87"/>
    <x v="1"/>
    <x v="1"/>
    <x v="1"/>
    <n v="1"/>
    <x v="1"/>
  </r>
  <r>
    <x v="9"/>
    <x v="0"/>
    <x v="1"/>
    <x v="14"/>
    <x v="38"/>
    <x v="1"/>
    <x v="1"/>
    <x v="16"/>
    <x v="0"/>
    <x v="2"/>
    <x v="2"/>
    <n v="3"/>
    <x v="1"/>
  </r>
  <r>
    <x v="5"/>
    <x v="0"/>
    <x v="3"/>
    <x v="16"/>
    <x v="66"/>
    <x v="0"/>
    <x v="0"/>
    <x v="35"/>
    <x v="0"/>
    <x v="2"/>
    <x v="1"/>
    <n v="0"/>
    <x v="0"/>
  </r>
  <r>
    <x v="6"/>
    <x v="0"/>
    <x v="1"/>
    <x v="7"/>
    <x v="77"/>
    <x v="1"/>
    <x v="1"/>
    <x v="65"/>
    <x v="1"/>
    <x v="1"/>
    <x v="0"/>
    <n v="0"/>
    <x v="0"/>
  </r>
  <r>
    <x v="14"/>
    <x v="0"/>
    <x v="1"/>
    <x v="44"/>
    <x v="138"/>
    <x v="1"/>
    <x v="1"/>
    <x v="76"/>
    <x v="0"/>
    <x v="1"/>
    <x v="2"/>
    <n v="1"/>
    <x v="1"/>
  </r>
  <r>
    <x v="13"/>
    <x v="0"/>
    <x v="1"/>
    <x v="16"/>
    <x v="13"/>
    <x v="1"/>
    <x v="1"/>
    <x v="76"/>
    <x v="1"/>
    <x v="1"/>
    <x v="2"/>
    <n v="0"/>
    <x v="0"/>
  </r>
  <r>
    <x v="27"/>
    <x v="1"/>
    <x v="2"/>
    <x v="2"/>
    <x v="134"/>
    <x v="1"/>
    <x v="0"/>
    <x v="29"/>
    <x v="0"/>
    <x v="2"/>
    <x v="1"/>
    <n v="0"/>
    <x v="0"/>
  </r>
  <r>
    <x v="18"/>
    <x v="0"/>
    <x v="1"/>
    <x v="25"/>
    <x v="81"/>
    <x v="1"/>
    <x v="1"/>
    <x v="88"/>
    <x v="0"/>
    <x v="1"/>
    <x v="1"/>
    <n v="0"/>
    <x v="0"/>
  </r>
  <r>
    <x v="22"/>
    <x v="1"/>
    <x v="2"/>
    <x v="2"/>
    <x v="93"/>
    <x v="1"/>
    <x v="1"/>
    <x v="13"/>
    <x v="0"/>
    <x v="1"/>
    <x v="1"/>
    <n v="0"/>
    <x v="0"/>
  </r>
  <r>
    <x v="1"/>
    <x v="1"/>
    <x v="1"/>
    <x v="45"/>
    <x v="113"/>
    <x v="1"/>
    <x v="1"/>
    <x v="12"/>
    <x v="0"/>
    <x v="2"/>
    <x v="1"/>
    <n v="0"/>
    <x v="0"/>
  </r>
  <r>
    <x v="40"/>
    <x v="1"/>
    <x v="2"/>
    <x v="4"/>
    <x v="42"/>
    <x v="1"/>
    <x v="2"/>
    <x v="85"/>
    <x v="0"/>
    <x v="1"/>
    <x v="1"/>
    <n v="0"/>
    <x v="0"/>
  </r>
  <r>
    <x v="36"/>
    <x v="0"/>
    <x v="3"/>
    <x v="46"/>
    <x v="64"/>
    <x v="1"/>
    <x v="0"/>
    <x v="47"/>
    <x v="0"/>
    <x v="2"/>
    <x v="1"/>
    <n v="0"/>
    <x v="0"/>
  </r>
  <r>
    <x v="6"/>
    <x v="0"/>
    <x v="3"/>
    <x v="13"/>
    <x v="95"/>
    <x v="1"/>
    <x v="1"/>
    <x v="44"/>
    <x v="0"/>
    <x v="2"/>
    <x v="2"/>
    <n v="1"/>
    <x v="1"/>
  </r>
  <r>
    <x v="8"/>
    <x v="1"/>
    <x v="2"/>
    <x v="26"/>
    <x v="139"/>
    <x v="1"/>
    <x v="1"/>
    <x v="51"/>
    <x v="0"/>
    <x v="1"/>
    <x v="1"/>
    <n v="0"/>
    <x v="0"/>
  </r>
  <r>
    <x v="14"/>
    <x v="1"/>
    <x v="3"/>
    <x v="43"/>
    <x v="140"/>
    <x v="0"/>
    <x v="0"/>
    <x v="34"/>
    <x v="0"/>
    <x v="2"/>
    <x v="1"/>
    <n v="3"/>
    <x v="1"/>
  </r>
  <r>
    <x v="15"/>
    <x v="1"/>
    <x v="0"/>
    <x v="6"/>
    <x v="100"/>
    <x v="1"/>
    <x v="1"/>
    <x v="18"/>
    <x v="0"/>
    <x v="2"/>
    <x v="1"/>
    <n v="0"/>
    <x v="0"/>
  </r>
  <r>
    <x v="8"/>
    <x v="0"/>
    <x v="2"/>
    <x v="2"/>
    <x v="26"/>
    <x v="1"/>
    <x v="1"/>
    <x v="30"/>
    <x v="0"/>
    <x v="2"/>
    <x v="1"/>
    <n v="0"/>
    <x v="0"/>
  </r>
  <r>
    <x v="24"/>
    <x v="0"/>
    <x v="1"/>
    <x v="21"/>
    <x v="141"/>
    <x v="1"/>
    <x v="0"/>
    <x v="38"/>
    <x v="1"/>
    <x v="1"/>
    <x v="1"/>
    <n v="4"/>
    <x v="1"/>
  </r>
  <r>
    <x v="22"/>
    <x v="0"/>
    <x v="1"/>
    <x v="43"/>
    <x v="117"/>
    <x v="1"/>
    <x v="1"/>
    <x v="38"/>
    <x v="1"/>
    <x v="1"/>
    <x v="0"/>
    <n v="2"/>
    <x v="1"/>
  </r>
  <r>
    <x v="9"/>
    <x v="0"/>
    <x v="1"/>
    <x v="16"/>
    <x v="4"/>
    <x v="0"/>
    <x v="1"/>
    <x v="49"/>
    <x v="1"/>
    <x v="1"/>
    <x v="3"/>
    <n v="2"/>
    <x v="1"/>
  </r>
  <r>
    <x v="21"/>
    <x v="0"/>
    <x v="2"/>
    <x v="34"/>
    <x v="138"/>
    <x v="0"/>
    <x v="1"/>
    <x v="89"/>
    <x v="0"/>
    <x v="1"/>
    <x v="0"/>
    <n v="2"/>
    <x v="1"/>
  </r>
  <r>
    <x v="19"/>
    <x v="0"/>
    <x v="1"/>
    <x v="32"/>
    <x v="113"/>
    <x v="1"/>
    <x v="1"/>
    <x v="88"/>
    <x v="0"/>
    <x v="2"/>
    <x v="2"/>
    <n v="1"/>
    <x v="1"/>
  </r>
  <r>
    <x v="22"/>
    <x v="0"/>
    <x v="2"/>
    <x v="3"/>
    <x v="142"/>
    <x v="1"/>
    <x v="1"/>
    <x v="0"/>
    <x v="0"/>
    <x v="2"/>
    <x v="1"/>
    <n v="0"/>
    <x v="0"/>
  </r>
  <r>
    <x v="24"/>
    <x v="0"/>
    <x v="1"/>
    <x v="4"/>
    <x v="112"/>
    <x v="1"/>
    <x v="0"/>
    <x v="74"/>
    <x v="1"/>
    <x v="2"/>
    <x v="2"/>
    <n v="1"/>
    <x v="1"/>
  </r>
  <r>
    <x v="17"/>
    <x v="0"/>
    <x v="1"/>
    <x v="1"/>
    <x v="128"/>
    <x v="1"/>
    <x v="0"/>
    <x v="74"/>
    <x v="0"/>
    <x v="2"/>
    <x v="0"/>
    <n v="0"/>
    <x v="0"/>
  </r>
  <r>
    <x v="28"/>
    <x v="0"/>
    <x v="1"/>
    <x v="4"/>
    <x v="143"/>
    <x v="1"/>
    <x v="1"/>
    <x v="26"/>
    <x v="1"/>
    <x v="1"/>
    <x v="2"/>
    <n v="2"/>
    <x v="1"/>
  </r>
  <r>
    <x v="26"/>
    <x v="1"/>
    <x v="1"/>
    <x v="11"/>
    <x v="133"/>
    <x v="1"/>
    <x v="1"/>
    <x v="38"/>
    <x v="0"/>
    <x v="1"/>
    <x v="1"/>
    <n v="0"/>
    <x v="0"/>
  </r>
  <r>
    <x v="21"/>
    <x v="0"/>
    <x v="0"/>
    <x v="23"/>
    <x v="4"/>
    <x v="1"/>
    <x v="1"/>
    <x v="14"/>
    <x v="0"/>
    <x v="2"/>
    <x v="1"/>
    <n v="1"/>
    <x v="1"/>
  </r>
  <r>
    <x v="13"/>
    <x v="0"/>
    <x v="0"/>
    <x v="17"/>
    <x v="94"/>
    <x v="1"/>
    <x v="0"/>
    <x v="9"/>
    <x v="0"/>
    <x v="1"/>
    <x v="2"/>
    <n v="0"/>
    <x v="0"/>
  </r>
  <r>
    <x v="17"/>
    <x v="1"/>
    <x v="2"/>
    <x v="44"/>
    <x v="144"/>
    <x v="1"/>
    <x v="0"/>
    <x v="34"/>
    <x v="0"/>
    <x v="1"/>
    <x v="1"/>
    <n v="0"/>
    <x v="0"/>
  </r>
  <r>
    <x v="30"/>
    <x v="1"/>
    <x v="2"/>
    <x v="21"/>
    <x v="92"/>
    <x v="1"/>
    <x v="1"/>
    <x v="34"/>
    <x v="0"/>
    <x v="1"/>
    <x v="1"/>
    <n v="0"/>
    <x v="0"/>
  </r>
  <r>
    <x v="6"/>
    <x v="0"/>
    <x v="3"/>
    <x v="47"/>
    <x v="55"/>
    <x v="1"/>
    <x v="0"/>
    <x v="69"/>
    <x v="0"/>
    <x v="2"/>
    <x v="1"/>
    <n v="1"/>
    <x v="1"/>
  </r>
  <r>
    <x v="14"/>
    <x v="1"/>
    <x v="1"/>
    <x v="3"/>
    <x v="42"/>
    <x v="1"/>
    <x v="1"/>
    <x v="39"/>
    <x v="0"/>
    <x v="1"/>
    <x v="1"/>
    <n v="0"/>
    <x v="0"/>
  </r>
  <r>
    <x v="6"/>
    <x v="0"/>
    <x v="1"/>
    <x v="7"/>
    <x v="30"/>
    <x v="1"/>
    <x v="1"/>
    <x v="47"/>
    <x v="1"/>
    <x v="1"/>
    <x v="2"/>
    <n v="2"/>
    <x v="1"/>
  </r>
  <r>
    <x v="32"/>
    <x v="0"/>
    <x v="2"/>
    <x v="3"/>
    <x v="45"/>
    <x v="1"/>
    <x v="1"/>
    <x v="25"/>
    <x v="0"/>
    <x v="2"/>
    <x v="1"/>
    <n v="0"/>
    <x v="0"/>
  </r>
  <r>
    <x v="23"/>
    <x v="1"/>
    <x v="1"/>
    <x v="16"/>
    <x v="99"/>
    <x v="1"/>
    <x v="2"/>
    <x v="58"/>
    <x v="1"/>
    <x v="1"/>
    <x v="2"/>
    <n v="3"/>
    <x v="1"/>
  </r>
  <r>
    <x v="34"/>
    <x v="0"/>
    <x v="3"/>
    <x v="24"/>
    <x v="10"/>
    <x v="1"/>
    <x v="1"/>
    <x v="15"/>
    <x v="0"/>
    <x v="2"/>
    <x v="1"/>
    <n v="0"/>
    <x v="0"/>
  </r>
  <r>
    <x v="24"/>
    <x v="0"/>
    <x v="1"/>
    <x v="36"/>
    <x v="9"/>
    <x v="1"/>
    <x v="1"/>
    <x v="24"/>
    <x v="0"/>
    <x v="2"/>
    <x v="2"/>
    <n v="2"/>
    <x v="1"/>
  </r>
  <r>
    <x v="14"/>
    <x v="0"/>
    <x v="1"/>
    <x v="48"/>
    <x v="102"/>
    <x v="1"/>
    <x v="2"/>
    <x v="35"/>
    <x v="0"/>
    <x v="0"/>
    <x v="0"/>
    <n v="4"/>
    <x v="1"/>
  </r>
  <r>
    <x v="14"/>
    <x v="1"/>
    <x v="1"/>
    <x v="17"/>
    <x v="36"/>
    <x v="0"/>
    <x v="0"/>
    <x v="53"/>
    <x v="1"/>
    <x v="1"/>
    <x v="0"/>
    <n v="2"/>
    <x v="1"/>
  </r>
  <r>
    <x v="14"/>
    <x v="0"/>
    <x v="3"/>
    <x v="14"/>
    <x v="92"/>
    <x v="1"/>
    <x v="1"/>
    <x v="19"/>
    <x v="0"/>
    <x v="1"/>
    <x v="2"/>
    <n v="0"/>
    <x v="0"/>
  </r>
  <r>
    <x v="4"/>
    <x v="0"/>
    <x v="3"/>
    <x v="3"/>
    <x v="98"/>
    <x v="1"/>
    <x v="0"/>
    <x v="7"/>
    <x v="0"/>
    <x v="2"/>
    <x v="2"/>
    <n v="0"/>
    <x v="0"/>
  </r>
  <r>
    <x v="4"/>
    <x v="0"/>
    <x v="3"/>
    <x v="2"/>
    <x v="100"/>
    <x v="1"/>
    <x v="1"/>
    <x v="30"/>
    <x v="0"/>
    <x v="0"/>
    <x v="1"/>
    <n v="0"/>
    <x v="0"/>
  </r>
  <r>
    <x v="1"/>
    <x v="0"/>
    <x v="2"/>
    <x v="32"/>
    <x v="38"/>
    <x v="1"/>
    <x v="0"/>
    <x v="0"/>
    <x v="0"/>
    <x v="1"/>
    <x v="2"/>
    <n v="1"/>
    <x v="1"/>
  </r>
  <r>
    <x v="23"/>
    <x v="1"/>
    <x v="3"/>
    <x v="8"/>
    <x v="145"/>
    <x v="1"/>
    <x v="1"/>
    <x v="68"/>
    <x v="0"/>
    <x v="2"/>
    <x v="1"/>
    <n v="0"/>
    <x v="0"/>
  </r>
  <r>
    <x v="8"/>
    <x v="0"/>
    <x v="1"/>
    <x v="2"/>
    <x v="146"/>
    <x v="1"/>
    <x v="1"/>
    <x v="19"/>
    <x v="1"/>
    <x v="0"/>
    <x v="0"/>
    <n v="2"/>
    <x v="1"/>
  </r>
  <r>
    <x v="0"/>
    <x v="0"/>
    <x v="1"/>
    <x v="4"/>
    <x v="147"/>
    <x v="1"/>
    <x v="0"/>
    <x v="19"/>
    <x v="1"/>
    <x v="2"/>
    <x v="2"/>
    <n v="2"/>
    <x v="1"/>
  </r>
  <r>
    <x v="0"/>
    <x v="1"/>
    <x v="1"/>
    <x v="13"/>
    <x v="42"/>
    <x v="1"/>
    <x v="1"/>
    <x v="60"/>
    <x v="1"/>
    <x v="1"/>
    <x v="1"/>
    <n v="1"/>
    <x v="1"/>
  </r>
  <r>
    <x v="3"/>
    <x v="0"/>
    <x v="3"/>
    <x v="2"/>
    <x v="148"/>
    <x v="1"/>
    <x v="1"/>
    <x v="48"/>
    <x v="0"/>
    <x v="2"/>
    <x v="1"/>
    <n v="0"/>
    <x v="0"/>
  </r>
  <r>
    <x v="21"/>
    <x v="0"/>
    <x v="1"/>
    <x v="49"/>
    <x v="149"/>
    <x v="0"/>
    <x v="0"/>
    <x v="90"/>
    <x v="0"/>
    <x v="1"/>
    <x v="0"/>
    <n v="3"/>
    <x v="1"/>
  </r>
  <r>
    <x v="6"/>
    <x v="1"/>
    <x v="1"/>
    <x v="4"/>
    <x v="150"/>
    <x v="1"/>
    <x v="1"/>
    <x v="32"/>
    <x v="1"/>
    <x v="1"/>
    <x v="2"/>
    <n v="1"/>
    <x v="1"/>
  </r>
  <r>
    <x v="29"/>
    <x v="0"/>
    <x v="0"/>
    <x v="7"/>
    <x v="67"/>
    <x v="1"/>
    <x v="1"/>
    <x v="20"/>
    <x v="0"/>
    <x v="1"/>
    <x v="2"/>
    <n v="1"/>
    <x v="1"/>
  </r>
  <r>
    <x v="31"/>
    <x v="0"/>
    <x v="1"/>
    <x v="41"/>
    <x v="129"/>
    <x v="0"/>
    <x v="1"/>
    <x v="44"/>
    <x v="0"/>
    <x v="1"/>
    <x v="2"/>
    <n v="2"/>
    <x v="1"/>
  </r>
  <r>
    <x v="6"/>
    <x v="0"/>
    <x v="1"/>
    <x v="3"/>
    <x v="151"/>
    <x v="1"/>
    <x v="1"/>
    <x v="50"/>
    <x v="1"/>
    <x v="1"/>
    <x v="2"/>
    <n v="3"/>
    <x v="1"/>
  </r>
  <r>
    <x v="6"/>
    <x v="1"/>
    <x v="3"/>
    <x v="3"/>
    <x v="5"/>
    <x v="1"/>
    <x v="0"/>
    <x v="15"/>
    <x v="0"/>
    <x v="1"/>
    <x v="1"/>
    <n v="1"/>
    <x v="1"/>
  </r>
  <r>
    <x v="38"/>
    <x v="0"/>
    <x v="2"/>
    <x v="21"/>
    <x v="40"/>
    <x v="1"/>
    <x v="1"/>
    <x v="13"/>
    <x v="0"/>
    <x v="2"/>
    <x v="1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8BB9F-3B2A-44F2-B02C-E534CD897878}" name="PivotTable6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rowHeaderCaption="Systolic Blood Pressure Group (mmHg)">
  <location ref="B117:F124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axis="axisRow" showAll="0">
      <items count="6">
        <item x="0"/>
        <item n="Normal (90-119)" x="1"/>
        <item n="Raised/Hypertension (120-149)" x="2"/>
        <item n="Hypertension (150-180)" x="3"/>
        <item n="Severe Hypertension (&gt;180)"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3" baseItem="1"/>
    <dataField name="% of Patients" fld="12" subtotal="count" showDataAs="percentOfRow" baseField="3" baseItem="1" numFmtId="10"/>
  </dataFields>
  <formats count="13"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12" type="button" dataOnly="0" labelOnly="1" outline="0" axis="axisCol" fieldPosition="0"/>
    </format>
    <format dxfId="147">
      <pivotArea field="-2" type="button" dataOnly="0" labelOnly="1" outline="0" axis="axisCol" fieldPosition="1"/>
    </format>
    <format dxfId="146">
      <pivotArea type="topRight" dataOnly="0" labelOnly="1" outline="0" fieldPosition="0"/>
    </format>
    <format dxfId="145">
      <pivotArea field="3" type="button" dataOnly="0" labelOnly="1" outline="0" axis="axisRow" fieldPosition="0"/>
    </format>
    <format dxfId="144">
      <pivotArea dataOnly="0" labelOnly="1" grandRow="1" outline="0" fieldPosition="0"/>
    </format>
    <format dxfId="143">
      <pivotArea dataOnly="0" labelOnly="1" fieldPosition="0">
        <references count="1">
          <reference field="12" count="0"/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1"/>
          </reference>
        </references>
      </pivotArea>
    </format>
    <format dxfId="136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format>
    <format dxfId="135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131F1-E906-4C6A-AD6E-190D35F5F660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3" rowHeaderCaption="Chest Pain Type">
  <location ref="B46:F53" firstHeaderRow="1" firstDataRow="3" firstDataCol="1"/>
  <pivotFields count="13">
    <pivotField showAll="0"/>
    <pivotField showAll="0"/>
    <pivotField axis="axisRow" showAll="0">
      <items count="5">
        <item n="Typical Angina" x="0"/>
        <item n="Atypical Angina" x="3"/>
        <item n="Non-anginal" x="2"/>
        <item n="Asymptomatic"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ame="filter by disease status" axis="axisCol" dataField="1" showAll="0">
      <items count="3">
        <item n="No Heart Disease" x="0"/>
        <item n="Heart Disease"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Patients" fld="12" subtotal="count" baseField="2" baseItem="2"/>
    <dataField name="%" fld="12" subtotal="count" showDataAs="percentOfRow" baseField="2" baseItem="2" numFmtId="10"/>
  </dataFields>
  <formats count="20">
    <format dxfId="170">
      <pivotArea collapsedLevelsAreSubtotals="1" fieldPosition="0">
        <references count="1">
          <reference field="2" count="0"/>
        </references>
      </pivotArea>
    </format>
    <format dxfId="169">
      <pivotArea dataOnly="0" labelOnly="1" fieldPosition="0">
        <references count="1">
          <reference field="2" count="0"/>
        </references>
      </pivotArea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type="origin" dataOnly="0" labelOnly="1" outline="0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12" type="button" dataOnly="0" labelOnly="1" outline="0" axis="axisCol" fieldPosition="0"/>
    </format>
    <format dxfId="160">
      <pivotArea field="-2" type="button" dataOnly="0" labelOnly="1" outline="0" axis="axisCol" fieldPosition="1"/>
    </format>
    <format dxfId="159">
      <pivotArea type="topRight" dataOnly="0" labelOnly="1" outline="0" fieldPosition="0"/>
    </format>
    <format dxfId="158">
      <pivotArea field="2" type="button" dataOnly="0" labelOnly="1" outline="0" axis="axisRow" fieldPosition="0"/>
    </format>
    <format dxfId="157">
      <pivotArea dataOnly="0" labelOnly="1" fieldPosition="0">
        <references count="1">
          <reference field="2" count="0"/>
        </references>
      </pivotArea>
    </format>
    <format dxfId="156">
      <pivotArea dataOnly="0" labelOnly="1" grandRow="1" outline="0" fieldPosition="0"/>
    </format>
    <format dxfId="155">
      <pivotArea dataOnly="0" labelOnly="1" fieldPosition="0">
        <references count="1">
          <reference field="12" count="0"/>
        </references>
      </pivotArea>
    </format>
    <format dxfId="154">
      <pivotArea field="1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3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0"/>
          </reference>
        </references>
      </pivotArea>
    </format>
    <format dxfId="152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1"/>
          </reference>
        </references>
      </pivotArea>
    </format>
    <format dxfId="57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B6BC9-4BD4-4802-BE6F-603365500909}" name="PivotTable2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3" rowHeaderCaption="Disease Status">
  <location ref="B13:D16" firstHeaderRow="0" firstDataRow="1" firstDataCol="1"/>
  <pivotFields count="13">
    <pivotField showAll="0"/>
    <pivotField showAll="0">
      <items count="3">
        <item n="No Heart Disease" x="1"/>
        <item n="Heart Disease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 Heart Diease" x="0"/>
        <item n="Heart Disease"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atients" fld="12" subtotal="count" baseField="1" baseItem="0"/>
    <dataField name="% of patients" fld="12" subtotal="count" showDataAs="percentOfTotal" baseField="12" baseItem="1" numFmtId="10"/>
  </dataFields>
  <formats count="12">
    <format dxfId="114">
      <pivotArea type="all" dataOnly="0" outline="0" fieldPosition="0"/>
    </format>
    <format dxfId="115">
      <pivotArea outline="0" collapsedLevelsAreSubtotals="1" fieldPosition="0"/>
    </format>
    <format dxfId="116">
      <pivotArea type="origin" dataOnly="0" labelOnly="1" outline="0" fieldPosition="0"/>
    </format>
    <format dxfId="117">
      <pivotArea field="12" type="button" dataOnly="0" labelOnly="1" outline="0" axis="axisRow" fieldPosition="0"/>
    </format>
    <format dxfId="118">
      <pivotArea field="-2" type="button" dataOnly="0" labelOnly="1" outline="0" axis="axisCol" fieldPosition="0"/>
    </format>
    <format dxfId="119">
      <pivotArea type="topRight" dataOnly="0" labelOnly="1" outline="0" fieldPosition="0"/>
    </format>
    <format dxfId="120">
      <pivotArea field="1" type="button" dataOnly="0" labelOnly="1" outline="0"/>
    </format>
    <format dxfId="121">
      <pivotArea dataOnly="0" labelOnly="1" grandRow="1" outline="0" fieldPosition="0"/>
    </format>
    <format dxfId="122">
      <pivotArea field="12" dataOnly="0" labelOnly="1" outline="0" axis="axisRow" fieldPosition="0">
        <references count="1">
          <reference field="4294967294" count="1" selected="0">
            <x v="0"/>
          </reference>
        </references>
      </pivotArea>
    </format>
    <format dxfId="123">
      <pivotArea outline="0" fieldPosition="0">
        <references count="1">
          <reference field="4294967294" count="1">
            <x v="0"/>
          </reference>
        </references>
      </pivotArea>
    </format>
    <format dxfId="124">
      <pivotArea outline="0" fieldPosition="0">
        <references count="1">
          <reference field="4294967294" count="1">
            <x v="1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11AAE-FF74-4B0A-A1FB-E20416BAC6D7}" name="PivotTable1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1" rowHeaderCaption="Patient Suffers From Exercise-induced Angina">
  <location ref="B81:F86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3">
        <item n="No" x="0"/>
        <item n="Yes" x="1"/>
        <item t="default"/>
      </items>
    </pivotField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8" baseItem="0"/>
    <dataField name="%" fld="12" subtotal="count" showDataAs="percentOfRow" baseField="8" baseItem="0" numFmtId="10"/>
  </dataFields>
  <formats count="11"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2" type="button" dataOnly="0" labelOnly="1" outline="0" axis="axisCol" fieldPosition="0"/>
    </format>
    <format dxfId="176">
      <pivotArea type="topRight" dataOnly="0" labelOnly="1" outline="0" fieldPosition="0"/>
    </format>
    <format dxfId="175">
      <pivotArea field="8" type="button" dataOnly="0" labelOnly="1" outline="0" axis="axisRow" fieldPosition="0"/>
    </format>
    <format dxfId="174">
      <pivotArea dataOnly="0" labelOnly="1" fieldPosition="0">
        <references count="1">
          <reference field="8" count="0"/>
        </references>
      </pivotArea>
    </format>
    <format dxfId="173">
      <pivotArea dataOnly="0" labelOnly="1" grandRow="1" outline="0" fieldPosition="0"/>
    </format>
    <format dxfId="172">
      <pivotArea dataOnly="0" labelOnly="1" fieldPosition="0">
        <references count="1">
          <reference field="12" count="0"/>
        </references>
      </pivotArea>
    </format>
    <format dxfId="171">
      <pivotArea dataOnly="0" labelOnly="1" grandCol="1" outline="0" fieldPosition="0"/>
    </format>
    <format dxfId="55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0F05D-04F4-4F79-A5BE-A53F983DE86F}" name="PivotTable14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rowHeaderCaption="Maximum Heart Rate Group (bpm)">
  <location ref="B142:F151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7" baseItem="2"/>
    <dataField name="% of Patients" fld="12" subtotal="count" showDataAs="percentOfRow" baseField="7" baseItem="2" numFmtId="10"/>
  </dataFields>
  <formats count="15"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12" type="button" dataOnly="0" labelOnly="1" outline="0" axis="axisCol" fieldPosition="0"/>
    </format>
    <format dxfId="189">
      <pivotArea field="-2" type="button" dataOnly="0" labelOnly="1" outline="0" axis="axisCol" fieldPosition="1"/>
    </format>
    <format dxfId="188">
      <pivotArea type="topRight" dataOnly="0" labelOnly="1" outline="0" fieldPosition="0"/>
    </format>
    <format dxfId="187">
      <pivotArea field="7" type="button" dataOnly="0" labelOnly="1" outline="0" axis="axisRow" fieldPosition="0"/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2" count="0"/>
        </references>
      </pivotArea>
    </format>
    <format dxfId="184">
      <pivotArea field="1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0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1"/>
          </reference>
        </references>
      </pivotArea>
    </format>
    <format dxfId="132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format>
    <format dxfId="131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D6614-91BD-4A8C-B1D7-99427DD7AA95}" name="PivotTable15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rowHeaderCaption="Sex">
  <location ref="B156:J161" firstHeaderRow="1" firstDataRow="3" firstDataCol="1" rowPageCount="1" colPageCount="1"/>
  <pivotFields count="13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n="Female" x="1"/>
        <item n="Male" x="0"/>
        <item t="default"/>
      </items>
    </pivotField>
    <pivotField axis="axisCol" dataField="1" showAll="0">
      <items count="5">
        <item n="Typical Angina" x="0"/>
        <item n="Atypical Angina" x="3"/>
        <item n="Non-anginal" x="2"/>
        <item n="Asymptomatic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Filter by Disease Status"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pageFields count="1">
    <pageField fld="12" hier="-1"/>
  </pageFields>
  <dataFields count="2">
    <dataField name="Patients" fld="2" subtotal="count" baseField="2" baseItem="0"/>
    <dataField name="% of Patients" fld="2" subtotal="count" showDataAs="percentOfRow" baseField="1" baseItem="0" numFmtId="10"/>
  </dataFields>
  <formats count="17"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2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1" type="button" dataOnly="0" labelOnly="1" outline="0" axis="axisRow" fieldPosition="0"/>
    </format>
    <format dxfId="200">
      <pivotArea dataOnly="0" labelOnly="1" fieldPosition="0">
        <references count="1">
          <reference field="1" count="0"/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1">
          <reference field="2" count="0"/>
        </references>
      </pivotArea>
    </format>
    <format dxfId="197">
      <pivotArea type="origin" dataOnly="0" labelOnly="1" outline="0" fieldPosition="0"/>
    </format>
    <format dxfId="196">
      <pivotArea type="origin" dataOnly="0" labelOnly="1" outline="0" fieldPosition="0"/>
    </format>
    <format dxfId="195">
      <pivotArea outline="0" fieldPosition="0">
        <references count="1">
          <reference field="4294967294" count="1">
            <x v="1"/>
          </reference>
        </references>
      </pivotArea>
    </format>
    <format dxfId="194">
      <pivotArea type="origin" dataOnly="0" labelOnly="1" outline="0" fieldPosition="0"/>
    </format>
    <format dxfId="130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2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12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format>
    <format dxfId="127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4A256-7FDA-42BE-873A-E9CEF176A971}" name="PivotTable1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rowHeaderCaption="Thallium Stress Test Result">
  <location ref="B104:F110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n="Normal" x="1"/>
        <item n="Fixed Defect" x="0"/>
        <item n="Reversible Defect" x="2"/>
        <item n="Missing" h="1" x="3"/>
        <item t="default"/>
      </items>
    </pivotField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10" baseItem="0"/>
    <dataField name="%" fld="12" subtotal="count" showDataAs="percentOfRow" baseField="10" baseItem="0" numFmtId="10"/>
  </dataFields>
  <formats count="15">
    <format dxfId="40">
      <pivotArea type="all" dataOnly="0" outline="0" fieldPosition="0"/>
    </format>
    <format dxfId="41">
      <pivotArea outline="0" collapsedLevelsAreSubtotals="1" fieldPosition="0"/>
    </format>
    <format dxfId="42">
      <pivotArea type="origin" dataOnly="0" labelOnly="1" outline="0" fieldPosition="0"/>
    </format>
    <format dxfId="43">
      <pivotArea field="12" type="button" dataOnly="0" labelOnly="1" outline="0" axis="axisCol" fieldPosition="0"/>
    </format>
    <format dxfId="44">
      <pivotArea field="-2" type="button" dataOnly="0" labelOnly="1" outline="0" axis="axisCol" fieldPosition="1"/>
    </format>
    <format dxfId="45">
      <pivotArea type="topRight" dataOnly="0" labelOnly="1" outline="0" fieldPosition="0"/>
    </format>
    <format dxfId="46">
      <pivotArea field="10" type="button" dataOnly="0" labelOnly="1" outline="0" axis="axisRow" fieldPosition="0"/>
    </format>
    <format dxfId="47">
      <pivotArea dataOnly="0" labelOnly="1" fieldPosition="0">
        <references count="1">
          <reference field="10" count="0"/>
        </references>
      </pivotArea>
    </format>
    <format dxfId="48">
      <pivotArea dataOnly="0" labelOnly="1" grandRow="1" outline="0" fieldPosition="0"/>
    </format>
    <format dxfId="49">
      <pivotArea dataOnly="0" labelOnly="1" fieldPosition="0">
        <references count="1">
          <reference field="12" count="0"/>
        </references>
      </pivotArea>
    </format>
    <format dxfId="50">
      <pivotArea field="1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1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1"/>
          </reference>
        </references>
      </pivotArea>
    </format>
    <format dxfId="53">
      <pivotArea dataOnly="0" labelOnly="1" grandRow="1" outline="0" fieldPosition="0"/>
    </format>
    <format dxfId="3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B8ADE-0A96-4711-800E-2D7B5D953195}" name="PivotTable1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rowHeaderCaption="Sex">
  <location ref="B165:D169" firstHeaderRow="1" firstDataRow="2" firstDataCol="1"/>
  <pivotFields count="13">
    <pivotField showAll="0"/>
    <pivotField axis="axisRow" showAll="0">
      <items count="3">
        <item n="Female" x="1"/>
        <item n="Male"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n="Doesn't suffer from EIA" x="0"/>
        <item n="Suffers Fom EIA"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2">
    <i>
      <x/>
    </i>
    <i>
      <x v="1"/>
    </i>
  </colItems>
  <dataFields count="1">
    <dataField name="% of Patients" fld="8" subtotal="count" showDataAs="percentOfRow" baseField="1" baseItem="0" numFmtId="166"/>
  </dataFields>
  <formats count="13">
    <format dxfId="218">
      <pivotArea type="all" dataOnly="0" outline="0" fieldPosition="0"/>
    </format>
    <format dxfId="217">
      <pivotArea outline="0" collapsedLevelsAreSubtotals="1" fieldPosition="0"/>
    </format>
    <format dxfId="216">
      <pivotArea type="origin" dataOnly="0" labelOnly="1" outline="0" fieldPosition="0"/>
    </format>
    <format dxfId="215">
      <pivotArea field="8" type="button" dataOnly="0" labelOnly="1" outline="0" axis="axisCol" fieldPosition="0"/>
    </format>
    <format dxfId="214">
      <pivotArea field="-2" type="button" dataOnly="0" labelOnly="1" outline="0" axis="axisValues" fieldPosition="0"/>
    </format>
    <format dxfId="213">
      <pivotArea type="topRight" dataOnly="0" labelOnly="1" outline="0" fieldPosition="0"/>
    </format>
    <format dxfId="212">
      <pivotArea field="1" type="button" dataOnly="0" labelOnly="1" outline="0" axis="axisRow" fieldPosition="0"/>
    </format>
    <format dxfId="211">
      <pivotArea dataOnly="0" labelOnly="1" fieldPosition="0">
        <references count="1">
          <reference field="1" count="0"/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1">
          <reference field="8" count="0"/>
        </references>
      </pivotArea>
    </format>
    <format dxfId="208">
      <pivotArea dataOnly="0" labelOnly="1" outline="0" fieldPosition="0">
        <references count="2">
          <reference field="4294967294" count="1">
            <x v="0"/>
          </reference>
          <reference field="8" count="1" selected="0">
            <x v="0"/>
          </reference>
        </references>
      </pivotArea>
    </format>
    <format dxfId="207">
      <pivotArea dataOnly="0" labelOnly="1" outline="0" fieldPosition="0">
        <references count="2">
          <reference field="4294967294" count="1">
            <x v="0"/>
          </reference>
          <reference field="8" count="1" selected="0">
            <x v="1"/>
          </reference>
        </references>
      </pivotArea>
    </format>
    <format dxfId="1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E58D9-4D4C-49AD-8863-117328E64ECE}" name="PivotTable1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rowHeaderCaption="Slope Type">
  <location ref="B92:F98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4">
        <item n="Up-sloping" x="2"/>
        <item n="Flat" x="1"/>
        <item n="Down-sloping" x="0"/>
        <item t="default"/>
      </items>
    </pivotField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9" baseItem="0"/>
    <dataField name="%" fld="12" subtotal="count" showDataAs="percentOfRow" baseField="9" baseItem="1" numFmtId="10"/>
  </dataFields>
  <formats count="14">
    <format dxfId="231">
      <pivotArea type="all" dataOnly="0" outline="0" fieldPosition="0"/>
    </format>
    <format dxfId="230">
      <pivotArea outline="0" collapsedLevelsAreSubtotals="1" fieldPosition="0"/>
    </format>
    <format dxfId="229">
      <pivotArea type="origin" dataOnly="0" labelOnly="1" outline="0" fieldPosition="0"/>
    </format>
    <format dxfId="228">
      <pivotArea field="12" type="button" dataOnly="0" labelOnly="1" outline="0" axis="axisCol" fieldPosition="0"/>
    </format>
    <format dxfId="227">
      <pivotArea field="-2" type="button" dataOnly="0" labelOnly="1" outline="0" axis="axisCol" fieldPosition="1"/>
    </format>
    <format dxfId="226">
      <pivotArea type="topRight" dataOnly="0" labelOnly="1" outline="0" fieldPosition="0"/>
    </format>
    <format dxfId="225">
      <pivotArea field="9" type="button" dataOnly="0" labelOnly="1" outline="0" axis="axisRow" fieldPosition="0"/>
    </format>
    <format dxfId="224">
      <pivotArea dataOnly="0" labelOnly="1" fieldPosition="0">
        <references count="1">
          <reference field="9" count="0"/>
        </references>
      </pivotArea>
    </format>
    <format dxfId="223">
      <pivotArea dataOnly="0" labelOnly="1" grandRow="1" outline="0" fieldPosition="0"/>
    </format>
    <format dxfId="222">
      <pivotArea dataOnly="0" labelOnly="1" fieldPosition="0">
        <references count="1">
          <reference field="12" count="0"/>
        </references>
      </pivotArea>
    </format>
    <format dxfId="221">
      <pivotArea field="1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0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0"/>
          </reference>
        </references>
      </pivotArea>
    </format>
    <format dxfId="219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1"/>
          </reference>
        </references>
      </pivotArea>
    </format>
    <format dxfId="5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7B1C6-2B30-40F5-B5BE-DD11735F8D52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6" rowHeaderCaption="Age Group">
  <location ref="B36:F44" firstHeaderRow="1" firstDataRow="3" firstDataCol="1" rowPageCount="1" colPageCount="1"/>
  <pivotFields count="1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n="Females" x="1"/>
        <item n="Males"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ame="filter by disease status" axis="axisCol" dataField="1" showAll="0">
      <items count="3">
        <item n="No Heart Disease" x="0"/>
        <item n="Heart Disease" x="1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1" hier="-1"/>
  </pageFields>
  <dataFields count="2">
    <dataField name="Patients" fld="12" subtotal="count" baseField="0" baseItem="1"/>
    <dataField name="%" fld="12" subtotal="count" showDataAs="percentOfRow" baseField="0" baseItem="1" numFmtId="10"/>
  </dataFields>
  <formats count="12"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0" type="button" dataOnly="0" labelOnly="1" outline="0" axis="axisRow" fieldPosition="0"/>
    </format>
    <format dxfId="236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235">
      <pivotArea dataOnly="0" labelOnly="1" grandRow="1" outline="0" fieldPosition="0"/>
    </format>
    <format dxfId="234">
      <pivotArea dataOnly="0" labelOnly="1" outline="0" axis="axisValues" fieldPosition="0"/>
    </format>
    <format dxfId="233">
      <pivotArea type="origin" dataOnly="0" labelOnly="1" outline="0" fieldPosition="0"/>
    </format>
    <format dxfId="232">
      <pivotArea type="origin" dataOnly="0" labelOnly="1" outline="0" fieldPosition="0"/>
    </format>
    <format dxfId="139">
      <pivotArea outline="0" collapsedLevelsAreSubtotals="1" fieldPosition="0"/>
    </format>
    <format dxfId="101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format>
    <format dxfId="100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format>
    <format dxfId="5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D8621-436D-4134-ACED-B4FBFA9F5B24}" name="PivotTable7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rowHeaderCaption="Serum Cholesterol Group (mg/dL)">
  <location ref="B130:F136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n="Desirable (&lt;200)" x="0"/>
        <item n="Borderline High (200-239)" x="1"/>
        <item n="High (&gt;240)"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4" baseItem="0"/>
    <dataField name="% of Patients" fld="12" subtotal="count" showDataAs="percentOfRow" baseField="4" baseItem="0" numFmtId="10"/>
  </dataFields>
  <formats count="13">
    <format dxfId="250">
      <pivotArea type="all" dataOnly="0" outline="0" fieldPosition="0"/>
    </format>
    <format dxfId="249">
      <pivotArea outline="0" collapsedLevelsAreSubtotals="1" fieldPosition="0"/>
    </format>
    <format dxfId="248">
      <pivotArea type="origin" dataOnly="0" labelOnly="1" outline="0" fieldPosition="0"/>
    </format>
    <format dxfId="247">
      <pivotArea field="12" type="button" dataOnly="0" labelOnly="1" outline="0" axis="axisCol" fieldPosition="0"/>
    </format>
    <format dxfId="246">
      <pivotArea field="-2" type="button" dataOnly="0" labelOnly="1" outline="0" axis="axisCol" fieldPosition="1"/>
    </format>
    <format dxfId="245">
      <pivotArea type="topRight" dataOnly="0" labelOnly="1" outline="0" fieldPosition="0"/>
    </format>
    <format dxfId="244">
      <pivotArea field="4" type="button" dataOnly="0" labelOnly="1" outline="0" axis="axisRow" fieldPosition="0"/>
    </format>
    <format dxfId="243">
      <pivotArea dataOnly="0" labelOnly="1" grandRow="1" outline="0" fieldPosition="0"/>
    </format>
    <format dxfId="242">
      <pivotArea dataOnly="0" labelOnly="1" fieldPosition="0">
        <references count="1">
          <reference field="12" count="0"/>
        </references>
      </pivotArea>
    </format>
    <format dxfId="241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0"/>
          </reference>
        </references>
      </pivotArea>
    </format>
    <format dxfId="240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1"/>
          </reference>
        </references>
      </pivotArea>
    </format>
    <format dxfId="134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format>
    <format dxfId="133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BC978-5B99-4ED6-B625-60EFF9F04522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3" rowHeaderCaption="Sex">
  <location ref="B27:F32" firstHeaderRow="1" firstDataRow="3" firstDataCol="1"/>
  <pivotFields count="13">
    <pivotField showAll="0"/>
    <pivotField axis="axisRow" showAll="0">
      <items count="3">
        <item n="Female" x="1"/>
        <item n="Male"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ame="filter by disease status" axis="axisCol" dataField="1" showAll="0">
      <items count="3">
        <item n="No Heart Disease" x="0"/>
        <item n="Heart Disease"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Patients" fld="12" subtotal="count" baseField="1" baseItem="0"/>
    <dataField name="%" fld="12" subtotal="count" showDataAs="percentOfRow" baseField="1" baseItem="0" numFmtId="10"/>
  </dataFields>
  <formats count="14"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1" type="button" dataOnly="0" labelOnly="1" outline="0" axis="axisRow" fieldPosition="0"/>
    </format>
    <format dxfId="257">
      <pivotArea dataOnly="0" labelOnly="1" fieldPosition="0">
        <references count="1">
          <reference field="1" count="0"/>
        </references>
      </pivotArea>
    </format>
    <format dxfId="256">
      <pivotArea dataOnly="0" labelOnly="1" grandRow="1" outline="0" fieldPosition="0"/>
    </format>
    <format dxfId="255">
      <pivotArea dataOnly="0" labelOnly="1" outline="0" axis="axisValues" fieldPosition="0"/>
    </format>
    <format dxfId="254">
      <pivotArea field="12" type="button" dataOnly="0" labelOnly="1" outline="0" axis="axisCol" fieldPosition="0"/>
    </format>
    <format dxfId="253">
      <pivotArea dataOnly="0" labelOnly="1" grandRow="1" outline="0" fieldPosition="0"/>
    </format>
    <format dxfId="252">
      <pivotArea type="origin" dataOnly="0" labelOnly="1" outline="0" fieldPosition="0"/>
    </format>
    <format dxfId="251">
      <pivotArea type="origin" dataOnly="0" labelOnly="1" outline="0" fieldPosition="0"/>
    </format>
    <format dxfId="140">
      <pivotArea outline="0" collapsedLevelsAreSubtotals="1" fieldPosition="0"/>
    </format>
    <format dxfId="103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format>
    <format dxfId="102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format>
    <format dxfId="5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F72BD-C9A3-402B-B337-CD0A812EFD01}" name="PivotTable1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2:F9" firstHeaderRow="0" firstDataRow="1" firstDataCol="1"/>
  <pivotFields count="13">
    <pivotField dataField="1" showAll="0"/>
    <pivotField axis="axisRow" showAll="0">
      <items count="3">
        <item n="Female" x="1"/>
        <item n="Male" x="0"/>
        <item t="default"/>
      </items>
    </pivotField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n="No Heart Disease" x="0"/>
        <item n="Heart Disease" x="1"/>
        <item t="default"/>
      </items>
    </pivotField>
  </pivotFields>
  <rowFields count="2">
    <field x="1"/>
    <field x="1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ge" fld="0" subtotal="average" baseField="1" baseItem="0"/>
    <dataField name="Average of rbp" fld="3" subtotal="average" baseField="1" baseItem="0"/>
    <dataField name="Average of maxhr" fld="7" subtotal="average" baseField="1" baseItem="0"/>
    <dataField name="Average of chol" fld="4" subtotal="average" baseField="1" baseItem="0"/>
  </dataFields>
  <formats count="17">
    <format dxfId="276">
      <pivotArea type="all" dataOnly="0" outline="0" fieldPosition="0"/>
    </format>
    <format dxfId="275">
      <pivotArea outline="0" collapsedLevelsAreSubtotals="1" fieldPosition="0"/>
    </format>
    <format dxfId="274">
      <pivotArea field="1" type="button" dataOnly="0" labelOnly="1" outline="0" axis="axisRow" fieldPosition="0"/>
    </format>
    <format dxfId="273">
      <pivotArea dataOnly="0" labelOnly="1" fieldPosition="0">
        <references count="1">
          <reference field="1" count="0"/>
        </references>
      </pivotArea>
    </format>
    <format dxfId="272">
      <pivotArea dataOnly="0" labelOnly="1" grandRow="1" outline="0" fieldPosition="0"/>
    </format>
    <format dxfId="271">
      <pivotArea dataOnly="0" labelOnly="1" fieldPosition="0">
        <references count="2">
          <reference field="1" count="1" selected="0">
            <x v="0"/>
          </reference>
          <reference field="12" count="0"/>
        </references>
      </pivotArea>
    </format>
    <format dxfId="270">
      <pivotArea dataOnly="0" labelOnly="1" fieldPosition="0">
        <references count="2">
          <reference field="1" count="1" selected="0">
            <x v="1"/>
          </reference>
          <reference field="12" count="0"/>
        </references>
      </pivotArea>
    </format>
    <format dxfId="2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1" type="button" dataOnly="0" labelOnly="1" outline="0" axis="axisRow" fieldPosition="0"/>
    </format>
    <format dxfId="265">
      <pivotArea dataOnly="0" labelOnly="1" fieldPosition="0">
        <references count="1">
          <reference field="1" count="0"/>
        </references>
      </pivotArea>
    </format>
    <format dxfId="264">
      <pivotArea dataOnly="0" labelOnly="1" grandRow="1" outline="0" fieldPosition="0"/>
    </format>
    <format dxfId="263">
      <pivotArea dataOnly="0" labelOnly="1" fieldPosition="0">
        <references count="2">
          <reference field="1" count="1" selected="0">
            <x v="0"/>
          </reference>
          <reference field="12" count="0"/>
        </references>
      </pivotArea>
    </format>
    <format dxfId="262">
      <pivotArea dataOnly="0" labelOnly="1" fieldPosition="0">
        <references count="2">
          <reference field="1" count="1" selected="0">
            <x v="1"/>
          </reference>
          <reference field="12" count="0"/>
        </references>
      </pivotArea>
    </format>
    <format dxfId="2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8FCE6-F63E-47BE-8FC7-6AF449781BEC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3" rowHeaderCaption="Rest ECG Category">
  <location ref="B69:F75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>
      <items count="4">
        <item n="Normal" x="1"/>
        <item n="ST-T Abnormality" x="2"/>
        <item n="LV Hypertrophy"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hier="-1"/>
  </pageFields>
  <dataFields count="2">
    <dataField name="Patients" fld="12" subtotal="count" baseField="6" baseItem="0"/>
    <dataField name="%" fld="12" subtotal="count" showDataAs="percentOfRow" baseField="6" baseItem="0" numFmtId="10"/>
  </dataFields>
  <formats count="13">
    <format dxfId="288">
      <pivotArea type="all" dataOnly="0" outline="0" fieldPosition="0"/>
    </format>
    <format dxfId="287">
      <pivotArea outline="0" collapsedLevelsAreSubtotals="1" fieldPosition="0"/>
    </format>
    <format dxfId="286">
      <pivotArea type="origin" dataOnly="0" labelOnly="1" outline="0" fieldPosition="0"/>
    </format>
    <format dxfId="285">
      <pivotArea field="12" type="button" dataOnly="0" labelOnly="1" outline="0" axis="axisCol" fieldPosition="0"/>
    </format>
    <format dxfId="284">
      <pivotArea field="-2" type="button" dataOnly="0" labelOnly="1" outline="0" axis="axisCol" fieldPosition="1"/>
    </format>
    <format dxfId="283">
      <pivotArea type="topRight" dataOnly="0" labelOnly="1" outline="0" fieldPosition="0"/>
    </format>
    <format dxfId="282">
      <pivotArea field="6" type="button" dataOnly="0" labelOnly="1" outline="0" axis="axisRow" fieldPosition="0"/>
    </format>
    <format dxfId="281">
      <pivotArea dataOnly="0" labelOnly="1" fieldPosition="0">
        <references count="1">
          <reference field="6" count="0"/>
        </references>
      </pivotArea>
    </format>
    <format dxfId="280">
      <pivotArea dataOnly="0" labelOnly="1" grandRow="1" outline="0" fieldPosition="0"/>
    </format>
    <format dxfId="279">
      <pivotArea dataOnly="0" labelOnly="1" fieldPosition="0">
        <references count="1">
          <reference field="12" count="0"/>
        </references>
      </pivotArea>
    </format>
    <format dxfId="278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0"/>
          </reference>
        </references>
      </pivotArea>
    </format>
    <format dxfId="277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1"/>
          </reference>
        </references>
      </pivotArea>
    </format>
    <format dxfId="56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C06A1-8EFB-43D2-8F46-60FB026F69D2}" name="PivotTable9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rowHeaderCaption="FBS Category">
  <location ref="B58:F63" firstHeaderRow="1" firstDataRow="3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3">
        <item n="≤ 120 mg/dL" x="1"/>
        <item n="&gt; 120 mg/dL" x="0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2">
    <field x="1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1" hier="-1"/>
    <pageField fld="0" hier="-1"/>
  </pageFields>
  <dataFields count="2">
    <dataField name="Patients" fld="12" subtotal="count" baseField="5" baseItem="0"/>
    <dataField name="%" fld="12" subtotal="count" showDataAs="percentOfRow" baseField="5" baseItem="0" numFmtId="10"/>
  </dataFields>
  <formats count="22">
    <format dxfId="308">
      <pivotArea outline="0" collapsedLevelsAreSubtotals="1" fieldPosition="0"/>
    </format>
    <format dxfId="307">
      <pivotArea field="5" type="button" dataOnly="0" labelOnly="1" outline="0" axis="axisRow" fieldPosition="0"/>
    </format>
    <format dxfId="306">
      <pivotArea dataOnly="0" labelOnly="1" fieldPosition="0">
        <references count="1">
          <reference field="5" count="0"/>
        </references>
      </pivotArea>
    </format>
    <format dxfId="305">
      <pivotArea dataOnly="0" labelOnly="1" grandRow="1" outline="0" fieldPosition="0"/>
    </format>
    <format dxfId="304">
      <pivotArea dataOnly="0" labelOnly="1" fieldPosition="0">
        <references count="1">
          <reference field="12" count="0"/>
        </references>
      </pivotArea>
    </format>
    <format dxfId="303">
      <pivotArea dataOnly="0" labelOnly="1" grandCol="1" outline="0" fieldPosition="0"/>
    </format>
    <format dxfId="302">
      <pivotArea outline="0" fieldPosition="0">
        <references count="1">
          <reference field="4294967294" count="1">
            <x v="1"/>
          </reference>
        </references>
      </pivotArea>
    </format>
    <format dxfId="301">
      <pivotArea type="all" dataOnly="0" outline="0" fieldPosition="0"/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type="origin" dataOnly="0" labelOnly="1" outline="0" fieldPosition="0"/>
    </format>
    <format dxfId="297">
      <pivotArea field="12" type="button" dataOnly="0" labelOnly="1" outline="0" axis="axisCol" fieldPosition="0"/>
    </format>
    <format dxfId="296">
      <pivotArea field="-2" type="button" dataOnly="0" labelOnly="1" outline="0" axis="axisCol" fieldPosition="1"/>
    </format>
    <format dxfId="295">
      <pivotArea type="topRight" dataOnly="0" labelOnly="1" outline="0" fieldPosition="0"/>
    </format>
    <format dxfId="294">
      <pivotArea field="5" type="button" dataOnly="0" labelOnly="1" outline="0" axis="axisRow" fieldPosition="0"/>
    </format>
    <format dxfId="293">
      <pivotArea dataOnly="0" labelOnly="1" fieldPosition="0">
        <references count="1">
          <reference field="5" count="0"/>
        </references>
      </pivotArea>
    </format>
    <format dxfId="292">
      <pivotArea dataOnly="0" labelOnly="1" grandRow="1" outline="0" fieldPosition="0"/>
    </format>
    <format dxfId="291">
      <pivotArea dataOnly="0" labelOnly="1" fieldPosition="0">
        <references count="1">
          <reference field="12" count="0"/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0"/>
          </reference>
        </references>
      </pivotArea>
    </format>
    <format dxfId="289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1"/>
          </reference>
        </references>
      </pivotArea>
    </format>
    <format dxfId="138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format>
    <format dxfId="137">
      <pivotArea outline="0" collapsedLevelsAreSubtotals="1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0E4FE-4002-4122-84CB-12E54AF5A5AB}" name="PivotTable2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5" rowHeaderCaption="Thallium Stress Test Result">
  <location ref="J51:L56" firstHeaderRow="1" firstDataRow="2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n="Normal" x="1"/>
        <item n="Fixed Defect" x="0"/>
        <item n="Reversible Defect" x="2"/>
        <item n="Missing" h="1" x="3"/>
        <item t="default"/>
      </items>
    </pivotField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2">
    <i>
      <x/>
    </i>
    <i>
      <x v="1"/>
    </i>
  </colItems>
  <pageFields count="2">
    <pageField fld="0" hier="-1"/>
    <pageField fld="1" hier="-1"/>
  </pageFields>
  <dataFields count="1">
    <dataField name="% of Patients" fld="12" subtotal="count" showDataAs="percentOfRow" baseField="10" baseItem="0" numFmtId="10"/>
  </dataFields>
  <formats count="16">
    <format dxfId="60">
      <pivotArea type="all" dataOnly="0" outline="0" fieldPosition="0"/>
    </format>
    <format dxfId="61">
      <pivotArea outline="0" collapsedLevelsAreSubtotals="1" fieldPosition="0"/>
    </format>
    <format dxfId="62">
      <pivotArea type="origin" dataOnly="0" labelOnly="1" outline="0" fieldPosition="0"/>
    </format>
    <format dxfId="63">
      <pivotArea field="12" type="button" dataOnly="0" labelOnly="1" outline="0" axis="axisCol" fieldPosition="0"/>
    </format>
    <format dxfId="64">
      <pivotArea field="-2" type="button" dataOnly="0" labelOnly="1" outline="0" axis="axisValues" fieldPosition="0"/>
    </format>
    <format dxfId="65">
      <pivotArea type="topRight" dataOnly="0" labelOnly="1" outline="0" fieldPosition="0"/>
    </format>
    <format dxfId="66">
      <pivotArea field="10" type="button" dataOnly="0" labelOnly="1" outline="0" axis="axisRow" fieldPosition="0"/>
    </format>
    <format dxfId="67">
      <pivotArea dataOnly="0" labelOnly="1" fieldPosition="0">
        <references count="1">
          <reference field="10" count="0"/>
        </references>
      </pivotArea>
    </format>
    <format dxfId="68">
      <pivotArea dataOnly="0" labelOnly="1" grandRow="1" outline="0" fieldPosition="0"/>
    </format>
    <format dxfId="69">
      <pivotArea dataOnly="0" labelOnly="1" fieldPosition="0">
        <references count="1">
          <reference field="12" count="0"/>
        </references>
      </pivotArea>
    </format>
    <format dxfId="70">
      <pivotArea field="1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1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0"/>
          </reference>
        </references>
      </pivotArea>
    </format>
    <format dxfId="72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1"/>
          </reference>
        </references>
      </pivotArea>
    </format>
    <format dxfId="73">
      <pivotArea dataOnly="0" labelOnly="1" grandRow="1" outline="0" fieldPosition="0"/>
    </format>
    <format dxfId="74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format>
    <format dxfId="75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format>
  </formats>
  <chartFormats count="6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C8D16-8D68-4DFB-927B-466CC0F64D29}" name="PivotTable1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11" rowHeaderCaption="Patient Suffers From Exercise-induced Angina">
  <location ref="J41:L45" firstHeaderRow="1" firstDataRow="2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3">
        <item n="No" x="0"/>
        <item n="Yes" x="1"/>
        <item t="default"/>
      </items>
    </pivotField>
    <pivotField showAll="0"/>
    <pivotField showAll="0"/>
    <pivotField showAll="0"/>
    <pivotField axis="axisCol" dataField="1" showAll="0">
      <items count="3">
        <item n="No Heart Disease" x="0"/>
        <item n="Heart Disease"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12"/>
  </colFields>
  <colItems count="2">
    <i>
      <x/>
    </i>
    <i>
      <x v="1"/>
    </i>
  </colItems>
  <pageFields count="2">
    <pageField fld="0" hier="-1"/>
    <pageField fld="1" hier="-1"/>
  </pageFields>
  <dataFields count="1">
    <dataField name="% of Patients" fld="12" subtotal="count" showDataAs="percentOfRow" baseField="8" baseItem="0" numFmtId="166"/>
  </dataFields>
  <formats count="12">
    <format dxfId="76">
      <pivotArea type="all" dataOnly="0" outline="0" fieldPosition="0"/>
    </format>
    <format dxfId="77">
      <pivotArea outline="0" collapsedLevelsAreSubtotals="1" fieldPosition="0"/>
    </format>
    <format dxfId="78">
      <pivotArea type="origin" dataOnly="0" labelOnly="1" outline="0" fieldPosition="0"/>
    </format>
    <format dxfId="79">
      <pivotArea field="12" type="button" dataOnly="0" labelOnly="1" outline="0" axis="axisCol" fieldPosition="0"/>
    </format>
    <format dxfId="80">
      <pivotArea type="topRight" dataOnly="0" labelOnly="1" outline="0" fieldPosition="0"/>
    </format>
    <format dxfId="81">
      <pivotArea field="8" type="button" dataOnly="0" labelOnly="1" outline="0" axis="axisRow" fieldPosition="0"/>
    </format>
    <format dxfId="82">
      <pivotArea dataOnly="0" labelOnly="1" fieldPosition="0">
        <references count="1">
          <reference field="8" count="0"/>
        </references>
      </pivotArea>
    </format>
    <format dxfId="83">
      <pivotArea dataOnly="0" labelOnly="1" grandRow="1" outline="0" fieldPosition="0"/>
    </format>
    <format dxfId="84">
      <pivotArea dataOnly="0" labelOnly="1" fieldPosition="0">
        <references count="1">
          <reference field="12" count="0"/>
        </references>
      </pivotArea>
    </format>
    <format dxfId="85">
      <pivotArea dataOnly="0" labelOnly="1" grandCol="1" outline="0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  <format dxfId="87">
      <pivotArea outline="0" collapsedLevelsAreSubtotals="1" fieldPosition="0"/>
    </format>
  </formats>
  <chartFormats count="6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B58A7-A4C4-4953-8C46-1394EA9F6CC4}" name="PivotTable2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8" rowHeaderCaption="Sex">
  <location ref="J7:L11" firstHeaderRow="1" firstDataRow="2" firstDataCol="1"/>
  <pivotFields count="13">
    <pivotField showAll="0"/>
    <pivotField axis="axisRow" showAll="0">
      <items count="3">
        <item n="Female" x="1"/>
        <item n="Male"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ame="filter by disease status" axis="axisCol" dataField="1" showAll="0">
      <items count="3">
        <item n="No Heart Disease" x="0"/>
        <item n="Heart Disease"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2">
    <i>
      <x/>
    </i>
    <i>
      <x v="1"/>
    </i>
  </colItems>
  <dataFields count="1">
    <dataField name="% of Patients" fld="12" subtotal="count" showDataAs="percentOfRow" baseField="1" baseItem="0" numFmtId="166"/>
  </dataFields>
  <formats count="12"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3">
      <pivotArea dataOnly="0" labelOnly="1" outline="0" axis="axisValues" fieldPosition="0"/>
    </format>
    <format dxfId="94">
      <pivotArea field="12" type="button" dataOnly="0" labelOnly="1" outline="0" axis="axisCol" fieldPosition="0"/>
    </format>
    <format dxfId="95">
      <pivotArea outline="0" fieldPosition="0">
        <references count="1">
          <reference field="4294967294" count="1">
            <x v="0"/>
          </reference>
        </references>
      </pivotArea>
    </format>
    <format dxfId="96">
      <pivotArea dataOnly="0" labelOnly="1" grandRow="1" outline="0" fieldPosition="0"/>
    </format>
    <format dxfId="97">
      <pivotArea type="origin" dataOnly="0" labelOnly="1" outline="0" fieldPosition="0"/>
    </format>
    <format dxfId="98">
      <pivotArea type="origin" dataOnly="0" labelOnly="1" outline="0" fieldPosition="0"/>
    </format>
    <format dxfId="99">
      <pivotArea outline="0" collapsedLevelsAreSubtotals="1" fieldPosition="0"/>
    </format>
  </formats>
  <chartFormats count="6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79539-E29F-47B1-ADD4-014C88E02061}" name="PivotTable2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11" rowHeaderCaption="Age Group">
  <location ref="J16:L23" firstHeaderRow="1" firstDataRow="2" firstDataCol="1" rowPageCount="1" colPageCount="1"/>
  <pivotFields count="1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n="Females" x="1"/>
        <item n="Males"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ame="filter by disease status" axis="axisCol" dataField="1" showAll="0">
      <items count="3">
        <item n="No Heart Disease" x="0"/>
        <item n="Heart Disease" x="1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2">
    <i>
      <x/>
    </i>
    <i>
      <x v="1"/>
    </i>
  </colItems>
  <pageFields count="1">
    <pageField fld="1" hier="-1"/>
  </pageFields>
  <dataFields count="1">
    <dataField name="% of Patients" fld="12" subtotal="count" showDataAs="percentOfRow" baseField="0" baseItem="1" numFmtId="166"/>
  </dataFields>
  <formats count="10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outline="0" fieldPosition="0">
        <references count="1">
          <reference field="4294967294" count="1">
            <x v="0"/>
          </reference>
        </references>
      </pivotArea>
    </format>
    <format dxfId="36">
      <pivotArea type="origin" dataOnly="0" labelOnly="1" outline="0" fieldPosition="0"/>
    </format>
    <format dxfId="37">
      <pivotArea type="origin" dataOnly="0" labelOnly="1" outline="0" fieldPosition="0"/>
    </format>
    <format dxfId="38">
      <pivotArea outline="0" collapsedLevelsAreSubtotals="1" fieldPosition="0"/>
    </format>
  </formats>
  <chartFormats count="6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64FE7-45A9-4A4E-BBFE-72690FB58664}" name="PivotTable2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8" rowHeaderCaption="Chest Pain Type">
  <location ref="J29:L35" firstHeaderRow="1" firstDataRow="2" firstDataCol="1" rowPageCount="2" colPageCount="1"/>
  <pivotFields count="13">
    <pivotField name="filter by age group"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name="filter by sex" axis="axisPage" showAll="0">
      <items count="3">
        <item x="1"/>
        <item x="0"/>
        <item t="default"/>
      </items>
    </pivotField>
    <pivotField axis="axisRow" showAll="0">
      <items count="5">
        <item n="Typical Angina" x="0"/>
        <item n="Atypical Angina" x="3"/>
        <item n="Non-anginal" x="2"/>
        <item n="Asymptomatic"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name="filter by disease status" axis="axisCol" dataField="1" showAll="0">
      <items count="3">
        <item n="No Heart Disease" x="0"/>
        <item n="Heart Disease"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2">
    <i>
      <x/>
    </i>
    <i>
      <x v="1"/>
    </i>
  </colItems>
  <pageFields count="2">
    <pageField fld="0" hier="-1"/>
    <pageField fld="1" hier="-1"/>
  </pageFields>
  <dataFields count="1">
    <dataField name="% of Patients" fld="12" subtotal="count" showDataAs="percentOfRow" baseField="2" baseItem="1" numFmtId="10"/>
  </dataFields>
  <formats count="22">
    <format dxfId="7">
      <pivotArea collapsedLevelsAreSubtotals="1" fieldPosition="0">
        <references count="1">
          <reference field="2" count="0"/>
        </references>
      </pivotArea>
    </format>
    <format dxfId="8">
      <pivotArea dataOnly="0" labelOnly="1" fieldPosition="0">
        <references count="1">
          <reference field="2" count="0"/>
        </references>
      </pivotArea>
    </format>
    <format dxfId="9">
      <pivotArea grandRow="1" outline="0" collapsedLevelsAreSubtotals="1" fieldPosition="0"/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3">
      <pivotArea type="origin" dataOnly="0" labelOnly="1" outline="0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12" type="button" dataOnly="0" labelOnly="1" outline="0" axis="axisCol" fieldPosition="0"/>
    </format>
    <format dxfId="18">
      <pivotArea field="-2" type="button" dataOnly="0" labelOnly="1" outline="0" axis="axisValues" fieldPosition="0"/>
    </format>
    <format dxfId="19">
      <pivotArea type="topRight" dataOnly="0" labelOnly="1" outline="0" fieldPosition="0"/>
    </format>
    <format dxfId="20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3">
      <pivotArea dataOnly="0" labelOnly="1" fieldPosition="0">
        <references count="1">
          <reference field="12" count="0"/>
        </references>
      </pivotArea>
    </format>
    <format dxfId="24">
      <pivotArea field="1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12" count="1" selected="0">
            <x v="1"/>
          </reference>
        </references>
      </pivotArea>
    </format>
    <format dxfId="27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format>
    <format dxfId="28">
      <pivotArea outline="0" collapsedLevelsAreSubtotals="1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22456-56DA-46C3-837C-E48305F0C029}" name="PivotTable2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8" rowHeaderCaption="Disease Status">
  <location ref="J2:K5" firstHeaderRow="1" firstDataRow="1" firstDataCol="1"/>
  <pivotFields count="13">
    <pivotField showAll="0"/>
    <pivotField showAll="0">
      <items count="3">
        <item n="No Heart Disease" x="1"/>
        <item n="Heart Disease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 Heart Disease" x="0"/>
        <item n="Heart Disease"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% of patients" fld="12" subtotal="count" showDataAs="percentOfTotal" baseField="12" baseItem="1" numFmtId="10"/>
  </dataFields>
  <formats count="10">
    <format dxfId="104">
      <pivotArea type="all" dataOnly="0" outline="0" fieldPosition="0"/>
    </format>
    <format dxfId="105">
      <pivotArea outline="0" collapsedLevelsAreSubtotals="1" fieldPosition="0"/>
    </format>
    <format dxfId="106">
      <pivotArea type="origin" dataOnly="0" labelOnly="1" outline="0" fieldPosition="0"/>
    </format>
    <format dxfId="107">
      <pivotArea field="12" type="button" dataOnly="0" labelOnly="1" outline="0" axis="axisRow" fieldPosition="0"/>
    </format>
    <format dxfId="108">
      <pivotArea field="-2" type="button" dataOnly="0" labelOnly="1" outline="0" axis="axisValues" fieldPosition="0"/>
    </format>
    <format dxfId="109">
      <pivotArea type="topRight" dataOnly="0" labelOnly="1" outline="0" fieldPosition="0"/>
    </format>
    <format dxfId="110">
      <pivotArea field="1" type="button" dataOnly="0" labelOnly="1" outline="0"/>
    </format>
    <format dxfId="111">
      <pivotArea dataOnly="0" labelOnly="1" grandRow="1" outline="0" fieldPosition="0"/>
    </format>
    <format dxfId="112">
      <pivotArea outline="0" fieldPosition="0">
        <references count="1">
          <reference field="4294967294" count="1">
            <x v="0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D2B59-EAA1-4868-B69D-91BF7482F5BC}" name="ClevelandData" displayName="ClevelandData" ref="A1:M304" totalsRowShown="0" headerRowDxfId="324" dataDxfId="322" headerRowBorderDxfId="323">
  <autoFilter ref="A1:M304" xr:uid="{52C3051A-4D08-4C62-A9FD-481F38743C6B}"/>
  <tableColumns count="13">
    <tableColumn id="1" xr3:uid="{C78AE1BD-BA5F-42A1-AA64-24EC1B16E737}" name="age" dataDxfId="321"/>
    <tableColumn id="2" xr3:uid="{865961D4-D70E-44FD-97A0-E1619C6F840D}" name="sex" dataDxfId="320"/>
    <tableColumn id="3" xr3:uid="{EAECB7C9-8106-42D3-AA31-C491B84664E8}" name="cpt" dataDxfId="319"/>
    <tableColumn id="4" xr3:uid="{4AF018E2-242A-45D1-88FD-2713122969B7}" name="rbp" dataDxfId="318"/>
    <tableColumn id="5" xr3:uid="{6ECBB441-188E-43A2-838D-490134D743CD}" name="chol" dataDxfId="317"/>
    <tableColumn id="6" xr3:uid="{ED378A67-2DD4-419A-8F53-9813078E2BFA}" name="fbs" dataDxfId="316"/>
    <tableColumn id="7" xr3:uid="{C04B7B76-07F9-4731-B4F9-02CFB0AA439E}" name="restecg" dataDxfId="315"/>
    <tableColumn id="8" xr3:uid="{406DB3CF-C554-4762-84F2-E2068B4D129B}" name="maxhr" dataDxfId="314"/>
    <tableColumn id="9" xr3:uid="{D693B8E3-086C-48C6-A91C-175984BA9A20}" name="exang" dataDxfId="313"/>
    <tableColumn id="10" xr3:uid="{8EDCF1E1-072C-4511-B953-35FC1AE7D31E}" name="slope" dataDxfId="312"/>
    <tableColumn id="11" xr3:uid="{7F1C4BE7-3A35-4357-B23A-5F09B4885EDD}" name="thal" dataDxfId="311"/>
    <tableColumn id="12" xr3:uid="{C16B1BC5-390B-4F76-A3FA-D9D57F6BF074}" name="num" dataDxfId="310"/>
    <tableColumn id="13" xr3:uid="{19FBD3D8-F618-4CF7-98BF-DAAEF8A0AEE4}" name="hd" dataDxfId="309">
      <calculatedColumnFormula>IF(ClevelandData[[#This Row],[num]]=0,0,1)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DD14-582F-4AA6-9B05-C541DEC7305D}">
  <dimension ref="A1:M304"/>
  <sheetViews>
    <sheetView zoomScaleNormal="100" workbookViewId="0">
      <selection activeCell="O300" sqref="O300"/>
    </sheetView>
  </sheetViews>
  <sheetFormatPr defaultRowHeight="15" x14ac:dyDescent="0.25"/>
  <cols>
    <col min="1" max="1" width="7.85546875" customWidth="1"/>
    <col min="2" max="2" width="7.5703125" customWidth="1"/>
    <col min="3" max="3" width="7.140625" customWidth="1"/>
    <col min="4" max="4" width="7.7109375" customWidth="1"/>
    <col min="5" max="5" width="8" customWidth="1"/>
    <col min="6" max="6" width="8.42578125" customWidth="1"/>
    <col min="7" max="7" width="11.140625" customWidth="1"/>
    <col min="8" max="8" width="10.5703125" customWidth="1"/>
    <col min="9" max="9" width="10" customWidth="1"/>
    <col min="10" max="10" width="9" customWidth="1"/>
    <col min="11" max="11" width="7.7109375" customWidth="1"/>
    <col min="12" max="12" width="7.5703125" bestFit="1" customWidth="1"/>
    <col min="13" max="13" width="5.85546875" bestFit="1" customWidth="1"/>
    <col min="16" max="17" width="13.140625" bestFit="1" customWidth="1"/>
    <col min="18" max="18" width="16.28515625" bestFit="1" customWidth="1"/>
    <col min="19" max="19" width="4" bestFit="1" customWidth="1"/>
    <col min="20" max="20" width="11.28515625" bestFit="1" customWidth="1"/>
  </cols>
  <sheetData>
    <row r="1" spans="1:13" x14ac:dyDescent="0.25">
      <c r="A1" s="2" t="s">
        <v>0</v>
      </c>
      <c r="B1" s="2" t="s">
        <v>1</v>
      </c>
      <c r="C1" s="2" t="s">
        <v>8</v>
      </c>
      <c r="D1" s="2" t="s">
        <v>34</v>
      </c>
      <c r="E1" s="2" t="s">
        <v>2</v>
      </c>
      <c r="F1" s="2" t="s">
        <v>3</v>
      </c>
      <c r="G1" s="2" t="s">
        <v>4</v>
      </c>
      <c r="H1" s="2" t="s">
        <v>9</v>
      </c>
      <c r="I1" s="2" t="s">
        <v>5</v>
      </c>
      <c r="J1" s="2" t="s">
        <v>6</v>
      </c>
      <c r="K1" s="2" t="s">
        <v>7</v>
      </c>
      <c r="L1" s="2" t="s">
        <v>11</v>
      </c>
      <c r="M1" s="2" t="s">
        <v>12</v>
      </c>
    </row>
    <row r="2" spans="1:13" x14ac:dyDescent="0.25">
      <c r="A2" s="1">
        <v>63</v>
      </c>
      <c r="B2" s="1">
        <v>1</v>
      </c>
      <c r="C2" s="1">
        <v>1</v>
      </c>
      <c r="D2" s="1">
        <v>145</v>
      </c>
      <c r="E2" s="1">
        <v>233</v>
      </c>
      <c r="F2" s="1">
        <v>1</v>
      </c>
      <c r="G2" s="1">
        <v>2</v>
      </c>
      <c r="H2" s="1">
        <v>150</v>
      </c>
      <c r="I2" s="1">
        <v>0</v>
      </c>
      <c r="J2" s="1">
        <v>3</v>
      </c>
      <c r="K2" s="1">
        <v>6</v>
      </c>
      <c r="L2" s="1">
        <v>0</v>
      </c>
      <c r="M2" s="1">
        <f>IF(ClevelandData[[#This Row],[num]]=0,0,1)</f>
        <v>0</v>
      </c>
    </row>
    <row r="3" spans="1:13" x14ac:dyDescent="0.25">
      <c r="A3" s="1">
        <v>67</v>
      </c>
      <c r="B3" s="1">
        <v>1</v>
      </c>
      <c r="C3" s="1">
        <v>4</v>
      </c>
      <c r="D3" s="1">
        <v>160</v>
      </c>
      <c r="E3" s="1">
        <v>286</v>
      </c>
      <c r="F3" s="1">
        <v>0</v>
      </c>
      <c r="G3" s="1">
        <v>2</v>
      </c>
      <c r="H3" s="1">
        <v>108</v>
      </c>
      <c r="I3" s="1">
        <v>1</v>
      </c>
      <c r="J3" s="1">
        <v>2</v>
      </c>
      <c r="K3" s="1">
        <v>3</v>
      </c>
      <c r="L3" s="1">
        <v>2</v>
      </c>
      <c r="M3" s="1">
        <f>IF(ClevelandData[[#This Row],[num]]=0,0,1)</f>
        <v>1</v>
      </c>
    </row>
    <row r="4" spans="1:13" x14ac:dyDescent="0.25">
      <c r="A4" s="1">
        <v>67</v>
      </c>
      <c r="B4" s="1">
        <v>1</v>
      </c>
      <c r="C4" s="1">
        <v>4</v>
      </c>
      <c r="D4" s="1">
        <v>120</v>
      </c>
      <c r="E4" s="1">
        <v>229</v>
      </c>
      <c r="F4" s="1">
        <v>0</v>
      </c>
      <c r="G4" s="1">
        <v>2</v>
      </c>
      <c r="H4" s="1">
        <v>129</v>
      </c>
      <c r="I4" s="1">
        <v>1</v>
      </c>
      <c r="J4" s="1">
        <v>2</v>
      </c>
      <c r="K4" s="1">
        <v>7</v>
      </c>
      <c r="L4" s="1">
        <v>1</v>
      </c>
      <c r="M4" s="1">
        <f>IF(ClevelandData[[#This Row],[num]]=0,0,1)</f>
        <v>1</v>
      </c>
    </row>
    <row r="5" spans="1:13" x14ac:dyDescent="0.25">
      <c r="A5" s="1">
        <v>37</v>
      </c>
      <c r="B5" s="1">
        <v>1</v>
      </c>
      <c r="C5" s="1">
        <v>3</v>
      </c>
      <c r="D5" s="1">
        <v>130</v>
      </c>
      <c r="E5" s="1">
        <v>250</v>
      </c>
      <c r="F5" s="1">
        <v>0</v>
      </c>
      <c r="G5" s="1">
        <v>0</v>
      </c>
      <c r="H5" s="1">
        <v>187</v>
      </c>
      <c r="I5" s="1">
        <v>0</v>
      </c>
      <c r="J5" s="1">
        <v>3</v>
      </c>
      <c r="K5" s="1">
        <v>3</v>
      </c>
      <c r="L5" s="1">
        <v>0</v>
      </c>
      <c r="M5" s="1">
        <f>IF(ClevelandData[[#This Row],[num]]=0,0,1)</f>
        <v>0</v>
      </c>
    </row>
    <row r="6" spans="1:13" x14ac:dyDescent="0.25">
      <c r="A6" s="1">
        <v>41</v>
      </c>
      <c r="B6" s="1">
        <v>0</v>
      </c>
      <c r="C6" s="1">
        <v>2</v>
      </c>
      <c r="D6" s="1">
        <v>130</v>
      </c>
      <c r="E6" s="1">
        <v>204</v>
      </c>
      <c r="F6" s="1">
        <v>0</v>
      </c>
      <c r="G6" s="1">
        <v>2</v>
      </c>
      <c r="H6" s="1">
        <v>172</v>
      </c>
      <c r="I6" s="1">
        <v>0</v>
      </c>
      <c r="J6" s="1">
        <v>1</v>
      </c>
      <c r="K6" s="1">
        <v>3</v>
      </c>
      <c r="L6" s="1">
        <v>0</v>
      </c>
      <c r="M6" s="1">
        <f>IF(ClevelandData[[#This Row],[num]]=0,0,1)</f>
        <v>0</v>
      </c>
    </row>
    <row r="7" spans="1:13" x14ac:dyDescent="0.25">
      <c r="A7" s="1">
        <v>56</v>
      </c>
      <c r="B7" s="1">
        <v>1</v>
      </c>
      <c r="C7" s="1">
        <v>2</v>
      </c>
      <c r="D7" s="1">
        <v>120</v>
      </c>
      <c r="E7" s="1">
        <v>236</v>
      </c>
      <c r="F7" s="1">
        <v>0</v>
      </c>
      <c r="G7" s="1">
        <v>0</v>
      </c>
      <c r="H7" s="1">
        <v>178</v>
      </c>
      <c r="I7" s="1">
        <v>0</v>
      </c>
      <c r="J7" s="1">
        <v>1</v>
      </c>
      <c r="K7" s="1">
        <v>3</v>
      </c>
      <c r="L7" s="1">
        <v>0</v>
      </c>
      <c r="M7" s="1">
        <f>IF(ClevelandData[[#This Row],[num]]=0,0,1)</f>
        <v>0</v>
      </c>
    </row>
    <row r="8" spans="1:13" x14ac:dyDescent="0.25">
      <c r="A8" s="1">
        <v>62</v>
      </c>
      <c r="B8" s="1">
        <v>0</v>
      </c>
      <c r="C8" s="1">
        <v>4</v>
      </c>
      <c r="D8" s="1">
        <v>140</v>
      </c>
      <c r="E8" s="1">
        <v>268</v>
      </c>
      <c r="F8" s="1">
        <v>0</v>
      </c>
      <c r="G8" s="1">
        <v>2</v>
      </c>
      <c r="H8" s="1">
        <v>160</v>
      </c>
      <c r="I8" s="1">
        <v>0</v>
      </c>
      <c r="J8" s="1">
        <v>3</v>
      </c>
      <c r="K8" s="1">
        <v>3</v>
      </c>
      <c r="L8" s="1">
        <v>3</v>
      </c>
      <c r="M8" s="1">
        <f>IF(ClevelandData[[#This Row],[num]]=0,0,1)</f>
        <v>1</v>
      </c>
    </row>
    <row r="9" spans="1:13" x14ac:dyDescent="0.25">
      <c r="A9" s="1">
        <v>57</v>
      </c>
      <c r="B9" s="1">
        <v>0</v>
      </c>
      <c r="C9" s="1">
        <v>4</v>
      </c>
      <c r="D9" s="1">
        <v>120</v>
      </c>
      <c r="E9" s="1">
        <v>354</v>
      </c>
      <c r="F9" s="1">
        <v>0</v>
      </c>
      <c r="G9" s="1">
        <v>0</v>
      </c>
      <c r="H9" s="1">
        <v>163</v>
      </c>
      <c r="I9" s="1">
        <v>1</v>
      </c>
      <c r="J9" s="1">
        <v>1</v>
      </c>
      <c r="K9" s="1">
        <v>3</v>
      </c>
      <c r="L9" s="1">
        <v>0</v>
      </c>
      <c r="M9" s="1">
        <f>IF(ClevelandData[[#This Row],[num]]=0,0,1)</f>
        <v>0</v>
      </c>
    </row>
    <row r="10" spans="1:13" x14ac:dyDescent="0.25">
      <c r="A10" s="1">
        <v>63</v>
      </c>
      <c r="B10" s="1">
        <v>1</v>
      </c>
      <c r="C10" s="1">
        <v>4</v>
      </c>
      <c r="D10" s="1">
        <v>130</v>
      </c>
      <c r="E10" s="1">
        <v>254</v>
      </c>
      <c r="F10" s="1">
        <v>0</v>
      </c>
      <c r="G10" s="1">
        <v>2</v>
      </c>
      <c r="H10" s="1">
        <v>147</v>
      </c>
      <c r="I10" s="1">
        <v>0</v>
      </c>
      <c r="J10" s="1">
        <v>2</v>
      </c>
      <c r="K10" s="1">
        <v>7</v>
      </c>
      <c r="L10" s="1">
        <v>2</v>
      </c>
      <c r="M10" s="1">
        <f>IF(ClevelandData[[#This Row],[num]]=0,0,1)</f>
        <v>1</v>
      </c>
    </row>
    <row r="11" spans="1:13" x14ac:dyDescent="0.25">
      <c r="A11" s="1">
        <v>53</v>
      </c>
      <c r="B11" s="1">
        <v>1</v>
      </c>
      <c r="C11" s="1">
        <v>4</v>
      </c>
      <c r="D11" s="1">
        <v>140</v>
      </c>
      <c r="E11" s="1">
        <v>203</v>
      </c>
      <c r="F11" s="1">
        <v>1</v>
      </c>
      <c r="G11" s="1">
        <v>2</v>
      </c>
      <c r="H11" s="1">
        <v>155</v>
      </c>
      <c r="I11" s="1">
        <v>1</v>
      </c>
      <c r="J11" s="1">
        <v>3</v>
      </c>
      <c r="K11" s="1">
        <v>7</v>
      </c>
      <c r="L11" s="1">
        <v>1</v>
      </c>
      <c r="M11" s="1">
        <f>IF(ClevelandData[[#This Row],[num]]=0,0,1)</f>
        <v>1</v>
      </c>
    </row>
    <row r="12" spans="1:13" x14ac:dyDescent="0.25">
      <c r="A12" s="1">
        <v>57</v>
      </c>
      <c r="B12" s="1">
        <v>1</v>
      </c>
      <c r="C12" s="1">
        <v>4</v>
      </c>
      <c r="D12" s="1">
        <v>140</v>
      </c>
      <c r="E12" s="1">
        <v>192</v>
      </c>
      <c r="F12" s="1">
        <v>0</v>
      </c>
      <c r="G12" s="1">
        <v>0</v>
      </c>
      <c r="H12" s="1">
        <v>148</v>
      </c>
      <c r="I12" s="1">
        <v>0</v>
      </c>
      <c r="J12" s="1">
        <v>2</v>
      </c>
      <c r="K12" s="1">
        <v>6</v>
      </c>
      <c r="L12" s="1">
        <v>0</v>
      </c>
      <c r="M12" s="1">
        <f>IF(ClevelandData[[#This Row],[num]]=0,0,1)</f>
        <v>0</v>
      </c>
    </row>
    <row r="13" spans="1:13" x14ac:dyDescent="0.25">
      <c r="A13" s="1">
        <v>56</v>
      </c>
      <c r="B13" s="1">
        <v>0</v>
      </c>
      <c r="C13" s="1">
        <v>2</v>
      </c>
      <c r="D13" s="1">
        <v>140</v>
      </c>
      <c r="E13" s="1">
        <v>294</v>
      </c>
      <c r="F13" s="1">
        <v>0</v>
      </c>
      <c r="G13" s="1">
        <v>2</v>
      </c>
      <c r="H13" s="1">
        <v>153</v>
      </c>
      <c r="I13" s="1">
        <v>0</v>
      </c>
      <c r="J13" s="1">
        <v>2</v>
      </c>
      <c r="K13" s="1">
        <v>3</v>
      </c>
      <c r="L13" s="1">
        <v>0</v>
      </c>
      <c r="M13" s="1">
        <f>IF(ClevelandData[[#This Row],[num]]=0,0,1)</f>
        <v>0</v>
      </c>
    </row>
    <row r="14" spans="1:13" x14ac:dyDescent="0.25">
      <c r="A14" s="1">
        <v>56</v>
      </c>
      <c r="B14" s="1">
        <v>1</v>
      </c>
      <c r="C14" s="1">
        <v>3</v>
      </c>
      <c r="D14" s="1">
        <v>130</v>
      </c>
      <c r="E14" s="1">
        <v>256</v>
      </c>
      <c r="F14" s="1">
        <v>1</v>
      </c>
      <c r="G14" s="1">
        <v>2</v>
      </c>
      <c r="H14" s="1">
        <v>142</v>
      </c>
      <c r="I14" s="1">
        <v>1</v>
      </c>
      <c r="J14" s="1">
        <v>2</v>
      </c>
      <c r="K14" s="1">
        <v>6</v>
      </c>
      <c r="L14" s="1">
        <v>2</v>
      </c>
      <c r="M14" s="1">
        <f>IF(ClevelandData[[#This Row],[num]]=0,0,1)</f>
        <v>1</v>
      </c>
    </row>
    <row r="15" spans="1:13" x14ac:dyDescent="0.25">
      <c r="A15" s="1">
        <v>44</v>
      </c>
      <c r="B15" s="1">
        <v>1</v>
      </c>
      <c r="C15" s="1">
        <v>2</v>
      </c>
      <c r="D15" s="1">
        <v>120</v>
      </c>
      <c r="E15" s="1">
        <v>263</v>
      </c>
      <c r="F15" s="1">
        <v>0</v>
      </c>
      <c r="G15" s="1">
        <v>0</v>
      </c>
      <c r="H15" s="1">
        <v>173</v>
      </c>
      <c r="I15" s="1">
        <v>0</v>
      </c>
      <c r="J15" s="1">
        <v>1</v>
      </c>
      <c r="K15" s="1">
        <v>7</v>
      </c>
      <c r="L15" s="1">
        <v>0</v>
      </c>
      <c r="M15" s="1">
        <f>IF(ClevelandData[[#This Row],[num]]=0,0,1)</f>
        <v>0</v>
      </c>
    </row>
    <row r="16" spans="1:13" x14ac:dyDescent="0.25">
      <c r="A16" s="1">
        <v>52</v>
      </c>
      <c r="B16" s="1">
        <v>1</v>
      </c>
      <c r="C16" s="1">
        <v>3</v>
      </c>
      <c r="D16" s="1">
        <v>172</v>
      </c>
      <c r="E16" s="1">
        <v>199</v>
      </c>
      <c r="F16" s="1">
        <v>1</v>
      </c>
      <c r="G16" s="1">
        <v>0</v>
      </c>
      <c r="H16" s="1">
        <v>162</v>
      </c>
      <c r="I16" s="1">
        <v>0</v>
      </c>
      <c r="J16" s="1">
        <v>1</v>
      </c>
      <c r="K16" s="1">
        <v>7</v>
      </c>
      <c r="L16" s="1">
        <v>0</v>
      </c>
      <c r="M16" s="1">
        <f>IF(ClevelandData[[#This Row],[num]]=0,0,1)</f>
        <v>0</v>
      </c>
    </row>
    <row r="17" spans="1:13" x14ac:dyDescent="0.25">
      <c r="A17" s="1">
        <v>57</v>
      </c>
      <c r="B17" s="1">
        <v>1</v>
      </c>
      <c r="C17" s="1">
        <v>3</v>
      </c>
      <c r="D17" s="1">
        <v>150</v>
      </c>
      <c r="E17" s="1">
        <v>168</v>
      </c>
      <c r="F17" s="1">
        <v>0</v>
      </c>
      <c r="G17" s="1">
        <v>0</v>
      </c>
      <c r="H17" s="1">
        <v>174</v>
      </c>
      <c r="I17" s="1">
        <v>0</v>
      </c>
      <c r="J17" s="1">
        <v>1</v>
      </c>
      <c r="K17" s="1">
        <v>3</v>
      </c>
      <c r="L17" s="1">
        <v>0</v>
      </c>
      <c r="M17" s="1">
        <f>IF(ClevelandData[[#This Row],[num]]=0,0,1)</f>
        <v>0</v>
      </c>
    </row>
    <row r="18" spans="1:13" x14ac:dyDescent="0.25">
      <c r="A18" s="1">
        <v>48</v>
      </c>
      <c r="B18" s="1">
        <v>1</v>
      </c>
      <c r="C18" s="1">
        <v>2</v>
      </c>
      <c r="D18" s="1">
        <v>110</v>
      </c>
      <c r="E18" s="1">
        <v>229</v>
      </c>
      <c r="F18" s="1">
        <v>0</v>
      </c>
      <c r="G18" s="1">
        <v>0</v>
      </c>
      <c r="H18" s="1">
        <v>168</v>
      </c>
      <c r="I18" s="1">
        <v>0</v>
      </c>
      <c r="J18" s="1">
        <v>3</v>
      </c>
      <c r="K18" s="1">
        <v>7</v>
      </c>
      <c r="L18" s="1">
        <v>1</v>
      </c>
      <c r="M18" s="1">
        <f>IF(ClevelandData[[#This Row],[num]]=0,0,1)</f>
        <v>1</v>
      </c>
    </row>
    <row r="19" spans="1:13" x14ac:dyDescent="0.25">
      <c r="A19" s="1">
        <v>54</v>
      </c>
      <c r="B19" s="1">
        <v>1</v>
      </c>
      <c r="C19" s="1">
        <v>4</v>
      </c>
      <c r="D19" s="1">
        <v>140</v>
      </c>
      <c r="E19" s="1">
        <v>239</v>
      </c>
      <c r="F19" s="1">
        <v>0</v>
      </c>
      <c r="G19" s="1">
        <v>0</v>
      </c>
      <c r="H19" s="1">
        <v>160</v>
      </c>
      <c r="I19" s="1">
        <v>0</v>
      </c>
      <c r="J19" s="1">
        <v>1</v>
      </c>
      <c r="K19" s="1">
        <v>3</v>
      </c>
      <c r="L19" s="1">
        <v>0</v>
      </c>
      <c r="M19" s="1">
        <f>IF(ClevelandData[[#This Row],[num]]=0,0,1)</f>
        <v>0</v>
      </c>
    </row>
    <row r="20" spans="1:13" x14ac:dyDescent="0.25">
      <c r="A20" s="1">
        <v>48</v>
      </c>
      <c r="B20" s="1">
        <v>0</v>
      </c>
      <c r="C20" s="1">
        <v>3</v>
      </c>
      <c r="D20" s="1">
        <v>130</v>
      </c>
      <c r="E20" s="1">
        <v>275</v>
      </c>
      <c r="F20" s="1">
        <v>0</v>
      </c>
      <c r="G20" s="1">
        <v>0</v>
      </c>
      <c r="H20" s="1">
        <v>139</v>
      </c>
      <c r="I20" s="1">
        <v>0</v>
      </c>
      <c r="J20" s="1">
        <v>1</v>
      </c>
      <c r="K20" s="1">
        <v>3</v>
      </c>
      <c r="L20" s="1">
        <v>0</v>
      </c>
      <c r="M20" s="1">
        <f>IF(ClevelandData[[#This Row],[num]]=0,0,1)</f>
        <v>0</v>
      </c>
    </row>
    <row r="21" spans="1:13" x14ac:dyDescent="0.25">
      <c r="A21" s="1">
        <v>49</v>
      </c>
      <c r="B21" s="1">
        <v>1</v>
      </c>
      <c r="C21" s="1">
        <v>2</v>
      </c>
      <c r="D21" s="1">
        <v>130</v>
      </c>
      <c r="E21" s="1">
        <v>266</v>
      </c>
      <c r="F21" s="1">
        <v>0</v>
      </c>
      <c r="G21" s="1">
        <v>0</v>
      </c>
      <c r="H21" s="1">
        <v>171</v>
      </c>
      <c r="I21" s="1">
        <v>0</v>
      </c>
      <c r="J21" s="1">
        <v>1</v>
      </c>
      <c r="K21" s="1">
        <v>3</v>
      </c>
      <c r="L21" s="1">
        <v>0</v>
      </c>
      <c r="M21" s="1">
        <f>IF(ClevelandData[[#This Row],[num]]=0,0,1)</f>
        <v>0</v>
      </c>
    </row>
    <row r="22" spans="1:13" x14ac:dyDescent="0.25">
      <c r="A22" s="1">
        <v>64</v>
      </c>
      <c r="B22" s="1">
        <v>1</v>
      </c>
      <c r="C22" s="1">
        <v>1</v>
      </c>
      <c r="D22" s="1">
        <v>110</v>
      </c>
      <c r="E22" s="1">
        <v>211</v>
      </c>
      <c r="F22" s="1">
        <v>0</v>
      </c>
      <c r="G22" s="1">
        <v>2</v>
      </c>
      <c r="H22" s="1">
        <v>144</v>
      </c>
      <c r="I22" s="1">
        <v>1</v>
      </c>
      <c r="J22" s="1">
        <v>2</v>
      </c>
      <c r="K22" s="1">
        <v>3</v>
      </c>
      <c r="L22" s="1">
        <v>0</v>
      </c>
      <c r="M22" s="1">
        <f>IF(ClevelandData[[#This Row],[num]]=0,0,1)</f>
        <v>0</v>
      </c>
    </row>
    <row r="23" spans="1:13" x14ac:dyDescent="0.25">
      <c r="A23" s="1">
        <v>58</v>
      </c>
      <c r="B23" s="1">
        <v>0</v>
      </c>
      <c r="C23" s="1">
        <v>1</v>
      </c>
      <c r="D23" s="1">
        <v>150</v>
      </c>
      <c r="E23" s="1">
        <v>283</v>
      </c>
      <c r="F23" s="1">
        <v>1</v>
      </c>
      <c r="G23" s="1">
        <v>2</v>
      </c>
      <c r="H23" s="1">
        <v>162</v>
      </c>
      <c r="I23" s="1">
        <v>0</v>
      </c>
      <c r="J23" s="1">
        <v>1</v>
      </c>
      <c r="K23" s="1">
        <v>3</v>
      </c>
      <c r="L23" s="1">
        <v>0</v>
      </c>
      <c r="M23" s="1">
        <f>IF(ClevelandData[[#This Row],[num]]=0,0,1)</f>
        <v>0</v>
      </c>
    </row>
    <row r="24" spans="1:13" x14ac:dyDescent="0.25">
      <c r="A24" s="1">
        <v>58</v>
      </c>
      <c r="B24" s="1">
        <v>1</v>
      </c>
      <c r="C24" s="1">
        <v>2</v>
      </c>
      <c r="D24" s="1">
        <v>120</v>
      </c>
      <c r="E24" s="1">
        <v>284</v>
      </c>
      <c r="F24" s="1">
        <v>0</v>
      </c>
      <c r="G24" s="1">
        <v>2</v>
      </c>
      <c r="H24" s="1">
        <v>160</v>
      </c>
      <c r="I24" s="1">
        <v>0</v>
      </c>
      <c r="J24" s="1">
        <v>2</v>
      </c>
      <c r="K24" s="1">
        <v>3</v>
      </c>
      <c r="L24" s="1">
        <v>1</v>
      </c>
      <c r="M24" s="1">
        <f>IF(ClevelandData[[#This Row],[num]]=0,0,1)</f>
        <v>1</v>
      </c>
    </row>
    <row r="25" spans="1:13" x14ac:dyDescent="0.25">
      <c r="A25" s="1">
        <v>58</v>
      </c>
      <c r="B25" s="1">
        <v>1</v>
      </c>
      <c r="C25" s="1">
        <v>3</v>
      </c>
      <c r="D25" s="1">
        <v>132</v>
      </c>
      <c r="E25" s="1">
        <v>224</v>
      </c>
      <c r="F25" s="1">
        <v>0</v>
      </c>
      <c r="G25" s="1">
        <v>2</v>
      </c>
      <c r="H25" s="1">
        <v>173</v>
      </c>
      <c r="I25" s="1">
        <v>0</v>
      </c>
      <c r="J25" s="1">
        <v>1</v>
      </c>
      <c r="K25" s="1">
        <v>7</v>
      </c>
      <c r="L25" s="1">
        <v>3</v>
      </c>
      <c r="M25" s="1">
        <f>IF(ClevelandData[[#This Row],[num]]=0,0,1)</f>
        <v>1</v>
      </c>
    </row>
    <row r="26" spans="1:13" x14ac:dyDescent="0.25">
      <c r="A26" s="1">
        <v>60</v>
      </c>
      <c r="B26" s="1">
        <v>1</v>
      </c>
      <c r="C26" s="1">
        <v>4</v>
      </c>
      <c r="D26" s="1">
        <v>130</v>
      </c>
      <c r="E26" s="1">
        <v>206</v>
      </c>
      <c r="F26" s="1">
        <v>0</v>
      </c>
      <c r="G26" s="1">
        <v>2</v>
      </c>
      <c r="H26" s="1">
        <v>132</v>
      </c>
      <c r="I26" s="1">
        <v>1</v>
      </c>
      <c r="J26" s="1">
        <v>2</v>
      </c>
      <c r="K26" s="1">
        <v>7</v>
      </c>
      <c r="L26" s="1">
        <v>4</v>
      </c>
      <c r="M26" s="1">
        <f>IF(ClevelandData[[#This Row],[num]]=0,0,1)</f>
        <v>1</v>
      </c>
    </row>
    <row r="27" spans="1:13" x14ac:dyDescent="0.25">
      <c r="A27" s="1">
        <v>50</v>
      </c>
      <c r="B27" s="1">
        <v>0</v>
      </c>
      <c r="C27" s="1">
        <v>3</v>
      </c>
      <c r="D27" s="1">
        <v>120</v>
      </c>
      <c r="E27" s="1">
        <v>219</v>
      </c>
      <c r="F27" s="1">
        <v>0</v>
      </c>
      <c r="G27" s="1">
        <v>0</v>
      </c>
      <c r="H27" s="1">
        <v>158</v>
      </c>
      <c r="I27" s="1">
        <v>0</v>
      </c>
      <c r="J27" s="1">
        <v>2</v>
      </c>
      <c r="K27" s="1">
        <v>3</v>
      </c>
      <c r="L27" s="1">
        <v>0</v>
      </c>
      <c r="M27" s="1">
        <f>IF(ClevelandData[[#This Row],[num]]=0,0,1)</f>
        <v>0</v>
      </c>
    </row>
    <row r="28" spans="1:13" x14ac:dyDescent="0.25">
      <c r="A28" s="1">
        <v>58</v>
      </c>
      <c r="B28" s="1">
        <v>0</v>
      </c>
      <c r="C28" s="1">
        <v>3</v>
      </c>
      <c r="D28" s="1">
        <v>120</v>
      </c>
      <c r="E28" s="1">
        <v>340</v>
      </c>
      <c r="F28" s="1">
        <v>0</v>
      </c>
      <c r="G28" s="1">
        <v>0</v>
      </c>
      <c r="H28" s="1">
        <v>172</v>
      </c>
      <c r="I28" s="1">
        <v>0</v>
      </c>
      <c r="J28" s="1">
        <v>1</v>
      </c>
      <c r="K28" s="1">
        <v>3</v>
      </c>
      <c r="L28" s="1">
        <v>0</v>
      </c>
      <c r="M28" s="1">
        <f>IF(ClevelandData[[#This Row],[num]]=0,0,1)</f>
        <v>0</v>
      </c>
    </row>
    <row r="29" spans="1:13" x14ac:dyDescent="0.25">
      <c r="A29" s="1">
        <v>66</v>
      </c>
      <c r="B29" s="1">
        <v>0</v>
      </c>
      <c r="C29" s="1">
        <v>1</v>
      </c>
      <c r="D29" s="1">
        <v>150</v>
      </c>
      <c r="E29" s="1">
        <v>226</v>
      </c>
      <c r="F29" s="1">
        <v>0</v>
      </c>
      <c r="G29" s="1">
        <v>0</v>
      </c>
      <c r="H29" s="1">
        <v>114</v>
      </c>
      <c r="I29" s="1">
        <v>0</v>
      </c>
      <c r="J29" s="1">
        <v>3</v>
      </c>
      <c r="K29" s="1">
        <v>3</v>
      </c>
      <c r="L29" s="1">
        <v>0</v>
      </c>
      <c r="M29" s="1">
        <f>IF(ClevelandData[[#This Row],[num]]=0,0,1)</f>
        <v>0</v>
      </c>
    </row>
    <row r="30" spans="1:13" x14ac:dyDescent="0.25">
      <c r="A30" s="1">
        <v>43</v>
      </c>
      <c r="B30" s="1">
        <v>1</v>
      </c>
      <c r="C30" s="1">
        <v>4</v>
      </c>
      <c r="D30" s="1">
        <v>150</v>
      </c>
      <c r="E30" s="1">
        <v>247</v>
      </c>
      <c r="F30" s="1">
        <v>0</v>
      </c>
      <c r="G30" s="1">
        <v>0</v>
      </c>
      <c r="H30" s="1">
        <v>171</v>
      </c>
      <c r="I30" s="1">
        <v>0</v>
      </c>
      <c r="J30" s="1">
        <v>1</v>
      </c>
      <c r="K30" s="1">
        <v>3</v>
      </c>
      <c r="L30" s="1">
        <v>0</v>
      </c>
      <c r="M30" s="1">
        <f>IF(ClevelandData[[#This Row],[num]]=0,0,1)</f>
        <v>0</v>
      </c>
    </row>
    <row r="31" spans="1:13" x14ac:dyDescent="0.25">
      <c r="A31" s="1">
        <v>40</v>
      </c>
      <c r="B31" s="1">
        <v>1</v>
      </c>
      <c r="C31" s="1">
        <v>4</v>
      </c>
      <c r="D31" s="1">
        <v>110</v>
      </c>
      <c r="E31" s="1">
        <v>167</v>
      </c>
      <c r="F31" s="1">
        <v>0</v>
      </c>
      <c r="G31" s="1">
        <v>2</v>
      </c>
      <c r="H31" s="1">
        <v>114</v>
      </c>
      <c r="I31" s="1">
        <v>1</v>
      </c>
      <c r="J31" s="1">
        <v>2</v>
      </c>
      <c r="K31" s="1">
        <v>7</v>
      </c>
      <c r="L31" s="1">
        <v>3</v>
      </c>
      <c r="M31" s="1">
        <f>IF(ClevelandData[[#This Row],[num]]=0,0,1)</f>
        <v>1</v>
      </c>
    </row>
    <row r="32" spans="1:13" x14ac:dyDescent="0.25">
      <c r="A32" s="1">
        <v>69</v>
      </c>
      <c r="B32" s="1">
        <v>0</v>
      </c>
      <c r="C32" s="1">
        <v>1</v>
      </c>
      <c r="D32" s="1">
        <v>140</v>
      </c>
      <c r="E32" s="1">
        <v>239</v>
      </c>
      <c r="F32" s="1">
        <v>0</v>
      </c>
      <c r="G32" s="1">
        <v>0</v>
      </c>
      <c r="H32" s="1">
        <v>151</v>
      </c>
      <c r="I32" s="1">
        <v>0</v>
      </c>
      <c r="J32" s="1">
        <v>1</v>
      </c>
      <c r="K32" s="1">
        <v>3</v>
      </c>
      <c r="L32" s="1">
        <v>0</v>
      </c>
      <c r="M32" s="1">
        <f>IF(ClevelandData[[#This Row],[num]]=0,0,1)</f>
        <v>0</v>
      </c>
    </row>
    <row r="33" spans="1:13" x14ac:dyDescent="0.25">
      <c r="A33" s="1">
        <v>60</v>
      </c>
      <c r="B33" s="1">
        <v>1</v>
      </c>
      <c r="C33" s="1">
        <v>4</v>
      </c>
      <c r="D33" s="1">
        <v>117</v>
      </c>
      <c r="E33" s="1">
        <v>230</v>
      </c>
      <c r="F33" s="1">
        <v>1</v>
      </c>
      <c r="G33" s="1">
        <v>0</v>
      </c>
      <c r="H33" s="1">
        <v>160</v>
      </c>
      <c r="I33" s="1">
        <v>1</v>
      </c>
      <c r="J33" s="1">
        <v>1</v>
      </c>
      <c r="K33" s="1">
        <v>7</v>
      </c>
      <c r="L33" s="1">
        <v>2</v>
      </c>
      <c r="M33" s="1">
        <f>IF(ClevelandData[[#This Row],[num]]=0,0,1)</f>
        <v>1</v>
      </c>
    </row>
    <row r="34" spans="1:13" x14ac:dyDescent="0.25">
      <c r="A34" s="1">
        <v>64</v>
      </c>
      <c r="B34" s="1">
        <v>1</v>
      </c>
      <c r="C34" s="1">
        <v>3</v>
      </c>
      <c r="D34" s="1">
        <v>140</v>
      </c>
      <c r="E34" s="1">
        <v>335</v>
      </c>
      <c r="F34" s="1">
        <v>0</v>
      </c>
      <c r="G34" s="1">
        <v>0</v>
      </c>
      <c r="H34" s="1">
        <v>158</v>
      </c>
      <c r="I34" s="1">
        <v>0</v>
      </c>
      <c r="J34" s="1">
        <v>1</v>
      </c>
      <c r="K34" s="1">
        <v>3</v>
      </c>
      <c r="L34" s="1">
        <v>1</v>
      </c>
      <c r="M34" s="1">
        <f>IF(ClevelandData[[#This Row],[num]]=0,0,1)</f>
        <v>1</v>
      </c>
    </row>
    <row r="35" spans="1:13" x14ac:dyDescent="0.25">
      <c r="A35" s="1">
        <v>59</v>
      </c>
      <c r="B35" s="1">
        <v>1</v>
      </c>
      <c r="C35" s="1">
        <v>4</v>
      </c>
      <c r="D35" s="1">
        <v>135</v>
      </c>
      <c r="E35" s="1">
        <v>234</v>
      </c>
      <c r="F35" s="1">
        <v>0</v>
      </c>
      <c r="G35" s="1">
        <v>0</v>
      </c>
      <c r="H35" s="1">
        <v>161</v>
      </c>
      <c r="I35" s="1">
        <v>0</v>
      </c>
      <c r="J35" s="1">
        <v>2</v>
      </c>
      <c r="K35" s="1">
        <v>7</v>
      </c>
      <c r="L35" s="1">
        <v>0</v>
      </c>
      <c r="M35" s="1">
        <f>IF(ClevelandData[[#This Row],[num]]=0,0,1)</f>
        <v>0</v>
      </c>
    </row>
    <row r="36" spans="1:13" x14ac:dyDescent="0.25">
      <c r="A36" s="1">
        <v>44</v>
      </c>
      <c r="B36" s="1">
        <v>1</v>
      </c>
      <c r="C36" s="1">
        <v>3</v>
      </c>
      <c r="D36" s="1">
        <v>130</v>
      </c>
      <c r="E36" s="1">
        <v>233</v>
      </c>
      <c r="F36" s="1">
        <v>0</v>
      </c>
      <c r="G36" s="1">
        <v>0</v>
      </c>
      <c r="H36" s="1">
        <v>179</v>
      </c>
      <c r="I36" s="1">
        <v>1</v>
      </c>
      <c r="J36" s="1">
        <v>1</v>
      </c>
      <c r="K36" s="1">
        <v>3</v>
      </c>
      <c r="L36" s="1">
        <v>0</v>
      </c>
      <c r="M36" s="1">
        <f>IF(ClevelandData[[#This Row],[num]]=0,0,1)</f>
        <v>0</v>
      </c>
    </row>
    <row r="37" spans="1:13" x14ac:dyDescent="0.25">
      <c r="A37" s="1">
        <v>42</v>
      </c>
      <c r="B37" s="1">
        <v>1</v>
      </c>
      <c r="C37" s="1">
        <v>4</v>
      </c>
      <c r="D37" s="1">
        <v>140</v>
      </c>
      <c r="E37" s="1">
        <v>226</v>
      </c>
      <c r="F37" s="1">
        <v>0</v>
      </c>
      <c r="G37" s="1">
        <v>0</v>
      </c>
      <c r="H37" s="1">
        <v>178</v>
      </c>
      <c r="I37" s="1">
        <v>0</v>
      </c>
      <c r="J37" s="1">
        <v>1</v>
      </c>
      <c r="K37" s="1">
        <v>3</v>
      </c>
      <c r="L37" s="1">
        <v>0</v>
      </c>
      <c r="M37" s="1">
        <f>IF(ClevelandData[[#This Row],[num]]=0,0,1)</f>
        <v>0</v>
      </c>
    </row>
    <row r="38" spans="1:13" x14ac:dyDescent="0.25">
      <c r="A38" s="1">
        <v>43</v>
      </c>
      <c r="B38" s="1">
        <v>1</v>
      </c>
      <c r="C38" s="1">
        <v>4</v>
      </c>
      <c r="D38" s="1">
        <v>120</v>
      </c>
      <c r="E38" s="1">
        <v>177</v>
      </c>
      <c r="F38" s="1">
        <v>0</v>
      </c>
      <c r="G38" s="1">
        <v>2</v>
      </c>
      <c r="H38" s="1">
        <v>120</v>
      </c>
      <c r="I38" s="1">
        <v>1</v>
      </c>
      <c r="J38" s="1">
        <v>2</v>
      </c>
      <c r="K38" s="1">
        <v>7</v>
      </c>
      <c r="L38" s="1">
        <v>3</v>
      </c>
      <c r="M38" s="1">
        <f>IF(ClevelandData[[#This Row],[num]]=0,0,1)</f>
        <v>1</v>
      </c>
    </row>
    <row r="39" spans="1:13" x14ac:dyDescent="0.25">
      <c r="A39" s="1">
        <v>57</v>
      </c>
      <c r="B39" s="1">
        <v>1</v>
      </c>
      <c r="C39" s="1">
        <v>4</v>
      </c>
      <c r="D39" s="1">
        <v>150</v>
      </c>
      <c r="E39" s="1">
        <v>276</v>
      </c>
      <c r="F39" s="1">
        <v>0</v>
      </c>
      <c r="G39" s="1">
        <v>2</v>
      </c>
      <c r="H39" s="1">
        <v>112</v>
      </c>
      <c r="I39" s="1">
        <v>1</v>
      </c>
      <c r="J39" s="1">
        <v>2</v>
      </c>
      <c r="K39" s="1">
        <v>6</v>
      </c>
      <c r="L39" s="1">
        <v>1</v>
      </c>
      <c r="M39" s="1">
        <f>IF(ClevelandData[[#This Row],[num]]=0,0,1)</f>
        <v>1</v>
      </c>
    </row>
    <row r="40" spans="1:13" x14ac:dyDescent="0.25">
      <c r="A40" s="1">
        <v>55</v>
      </c>
      <c r="B40" s="1">
        <v>1</v>
      </c>
      <c r="C40" s="1">
        <v>4</v>
      </c>
      <c r="D40" s="1">
        <v>132</v>
      </c>
      <c r="E40" s="1">
        <v>353</v>
      </c>
      <c r="F40" s="1">
        <v>0</v>
      </c>
      <c r="G40" s="1">
        <v>0</v>
      </c>
      <c r="H40" s="1">
        <v>132</v>
      </c>
      <c r="I40" s="1">
        <v>1</v>
      </c>
      <c r="J40" s="1">
        <v>2</v>
      </c>
      <c r="K40" s="1">
        <v>7</v>
      </c>
      <c r="L40" s="1">
        <v>3</v>
      </c>
      <c r="M40" s="1">
        <f>IF(ClevelandData[[#This Row],[num]]=0,0,1)</f>
        <v>1</v>
      </c>
    </row>
    <row r="41" spans="1:13" x14ac:dyDescent="0.25">
      <c r="A41" s="1">
        <v>61</v>
      </c>
      <c r="B41" s="1">
        <v>1</v>
      </c>
      <c r="C41" s="1">
        <v>3</v>
      </c>
      <c r="D41" s="1">
        <v>150</v>
      </c>
      <c r="E41" s="1">
        <v>243</v>
      </c>
      <c r="F41" s="1">
        <v>1</v>
      </c>
      <c r="G41" s="1">
        <v>0</v>
      </c>
      <c r="H41" s="1">
        <v>137</v>
      </c>
      <c r="I41" s="1">
        <v>1</v>
      </c>
      <c r="J41" s="1">
        <v>2</v>
      </c>
      <c r="K41" s="1">
        <v>3</v>
      </c>
      <c r="L41" s="1">
        <v>0</v>
      </c>
      <c r="M41" s="1">
        <f>IF(ClevelandData[[#This Row],[num]]=0,0,1)</f>
        <v>0</v>
      </c>
    </row>
    <row r="42" spans="1:13" x14ac:dyDescent="0.25">
      <c r="A42" s="1">
        <v>65</v>
      </c>
      <c r="B42" s="1">
        <v>0</v>
      </c>
      <c r="C42" s="1">
        <v>4</v>
      </c>
      <c r="D42" s="1">
        <v>150</v>
      </c>
      <c r="E42" s="1">
        <v>225</v>
      </c>
      <c r="F42" s="1">
        <v>0</v>
      </c>
      <c r="G42" s="1">
        <v>2</v>
      </c>
      <c r="H42" s="1">
        <v>114</v>
      </c>
      <c r="I42" s="1">
        <v>0</v>
      </c>
      <c r="J42" s="1">
        <v>2</v>
      </c>
      <c r="K42" s="1">
        <v>7</v>
      </c>
      <c r="L42" s="1">
        <v>4</v>
      </c>
      <c r="M42" s="1">
        <f>IF(ClevelandData[[#This Row],[num]]=0,0,1)</f>
        <v>1</v>
      </c>
    </row>
    <row r="43" spans="1:13" x14ac:dyDescent="0.25">
      <c r="A43" s="1">
        <v>40</v>
      </c>
      <c r="B43" s="1">
        <v>1</v>
      </c>
      <c r="C43" s="1">
        <v>1</v>
      </c>
      <c r="D43" s="1">
        <v>140</v>
      </c>
      <c r="E43" s="1">
        <v>199</v>
      </c>
      <c r="F43" s="1">
        <v>0</v>
      </c>
      <c r="G43" s="1">
        <v>0</v>
      </c>
      <c r="H43" s="1">
        <v>178</v>
      </c>
      <c r="I43" s="1">
        <v>1</v>
      </c>
      <c r="J43" s="1">
        <v>1</v>
      </c>
      <c r="K43" s="1">
        <v>7</v>
      </c>
      <c r="L43" s="1">
        <v>0</v>
      </c>
      <c r="M43" s="1">
        <f>IF(ClevelandData[[#This Row],[num]]=0,0,1)</f>
        <v>0</v>
      </c>
    </row>
    <row r="44" spans="1:13" x14ac:dyDescent="0.25">
      <c r="A44" s="1">
        <v>71</v>
      </c>
      <c r="B44" s="1">
        <v>0</v>
      </c>
      <c r="C44" s="1">
        <v>2</v>
      </c>
      <c r="D44" s="1">
        <v>160</v>
      </c>
      <c r="E44" s="1">
        <v>302</v>
      </c>
      <c r="F44" s="1">
        <v>0</v>
      </c>
      <c r="G44" s="1">
        <v>0</v>
      </c>
      <c r="H44" s="1">
        <v>162</v>
      </c>
      <c r="I44" s="1">
        <v>0</v>
      </c>
      <c r="J44" s="1">
        <v>1</v>
      </c>
      <c r="K44" s="1">
        <v>3</v>
      </c>
      <c r="L44" s="1">
        <v>0</v>
      </c>
      <c r="M44" s="1">
        <f>IF(ClevelandData[[#This Row],[num]]=0,0,1)</f>
        <v>0</v>
      </c>
    </row>
    <row r="45" spans="1:13" x14ac:dyDescent="0.25">
      <c r="A45" s="1">
        <v>59</v>
      </c>
      <c r="B45" s="1">
        <v>1</v>
      </c>
      <c r="C45" s="1">
        <v>3</v>
      </c>
      <c r="D45" s="1">
        <v>150</v>
      </c>
      <c r="E45" s="1">
        <v>212</v>
      </c>
      <c r="F45" s="1">
        <v>1</v>
      </c>
      <c r="G45" s="1">
        <v>0</v>
      </c>
      <c r="H45" s="1">
        <v>157</v>
      </c>
      <c r="I45" s="1">
        <v>0</v>
      </c>
      <c r="J45" s="1">
        <v>1</v>
      </c>
      <c r="K45" s="1">
        <v>3</v>
      </c>
      <c r="L45" s="1">
        <v>0</v>
      </c>
      <c r="M45" s="1">
        <f>IF(ClevelandData[[#This Row],[num]]=0,0,1)</f>
        <v>0</v>
      </c>
    </row>
    <row r="46" spans="1:13" x14ac:dyDescent="0.25">
      <c r="A46" s="1">
        <v>61</v>
      </c>
      <c r="B46" s="1">
        <v>0</v>
      </c>
      <c r="C46" s="1">
        <v>4</v>
      </c>
      <c r="D46" s="1">
        <v>130</v>
      </c>
      <c r="E46" s="1">
        <v>330</v>
      </c>
      <c r="F46" s="1">
        <v>0</v>
      </c>
      <c r="G46" s="1">
        <v>2</v>
      </c>
      <c r="H46" s="1">
        <v>169</v>
      </c>
      <c r="I46" s="1">
        <v>0</v>
      </c>
      <c r="J46" s="1">
        <v>1</v>
      </c>
      <c r="K46" s="1">
        <v>3</v>
      </c>
      <c r="L46" s="1">
        <v>1</v>
      </c>
      <c r="M46" s="1">
        <f>IF(ClevelandData[[#This Row],[num]]=0,0,1)</f>
        <v>1</v>
      </c>
    </row>
    <row r="47" spans="1:13" x14ac:dyDescent="0.25">
      <c r="A47" s="1">
        <v>58</v>
      </c>
      <c r="B47" s="1">
        <v>1</v>
      </c>
      <c r="C47" s="1">
        <v>3</v>
      </c>
      <c r="D47" s="1">
        <v>112</v>
      </c>
      <c r="E47" s="1">
        <v>230</v>
      </c>
      <c r="F47" s="1">
        <v>0</v>
      </c>
      <c r="G47" s="1">
        <v>2</v>
      </c>
      <c r="H47" s="1">
        <v>165</v>
      </c>
      <c r="I47" s="1">
        <v>0</v>
      </c>
      <c r="J47" s="1">
        <v>2</v>
      </c>
      <c r="K47" s="1">
        <v>7</v>
      </c>
      <c r="L47" s="1">
        <v>4</v>
      </c>
      <c r="M47" s="1">
        <f>IF(ClevelandData[[#This Row],[num]]=0,0,1)</f>
        <v>1</v>
      </c>
    </row>
    <row r="48" spans="1:13" x14ac:dyDescent="0.25">
      <c r="A48" s="1">
        <v>51</v>
      </c>
      <c r="B48" s="1">
        <v>1</v>
      </c>
      <c r="C48" s="1">
        <v>3</v>
      </c>
      <c r="D48" s="1">
        <v>110</v>
      </c>
      <c r="E48" s="1">
        <v>175</v>
      </c>
      <c r="F48" s="1">
        <v>0</v>
      </c>
      <c r="G48" s="1">
        <v>0</v>
      </c>
      <c r="H48" s="1">
        <v>123</v>
      </c>
      <c r="I48" s="1">
        <v>0</v>
      </c>
      <c r="J48" s="1">
        <v>1</v>
      </c>
      <c r="K48" s="1">
        <v>3</v>
      </c>
      <c r="L48" s="1">
        <v>0</v>
      </c>
      <c r="M48" s="1">
        <f>IF(ClevelandData[[#This Row],[num]]=0,0,1)</f>
        <v>0</v>
      </c>
    </row>
    <row r="49" spans="1:13" x14ac:dyDescent="0.25">
      <c r="A49" s="1">
        <v>50</v>
      </c>
      <c r="B49" s="1">
        <v>1</v>
      </c>
      <c r="C49" s="1">
        <v>4</v>
      </c>
      <c r="D49" s="1">
        <v>150</v>
      </c>
      <c r="E49" s="1">
        <v>243</v>
      </c>
      <c r="F49" s="1">
        <v>0</v>
      </c>
      <c r="G49" s="1">
        <v>2</v>
      </c>
      <c r="H49" s="1">
        <v>128</v>
      </c>
      <c r="I49" s="1">
        <v>0</v>
      </c>
      <c r="J49" s="1">
        <v>2</v>
      </c>
      <c r="K49" s="1">
        <v>7</v>
      </c>
      <c r="L49" s="1">
        <v>4</v>
      </c>
      <c r="M49" s="1">
        <f>IF(ClevelandData[[#This Row],[num]]=0,0,1)</f>
        <v>1</v>
      </c>
    </row>
    <row r="50" spans="1:13" x14ac:dyDescent="0.25">
      <c r="A50" s="1">
        <v>65</v>
      </c>
      <c r="B50" s="1">
        <v>0</v>
      </c>
      <c r="C50" s="1">
        <v>3</v>
      </c>
      <c r="D50" s="1">
        <v>140</v>
      </c>
      <c r="E50" s="1">
        <v>417</v>
      </c>
      <c r="F50" s="1">
        <v>1</v>
      </c>
      <c r="G50" s="1">
        <v>2</v>
      </c>
      <c r="H50" s="1">
        <v>157</v>
      </c>
      <c r="I50" s="1">
        <v>0</v>
      </c>
      <c r="J50" s="1">
        <v>1</v>
      </c>
      <c r="K50" s="1">
        <v>3</v>
      </c>
      <c r="L50" s="1">
        <v>0</v>
      </c>
      <c r="M50" s="1">
        <f>IF(ClevelandData[[#This Row],[num]]=0,0,1)</f>
        <v>0</v>
      </c>
    </row>
    <row r="51" spans="1:13" x14ac:dyDescent="0.25">
      <c r="A51" s="1">
        <v>53</v>
      </c>
      <c r="B51" s="1">
        <v>1</v>
      </c>
      <c r="C51" s="1">
        <v>3</v>
      </c>
      <c r="D51" s="1">
        <v>130</v>
      </c>
      <c r="E51" s="1">
        <v>197</v>
      </c>
      <c r="F51" s="1">
        <v>1</v>
      </c>
      <c r="G51" s="1">
        <v>2</v>
      </c>
      <c r="H51" s="1">
        <v>152</v>
      </c>
      <c r="I51" s="1">
        <v>0</v>
      </c>
      <c r="J51" s="1">
        <v>3</v>
      </c>
      <c r="K51" s="1">
        <v>3</v>
      </c>
      <c r="L51" s="1">
        <v>0</v>
      </c>
      <c r="M51" s="1">
        <f>IF(ClevelandData[[#This Row],[num]]=0,0,1)</f>
        <v>0</v>
      </c>
    </row>
    <row r="52" spans="1:13" x14ac:dyDescent="0.25">
      <c r="A52" s="1">
        <v>41</v>
      </c>
      <c r="B52" s="1">
        <v>0</v>
      </c>
      <c r="C52" s="1">
        <v>2</v>
      </c>
      <c r="D52" s="1">
        <v>105</v>
      </c>
      <c r="E52" s="1">
        <v>198</v>
      </c>
      <c r="F52" s="1">
        <v>0</v>
      </c>
      <c r="G52" s="1">
        <v>0</v>
      </c>
      <c r="H52" s="1">
        <v>168</v>
      </c>
      <c r="I52" s="1">
        <v>0</v>
      </c>
      <c r="J52" s="1">
        <v>1</v>
      </c>
      <c r="K52" s="1">
        <v>3</v>
      </c>
      <c r="L52" s="1">
        <v>0</v>
      </c>
      <c r="M52" s="1">
        <f>IF(ClevelandData[[#This Row],[num]]=0,0,1)</f>
        <v>0</v>
      </c>
    </row>
    <row r="53" spans="1:13" x14ac:dyDescent="0.25">
      <c r="A53" s="1">
        <v>65</v>
      </c>
      <c r="B53" s="1">
        <v>1</v>
      </c>
      <c r="C53" s="1">
        <v>4</v>
      </c>
      <c r="D53" s="1">
        <v>120</v>
      </c>
      <c r="E53" s="1">
        <v>177</v>
      </c>
      <c r="F53" s="1">
        <v>0</v>
      </c>
      <c r="G53" s="1">
        <v>0</v>
      </c>
      <c r="H53" s="1">
        <v>140</v>
      </c>
      <c r="I53" s="1">
        <v>0</v>
      </c>
      <c r="J53" s="1">
        <v>1</v>
      </c>
      <c r="K53" s="1">
        <v>7</v>
      </c>
      <c r="L53" s="1">
        <v>0</v>
      </c>
      <c r="M53" s="1">
        <f>IF(ClevelandData[[#This Row],[num]]=0,0,1)</f>
        <v>0</v>
      </c>
    </row>
    <row r="54" spans="1:13" x14ac:dyDescent="0.25">
      <c r="A54" s="1">
        <v>44</v>
      </c>
      <c r="B54" s="1">
        <v>1</v>
      </c>
      <c r="C54" s="1">
        <v>4</v>
      </c>
      <c r="D54" s="1">
        <v>112</v>
      </c>
      <c r="E54" s="1">
        <v>290</v>
      </c>
      <c r="F54" s="1">
        <v>0</v>
      </c>
      <c r="G54" s="1">
        <v>2</v>
      </c>
      <c r="H54" s="1">
        <v>153</v>
      </c>
      <c r="I54" s="1">
        <v>0</v>
      </c>
      <c r="J54" s="1">
        <v>1</v>
      </c>
      <c r="K54" s="1">
        <v>3</v>
      </c>
      <c r="L54" s="1">
        <v>2</v>
      </c>
      <c r="M54" s="1">
        <f>IF(ClevelandData[[#This Row],[num]]=0,0,1)</f>
        <v>1</v>
      </c>
    </row>
    <row r="55" spans="1:13" x14ac:dyDescent="0.25">
      <c r="A55" s="1">
        <v>44</v>
      </c>
      <c r="B55" s="1">
        <v>1</v>
      </c>
      <c r="C55" s="1">
        <v>2</v>
      </c>
      <c r="D55" s="1">
        <v>130</v>
      </c>
      <c r="E55" s="1">
        <v>219</v>
      </c>
      <c r="F55" s="1">
        <v>0</v>
      </c>
      <c r="G55" s="1">
        <v>2</v>
      </c>
      <c r="H55" s="1">
        <v>188</v>
      </c>
      <c r="I55" s="1">
        <v>0</v>
      </c>
      <c r="J55" s="1">
        <v>1</v>
      </c>
      <c r="K55" s="1">
        <v>3</v>
      </c>
      <c r="L55" s="1">
        <v>0</v>
      </c>
      <c r="M55" s="1">
        <f>IF(ClevelandData[[#This Row],[num]]=0,0,1)</f>
        <v>0</v>
      </c>
    </row>
    <row r="56" spans="1:13" x14ac:dyDescent="0.25">
      <c r="A56" s="1">
        <v>60</v>
      </c>
      <c r="B56" s="1">
        <v>1</v>
      </c>
      <c r="C56" s="1">
        <v>4</v>
      </c>
      <c r="D56" s="1">
        <v>130</v>
      </c>
      <c r="E56" s="1">
        <v>253</v>
      </c>
      <c r="F56" s="1">
        <v>0</v>
      </c>
      <c r="G56" s="1">
        <v>0</v>
      </c>
      <c r="H56" s="1">
        <v>144</v>
      </c>
      <c r="I56" s="1">
        <v>1</v>
      </c>
      <c r="J56" s="1">
        <v>1</v>
      </c>
      <c r="K56" s="1">
        <v>7</v>
      </c>
      <c r="L56" s="1">
        <v>1</v>
      </c>
      <c r="M56" s="1">
        <f>IF(ClevelandData[[#This Row],[num]]=0,0,1)</f>
        <v>1</v>
      </c>
    </row>
    <row r="57" spans="1:13" x14ac:dyDescent="0.25">
      <c r="A57" s="1">
        <v>54</v>
      </c>
      <c r="B57" s="1">
        <v>1</v>
      </c>
      <c r="C57" s="1">
        <v>4</v>
      </c>
      <c r="D57" s="1">
        <v>124</v>
      </c>
      <c r="E57" s="1">
        <v>266</v>
      </c>
      <c r="F57" s="1">
        <v>0</v>
      </c>
      <c r="G57" s="1">
        <v>2</v>
      </c>
      <c r="H57" s="1">
        <v>109</v>
      </c>
      <c r="I57" s="1">
        <v>1</v>
      </c>
      <c r="J57" s="1">
        <v>2</v>
      </c>
      <c r="K57" s="1">
        <v>7</v>
      </c>
      <c r="L57" s="1">
        <v>1</v>
      </c>
      <c r="M57" s="1">
        <f>IF(ClevelandData[[#This Row],[num]]=0,0,1)</f>
        <v>1</v>
      </c>
    </row>
    <row r="58" spans="1:13" x14ac:dyDescent="0.25">
      <c r="A58" s="1">
        <v>50</v>
      </c>
      <c r="B58" s="1">
        <v>1</v>
      </c>
      <c r="C58" s="1">
        <v>3</v>
      </c>
      <c r="D58" s="1">
        <v>140</v>
      </c>
      <c r="E58" s="1">
        <v>233</v>
      </c>
      <c r="F58" s="1">
        <v>0</v>
      </c>
      <c r="G58" s="1">
        <v>0</v>
      </c>
      <c r="H58" s="1">
        <v>163</v>
      </c>
      <c r="I58" s="1">
        <v>0</v>
      </c>
      <c r="J58" s="1">
        <v>2</v>
      </c>
      <c r="K58" s="1">
        <v>7</v>
      </c>
      <c r="L58" s="1">
        <v>1</v>
      </c>
      <c r="M58" s="1">
        <f>IF(ClevelandData[[#This Row],[num]]=0,0,1)</f>
        <v>1</v>
      </c>
    </row>
    <row r="59" spans="1:13" x14ac:dyDescent="0.25">
      <c r="A59" s="1">
        <v>41</v>
      </c>
      <c r="B59" s="1">
        <v>1</v>
      </c>
      <c r="C59" s="1">
        <v>4</v>
      </c>
      <c r="D59" s="1">
        <v>110</v>
      </c>
      <c r="E59" s="1">
        <v>172</v>
      </c>
      <c r="F59" s="1">
        <v>0</v>
      </c>
      <c r="G59" s="1">
        <v>2</v>
      </c>
      <c r="H59" s="1">
        <v>158</v>
      </c>
      <c r="I59" s="1">
        <v>0</v>
      </c>
      <c r="J59" s="1">
        <v>1</v>
      </c>
      <c r="K59" s="1">
        <v>7</v>
      </c>
      <c r="L59" s="1">
        <v>1</v>
      </c>
      <c r="M59" s="1">
        <f>IF(ClevelandData[[#This Row],[num]]=0,0,1)</f>
        <v>1</v>
      </c>
    </row>
    <row r="60" spans="1:13" x14ac:dyDescent="0.25">
      <c r="A60" s="1">
        <v>54</v>
      </c>
      <c r="B60" s="1">
        <v>1</v>
      </c>
      <c r="C60" s="1">
        <v>3</v>
      </c>
      <c r="D60" s="1">
        <v>125</v>
      </c>
      <c r="E60" s="1">
        <v>273</v>
      </c>
      <c r="F60" s="1">
        <v>0</v>
      </c>
      <c r="G60" s="1">
        <v>2</v>
      </c>
      <c r="H60" s="1">
        <v>152</v>
      </c>
      <c r="I60" s="1">
        <v>0</v>
      </c>
      <c r="J60" s="1">
        <v>3</v>
      </c>
      <c r="K60" s="1">
        <v>3</v>
      </c>
      <c r="L60" s="1">
        <v>0</v>
      </c>
      <c r="M60" s="1">
        <f>IF(ClevelandData[[#This Row],[num]]=0,0,1)</f>
        <v>0</v>
      </c>
    </row>
    <row r="61" spans="1:13" x14ac:dyDescent="0.25">
      <c r="A61" s="1">
        <v>51</v>
      </c>
      <c r="B61" s="1">
        <v>1</v>
      </c>
      <c r="C61" s="1">
        <v>1</v>
      </c>
      <c r="D61" s="1">
        <v>125</v>
      </c>
      <c r="E61" s="1">
        <v>213</v>
      </c>
      <c r="F61" s="1">
        <v>0</v>
      </c>
      <c r="G61" s="1">
        <v>2</v>
      </c>
      <c r="H61" s="1">
        <v>125</v>
      </c>
      <c r="I61" s="1">
        <v>1</v>
      </c>
      <c r="J61" s="1">
        <v>1</v>
      </c>
      <c r="K61" s="1">
        <v>3</v>
      </c>
      <c r="L61" s="1">
        <v>0</v>
      </c>
      <c r="M61" s="1">
        <f>IF(ClevelandData[[#This Row],[num]]=0,0,1)</f>
        <v>0</v>
      </c>
    </row>
    <row r="62" spans="1:13" x14ac:dyDescent="0.25">
      <c r="A62" s="1">
        <v>51</v>
      </c>
      <c r="B62" s="1">
        <v>0</v>
      </c>
      <c r="C62" s="1">
        <v>4</v>
      </c>
      <c r="D62" s="1">
        <v>130</v>
      </c>
      <c r="E62" s="1">
        <v>305</v>
      </c>
      <c r="F62" s="1">
        <v>0</v>
      </c>
      <c r="G62" s="1">
        <v>0</v>
      </c>
      <c r="H62" s="1">
        <v>142</v>
      </c>
      <c r="I62" s="1">
        <v>1</v>
      </c>
      <c r="J62" s="1">
        <v>2</v>
      </c>
      <c r="K62" s="1">
        <v>7</v>
      </c>
      <c r="L62" s="1">
        <v>2</v>
      </c>
      <c r="M62" s="1">
        <f>IF(ClevelandData[[#This Row],[num]]=0,0,1)</f>
        <v>1</v>
      </c>
    </row>
    <row r="63" spans="1:13" x14ac:dyDescent="0.25">
      <c r="A63" s="1">
        <v>46</v>
      </c>
      <c r="B63" s="1">
        <v>0</v>
      </c>
      <c r="C63" s="1">
        <v>3</v>
      </c>
      <c r="D63" s="1">
        <v>142</v>
      </c>
      <c r="E63" s="1">
        <v>177</v>
      </c>
      <c r="F63" s="1">
        <v>0</v>
      </c>
      <c r="G63" s="1">
        <v>2</v>
      </c>
      <c r="H63" s="1">
        <v>160</v>
      </c>
      <c r="I63" s="1">
        <v>1</v>
      </c>
      <c r="J63" s="1">
        <v>3</v>
      </c>
      <c r="K63" s="1">
        <v>3</v>
      </c>
      <c r="L63" s="1">
        <v>0</v>
      </c>
      <c r="M63" s="1">
        <f>IF(ClevelandData[[#This Row],[num]]=0,0,1)</f>
        <v>0</v>
      </c>
    </row>
    <row r="64" spans="1:13" x14ac:dyDescent="0.25">
      <c r="A64" s="1">
        <v>58</v>
      </c>
      <c r="B64" s="1">
        <v>1</v>
      </c>
      <c r="C64" s="1">
        <v>4</v>
      </c>
      <c r="D64" s="1">
        <v>128</v>
      </c>
      <c r="E64" s="1">
        <v>216</v>
      </c>
      <c r="F64" s="1">
        <v>0</v>
      </c>
      <c r="G64" s="1">
        <v>2</v>
      </c>
      <c r="H64" s="1">
        <v>131</v>
      </c>
      <c r="I64" s="1">
        <v>1</v>
      </c>
      <c r="J64" s="1">
        <v>2</v>
      </c>
      <c r="K64" s="1">
        <v>7</v>
      </c>
      <c r="L64" s="1">
        <v>1</v>
      </c>
      <c r="M64" s="1">
        <f>IF(ClevelandData[[#This Row],[num]]=0,0,1)</f>
        <v>1</v>
      </c>
    </row>
    <row r="65" spans="1:13" x14ac:dyDescent="0.25">
      <c r="A65" s="1">
        <v>54</v>
      </c>
      <c r="B65" s="1">
        <v>0</v>
      </c>
      <c r="C65" s="1">
        <v>3</v>
      </c>
      <c r="D65" s="1">
        <v>135</v>
      </c>
      <c r="E65" s="1">
        <v>304</v>
      </c>
      <c r="F65" s="1">
        <v>1</v>
      </c>
      <c r="G65" s="1">
        <v>0</v>
      </c>
      <c r="H65" s="1">
        <v>170</v>
      </c>
      <c r="I65" s="1">
        <v>0</v>
      </c>
      <c r="J65" s="1">
        <v>1</v>
      </c>
      <c r="K65" s="1">
        <v>3</v>
      </c>
      <c r="L65" s="1">
        <v>0</v>
      </c>
      <c r="M65" s="1">
        <f>IF(ClevelandData[[#This Row],[num]]=0,0,1)</f>
        <v>0</v>
      </c>
    </row>
    <row r="66" spans="1:13" x14ac:dyDescent="0.25">
      <c r="A66" s="1">
        <v>54</v>
      </c>
      <c r="B66" s="1">
        <v>1</v>
      </c>
      <c r="C66" s="1">
        <v>4</v>
      </c>
      <c r="D66" s="1">
        <v>120</v>
      </c>
      <c r="E66" s="1">
        <v>188</v>
      </c>
      <c r="F66" s="1">
        <v>0</v>
      </c>
      <c r="G66" s="1">
        <v>0</v>
      </c>
      <c r="H66" s="1">
        <v>113</v>
      </c>
      <c r="I66" s="1">
        <v>0</v>
      </c>
      <c r="J66" s="1">
        <v>2</v>
      </c>
      <c r="K66" s="1">
        <v>7</v>
      </c>
      <c r="L66" s="1">
        <v>2</v>
      </c>
      <c r="M66" s="1">
        <f>IF(ClevelandData[[#This Row],[num]]=0,0,1)</f>
        <v>1</v>
      </c>
    </row>
    <row r="67" spans="1:13" x14ac:dyDescent="0.25">
      <c r="A67" s="1">
        <v>60</v>
      </c>
      <c r="B67" s="1">
        <v>1</v>
      </c>
      <c r="C67" s="1">
        <v>4</v>
      </c>
      <c r="D67" s="1">
        <v>145</v>
      </c>
      <c r="E67" s="1">
        <v>282</v>
      </c>
      <c r="F67" s="1">
        <v>0</v>
      </c>
      <c r="G67" s="1">
        <v>2</v>
      </c>
      <c r="H67" s="1">
        <v>142</v>
      </c>
      <c r="I67" s="1">
        <v>1</v>
      </c>
      <c r="J67" s="1">
        <v>2</v>
      </c>
      <c r="K67" s="1">
        <v>7</v>
      </c>
      <c r="L67" s="1">
        <v>2</v>
      </c>
      <c r="M67" s="1">
        <f>IF(ClevelandData[[#This Row],[num]]=0,0,1)</f>
        <v>1</v>
      </c>
    </row>
    <row r="68" spans="1:13" x14ac:dyDescent="0.25">
      <c r="A68" s="1">
        <v>60</v>
      </c>
      <c r="B68" s="1">
        <v>1</v>
      </c>
      <c r="C68" s="1">
        <v>3</v>
      </c>
      <c r="D68" s="1">
        <v>140</v>
      </c>
      <c r="E68" s="1">
        <v>185</v>
      </c>
      <c r="F68" s="1">
        <v>0</v>
      </c>
      <c r="G68" s="1">
        <v>2</v>
      </c>
      <c r="H68" s="1">
        <v>155</v>
      </c>
      <c r="I68" s="1">
        <v>0</v>
      </c>
      <c r="J68" s="1">
        <v>2</v>
      </c>
      <c r="K68" s="1">
        <v>3</v>
      </c>
      <c r="L68" s="1">
        <v>1</v>
      </c>
      <c r="M68" s="1">
        <f>IF(ClevelandData[[#This Row],[num]]=0,0,1)</f>
        <v>1</v>
      </c>
    </row>
    <row r="69" spans="1:13" x14ac:dyDescent="0.25">
      <c r="A69" s="1">
        <v>54</v>
      </c>
      <c r="B69" s="1">
        <v>1</v>
      </c>
      <c r="C69" s="1">
        <v>3</v>
      </c>
      <c r="D69" s="1">
        <v>150</v>
      </c>
      <c r="E69" s="1">
        <v>232</v>
      </c>
      <c r="F69" s="1">
        <v>0</v>
      </c>
      <c r="G69" s="1">
        <v>2</v>
      </c>
      <c r="H69" s="1">
        <v>165</v>
      </c>
      <c r="I69" s="1">
        <v>0</v>
      </c>
      <c r="J69" s="1">
        <v>1</v>
      </c>
      <c r="K69" s="1">
        <v>7</v>
      </c>
      <c r="L69" s="1">
        <v>0</v>
      </c>
      <c r="M69" s="1">
        <f>IF(ClevelandData[[#This Row],[num]]=0,0,1)</f>
        <v>0</v>
      </c>
    </row>
    <row r="70" spans="1:13" x14ac:dyDescent="0.25">
      <c r="A70" s="1">
        <v>59</v>
      </c>
      <c r="B70" s="1">
        <v>1</v>
      </c>
      <c r="C70" s="1">
        <v>4</v>
      </c>
      <c r="D70" s="1">
        <v>170</v>
      </c>
      <c r="E70" s="1">
        <v>326</v>
      </c>
      <c r="F70" s="1">
        <v>0</v>
      </c>
      <c r="G70" s="1">
        <v>2</v>
      </c>
      <c r="H70" s="1">
        <v>140</v>
      </c>
      <c r="I70" s="1">
        <v>1</v>
      </c>
      <c r="J70" s="1">
        <v>3</v>
      </c>
      <c r="K70" s="1">
        <v>7</v>
      </c>
      <c r="L70" s="1">
        <v>2</v>
      </c>
      <c r="M70" s="1">
        <f>IF(ClevelandData[[#This Row],[num]]=0,0,1)</f>
        <v>1</v>
      </c>
    </row>
    <row r="71" spans="1:13" x14ac:dyDescent="0.25">
      <c r="A71" s="1">
        <v>46</v>
      </c>
      <c r="B71" s="1">
        <v>1</v>
      </c>
      <c r="C71" s="1">
        <v>3</v>
      </c>
      <c r="D71" s="1">
        <v>150</v>
      </c>
      <c r="E71" s="1">
        <v>231</v>
      </c>
      <c r="F71" s="1">
        <v>0</v>
      </c>
      <c r="G71" s="1">
        <v>0</v>
      </c>
      <c r="H71" s="1">
        <v>147</v>
      </c>
      <c r="I71" s="1">
        <v>0</v>
      </c>
      <c r="J71" s="1">
        <v>2</v>
      </c>
      <c r="K71" s="1">
        <v>3</v>
      </c>
      <c r="L71" s="1">
        <v>1</v>
      </c>
      <c r="M71" s="1">
        <f>IF(ClevelandData[[#This Row],[num]]=0,0,1)</f>
        <v>1</v>
      </c>
    </row>
    <row r="72" spans="1:13" x14ac:dyDescent="0.25">
      <c r="A72" s="1">
        <v>65</v>
      </c>
      <c r="B72" s="1">
        <v>0</v>
      </c>
      <c r="C72" s="1">
        <v>3</v>
      </c>
      <c r="D72" s="1">
        <v>155</v>
      </c>
      <c r="E72" s="1">
        <v>269</v>
      </c>
      <c r="F72" s="1">
        <v>0</v>
      </c>
      <c r="G72" s="1">
        <v>0</v>
      </c>
      <c r="H72" s="1">
        <v>148</v>
      </c>
      <c r="I72" s="1">
        <v>0</v>
      </c>
      <c r="J72" s="1">
        <v>1</v>
      </c>
      <c r="K72" s="1">
        <v>3</v>
      </c>
      <c r="L72" s="1">
        <v>0</v>
      </c>
      <c r="M72" s="1">
        <f>IF(ClevelandData[[#This Row],[num]]=0,0,1)</f>
        <v>0</v>
      </c>
    </row>
    <row r="73" spans="1:13" x14ac:dyDescent="0.25">
      <c r="A73" s="1">
        <v>67</v>
      </c>
      <c r="B73" s="1">
        <v>1</v>
      </c>
      <c r="C73" s="1">
        <v>4</v>
      </c>
      <c r="D73" s="1">
        <v>125</v>
      </c>
      <c r="E73" s="1">
        <v>254</v>
      </c>
      <c r="F73" s="1">
        <v>1</v>
      </c>
      <c r="G73" s="1">
        <v>0</v>
      </c>
      <c r="H73" s="1">
        <v>163</v>
      </c>
      <c r="I73" s="1">
        <v>0</v>
      </c>
      <c r="J73" s="1">
        <v>2</v>
      </c>
      <c r="K73" s="1">
        <v>7</v>
      </c>
      <c r="L73" s="1">
        <v>3</v>
      </c>
      <c r="M73" s="1">
        <f>IF(ClevelandData[[#This Row],[num]]=0,0,1)</f>
        <v>1</v>
      </c>
    </row>
    <row r="74" spans="1:13" x14ac:dyDescent="0.25">
      <c r="A74" s="1">
        <v>62</v>
      </c>
      <c r="B74" s="1">
        <v>1</v>
      </c>
      <c r="C74" s="1">
        <v>4</v>
      </c>
      <c r="D74" s="1">
        <v>120</v>
      </c>
      <c r="E74" s="1">
        <v>267</v>
      </c>
      <c r="F74" s="1">
        <v>0</v>
      </c>
      <c r="G74" s="1">
        <v>0</v>
      </c>
      <c r="H74" s="1">
        <v>99</v>
      </c>
      <c r="I74" s="1">
        <v>1</v>
      </c>
      <c r="J74" s="1">
        <v>2</v>
      </c>
      <c r="K74" s="1">
        <v>7</v>
      </c>
      <c r="L74" s="1">
        <v>1</v>
      </c>
      <c r="M74" s="1">
        <f>IF(ClevelandData[[#This Row],[num]]=0,0,1)</f>
        <v>1</v>
      </c>
    </row>
    <row r="75" spans="1:13" x14ac:dyDescent="0.25">
      <c r="A75" s="1">
        <v>65</v>
      </c>
      <c r="B75" s="1">
        <v>1</v>
      </c>
      <c r="C75" s="1">
        <v>4</v>
      </c>
      <c r="D75" s="1">
        <v>110</v>
      </c>
      <c r="E75" s="1">
        <v>248</v>
      </c>
      <c r="F75" s="1">
        <v>0</v>
      </c>
      <c r="G75" s="1">
        <v>2</v>
      </c>
      <c r="H75" s="1">
        <v>158</v>
      </c>
      <c r="I75" s="1">
        <v>0</v>
      </c>
      <c r="J75" s="1">
        <v>1</v>
      </c>
      <c r="K75" s="1">
        <v>6</v>
      </c>
      <c r="L75" s="1">
        <v>1</v>
      </c>
      <c r="M75" s="1">
        <f>IF(ClevelandData[[#This Row],[num]]=0,0,1)</f>
        <v>1</v>
      </c>
    </row>
    <row r="76" spans="1:13" x14ac:dyDescent="0.25">
      <c r="A76" s="1">
        <v>44</v>
      </c>
      <c r="B76" s="1">
        <v>1</v>
      </c>
      <c r="C76" s="1">
        <v>4</v>
      </c>
      <c r="D76" s="1">
        <v>110</v>
      </c>
      <c r="E76" s="1">
        <v>197</v>
      </c>
      <c r="F76" s="1">
        <v>0</v>
      </c>
      <c r="G76" s="1">
        <v>2</v>
      </c>
      <c r="H76" s="1">
        <v>177</v>
      </c>
      <c r="I76" s="1">
        <v>0</v>
      </c>
      <c r="J76" s="1">
        <v>1</v>
      </c>
      <c r="K76" s="1">
        <v>3</v>
      </c>
      <c r="L76" s="1">
        <v>1</v>
      </c>
      <c r="M76" s="1">
        <f>IF(ClevelandData[[#This Row],[num]]=0,0,1)</f>
        <v>1</v>
      </c>
    </row>
    <row r="77" spans="1:13" x14ac:dyDescent="0.25">
      <c r="A77" s="1">
        <v>65</v>
      </c>
      <c r="B77" s="1">
        <v>0</v>
      </c>
      <c r="C77" s="1">
        <v>3</v>
      </c>
      <c r="D77" s="1">
        <v>160</v>
      </c>
      <c r="E77" s="1">
        <v>360</v>
      </c>
      <c r="F77" s="1">
        <v>0</v>
      </c>
      <c r="G77" s="1">
        <v>2</v>
      </c>
      <c r="H77" s="1">
        <v>151</v>
      </c>
      <c r="I77" s="1">
        <v>0</v>
      </c>
      <c r="J77" s="1">
        <v>1</v>
      </c>
      <c r="K77" s="1">
        <v>3</v>
      </c>
      <c r="L77" s="1">
        <v>0</v>
      </c>
      <c r="M77" s="1">
        <f>IF(ClevelandData[[#This Row],[num]]=0,0,1)</f>
        <v>0</v>
      </c>
    </row>
    <row r="78" spans="1:13" x14ac:dyDescent="0.25">
      <c r="A78" s="1">
        <v>60</v>
      </c>
      <c r="B78" s="1">
        <v>1</v>
      </c>
      <c r="C78" s="1">
        <v>4</v>
      </c>
      <c r="D78" s="1">
        <v>125</v>
      </c>
      <c r="E78" s="1">
        <v>258</v>
      </c>
      <c r="F78" s="1">
        <v>0</v>
      </c>
      <c r="G78" s="1">
        <v>2</v>
      </c>
      <c r="H78" s="1">
        <v>141</v>
      </c>
      <c r="I78" s="1">
        <v>1</v>
      </c>
      <c r="J78" s="1">
        <v>2</v>
      </c>
      <c r="K78" s="1">
        <v>7</v>
      </c>
      <c r="L78" s="1">
        <v>1</v>
      </c>
      <c r="M78" s="1">
        <f>IF(ClevelandData[[#This Row],[num]]=0,0,1)</f>
        <v>1</v>
      </c>
    </row>
    <row r="79" spans="1:13" x14ac:dyDescent="0.25">
      <c r="A79" s="1">
        <v>51</v>
      </c>
      <c r="B79" s="1">
        <v>0</v>
      </c>
      <c r="C79" s="1">
        <v>3</v>
      </c>
      <c r="D79" s="1">
        <v>140</v>
      </c>
      <c r="E79" s="1">
        <v>308</v>
      </c>
      <c r="F79" s="1">
        <v>0</v>
      </c>
      <c r="G79" s="1">
        <v>2</v>
      </c>
      <c r="H79" s="1">
        <v>142</v>
      </c>
      <c r="I79" s="1">
        <v>0</v>
      </c>
      <c r="J79" s="1">
        <v>1</v>
      </c>
      <c r="K79" s="1">
        <v>3</v>
      </c>
      <c r="L79" s="1">
        <v>0</v>
      </c>
      <c r="M79" s="1">
        <f>IF(ClevelandData[[#This Row],[num]]=0,0,1)</f>
        <v>0</v>
      </c>
    </row>
    <row r="80" spans="1:13" x14ac:dyDescent="0.25">
      <c r="A80" s="1">
        <v>48</v>
      </c>
      <c r="B80" s="1">
        <v>1</v>
      </c>
      <c r="C80" s="1">
        <v>2</v>
      </c>
      <c r="D80" s="1">
        <v>130</v>
      </c>
      <c r="E80" s="1">
        <v>245</v>
      </c>
      <c r="F80" s="1">
        <v>0</v>
      </c>
      <c r="G80" s="1">
        <v>2</v>
      </c>
      <c r="H80" s="1">
        <v>180</v>
      </c>
      <c r="I80" s="1">
        <v>0</v>
      </c>
      <c r="J80" s="1">
        <v>2</v>
      </c>
      <c r="K80" s="1">
        <v>3</v>
      </c>
      <c r="L80" s="1">
        <v>0</v>
      </c>
      <c r="M80" s="1">
        <f>IF(ClevelandData[[#This Row],[num]]=0,0,1)</f>
        <v>0</v>
      </c>
    </row>
    <row r="81" spans="1:13" x14ac:dyDescent="0.25">
      <c r="A81" s="1">
        <v>58</v>
      </c>
      <c r="B81" s="1">
        <v>1</v>
      </c>
      <c r="C81" s="1">
        <v>4</v>
      </c>
      <c r="D81" s="1">
        <v>150</v>
      </c>
      <c r="E81" s="1">
        <v>270</v>
      </c>
      <c r="F81" s="1">
        <v>0</v>
      </c>
      <c r="G81" s="1">
        <v>2</v>
      </c>
      <c r="H81" s="1">
        <v>111</v>
      </c>
      <c r="I81" s="1">
        <v>1</v>
      </c>
      <c r="J81" s="1">
        <v>1</v>
      </c>
      <c r="K81" s="1">
        <v>7</v>
      </c>
      <c r="L81" s="1">
        <v>3</v>
      </c>
      <c r="M81" s="1">
        <f>IF(ClevelandData[[#This Row],[num]]=0,0,1)</f>
        <v>1</v>
      </c>
    </row>
    <row r="82" spans="1:13" x14ac:dyDescent="0.25">
      <c r="A82" s="1">
        <v>45</v>
      </c>
      <c r="B82" s="1">
        <v>1</v>
      </c>
      <c r="C82" s="1">
        <v>4</v>
      </c>
      <c r="D82" s="1">
        <v>104</v>
      </c>
      <c r="E82" s="1">
        <v>208</v>
      </c>
      <c r="F82" s="1">
        <v>0</v>
      </c>
      <c r="G82" s="1">
        <v>2</v>
      </c>
      <c r="H82" s="1">
        <v>148</v>
      </c>
      <c r="I82" s="1">
        <v>1</v>
      </c>
      <c r="J82" s="1">
        <v>2</v>
      </c>
      <c r="K82" s="1">
        <v>3</v>
      </c>
      <c r="L82" s="1">
        <v>0</v>
      </c>
      <c r="M82" s="1">
        <f>IF(ClevelandData[[#This Row],[num]]=0,0,1)</f>
        <v>0</v>
      </c>
    </row>
    <row r="83" spans="1:13" x14ac:dyDescent="0.25">
      <c r="A83" s="1">
        <v>53</v>
      </c>
      <c r="B83" s="1">
        <v>0</v>
      </c>
      <c r="C83" s="1">
        <v>4</v>
      </c>
      <c r="D83" s="1">
        <v>130</v>
      </c>
      <c r="E83" s="1">
        <v>264</v>
      </c>
      <c r="F83" s="1">
        <v>0</v>
      </c>
      <c r="G83" s="1">
        <v>2</v>
      </c>
      <c r="H83" s="1">
        <v>143</v>
      </c>
      <c r="I83" s="1">
        <v>0</v>
      </c>
      <c r="J83" s="1">
        <v>2</v>
      </c>
      <c r="K83" s="1">
        <v>3</v>
      </c>
      <c r="L83" s="1">
        <v>0</v>
      </c>
      <c r="M83" s="1">
        <f>IF(ClevelandData[[#This Row],[num]]=0,0,1)</f>
        <v>0</v>
      </c>
    </row>
    <row r="84" spans="1:13" x14ac:dyDescent="0.25">
      <c r="A84" s="1">
        <v>39</v>
      </c>
      <c r="B84" s="1">
        <v>1</v>
      </c>
      <c r="C84" s="1">
        <v>3</v>
      </c>
      <c r="D84" s="1">
        <v>140</v>
      </c>
      <c r="E84" s="1">
        <v>321</v>
      </c>
      <c r="F84" s="1">
        <v>0</v>
      </c>
      <c r="G84" s="1">
        <v>2</v>
      </c>
      <c r="H84" s="1">
        <v>182</v>
      </c>
      <c r="I84" s="1">
        <v>0</v>
      </c>
      <c r="J84" s="1">
        <v>1</v>
      </c>
      <c r="K84" s="1">
        <v>3</v>
      </c>
      <c r="L84" s="1">
        <v>0</v>
      </c>
      <c r="M84" s="1">
        <f>IF(ClevelandData[[#This Row],[num]]=0,0,1)</f>
        <v>0</v>
      </c>
    </row>
    <row r="85" spans="1:13" x14ac:dyDescent="0.25">
      <c r="A85" s="1">
        <v>68</v>
      </c>
      <c r="B85" s="1">
        <v>1</v>
      </c>
      <c r="C85" s="1">
        <v>3</v>
      </c>
      <c r="D85" s="1">
        <v>180</v>
      </c>
      <c r="E85" s="1">
        <v>274</v>
      </c>
      <c r="F85" s="1">
        <v>1</v>
      </c>
      <c r="G85" s="1">
        <v>2</v>
      </c>
      <c r="H85" s="1">
        <v>150</v>
      </c>
      <c r="I85" s="1">
        <v>1</v>
      </c>
      <c r="J85" s="1">
        <v>2</v>
      </c>
      <c r="K85" s="1">
        <v>7</v>
      </c>
      <c r="L85" s="1">
        <v>3</v>
      </c>
      <c r="M85" s="1">
        <f>IF(ClevelandData[[#This Row],[num]]=0,0,1)</f>
        <v>1</v>
      </c>
    </row>
    <row r="86" spans="1:13" x14ac:dyDescent="0.25">
      <c r="A86" s="1">
        <v>52</v>
      </c>
      <c r="B86" s="1">
        <v>1</v>
      </c>
      <c r="C86" s="1">
        <v>2</v>
      </c>
      <c r="D86" s="1">
        <v>120</v>
      </c>
      <c r="E86" s="1">
        <v>325</v>
      </c>
      <c r="F86" s="1">
        <v>0</v>
      </c>
      <c r="G86" s="1">
        <v>0</v>
      </c>
      <c r="H86" s="1">
        <v>172</v>
      </c>
      <c r="I86" s="1">
        <v>0</v>
      </c>
      <c r="J86" s="1">
        <v>1</v>
      </c>
      <c r="K86" s="1">
        <v>3</v>
      </c>
      <c r="L86" s="1">
        <v>0</v>
      </c>
      <c r="M86" s="1">
        <f>IF(ClevelandData[[#This Row],[num]]=0,0,1)</f>
        <v>0</v>
      </c>
    </row>
    <row r="87" spans="1:13" x14ac:dyDescent="0.25">
      <c r="A87" s="1">
        <v>44</v>
      </c>
      <c r="B87" s="1">
        <v>1</v>
      </c>
      <c r="C87" s="1">
        <v>3</v>
      </c>
      <c r="D87" s="1">
        <v>140</v>
      </c>
      <c r="E87" s="1">
        <v>235</v>
      </c>
      <c r="F87" s="1">
        <v>0</v>
      </c>
      <c r="G87" s="1">
        <v>2</v>
      </c>
      <c r="H87" s="1">
        <v>180</v>
      </c>
      <c r="I87" s="1">
        <v>0</v>
      </c>
      <c r="J87" s="1">
        <v>1</v>
      </c>
      <c r="K87" s="1">
        <v>3</v>
      </c>
      <c r="L87" s="1">
        <v>0</v>
      </c>
      <c r="M87" s="1">
        <f>IF(ClevelandData[[#This Row],[num]]=0,0,1)</f>
        <v>0</v>
      </c>
    </row>
    <row r="88" spans="1:13" x14ac:dyDescent="0.25">
      <c r="A88" s="1">
        <v>47</v>
      </c>
      <c r="B88" s="1">
        <v>1</v>
      </c>
      <c r="C88" s="1">
        <v>3</v>
      </c>
      <c r="D88" s="1">
        <v>138</v>
      </c>
      <c r="E88" s="1">
        <v>257</v>
      </c>
      <c r="F88" s="1">
        <v>0</v>
      </c>
      <c r="G88" s="1">
        <v>2</v>
      </c>
      <c r="H88" s="1">
        <v>156</v>
      </c>
      <c r="I88" s="1">
        <v>0</v>
      </c>
      <c r="J88" s="1">
        <v>1</v>
      </c>
      <c r="K88" s="1">
        <v>3</v>
      </c>
      <c r="L88" s="1">
        <v>0</v>
      </c>
      <c r="M88" s="1">
        <f>IF(ClevelandData[[#This Row],[num]]=0,0,1)</f>
        <v>0</v>
      </c>
    </row>
    <row r="89" spans="1:13" x14ac:dyDescent="0.25">
      <c r="A89" s="1">
        <v>53</v>
      </c>
      <c r="B89" s="1">
        <v>0</v>
      </c>
      <c r="C89" s="1">
        <v>3</v>
      </c>
      <c r="D89" s="1">
        <v>128</v>
      </c>
      <c r="E89" s="1">
        <v>216</v>
      </c>
      <c r="F89" s="1">
        <v>0</v>
      </c>
      <c r="G89" s="1">
        <v>2</v>
      </c>
      <c r="H89" s="1">
        <v>115</v>
      </c>
      <c r="I89" s="1">
        <v>0</v>
      </c>
      <c r="J89" s="1">
        <v>1</v>
      </c>
      <c r="K89" s="1" t="s">
        <v>10</v>
      </c>
      <c r="L89" s="1">
        <v>0</v>
      </c>
      <c r="M89" s="1">
        <f>IF(ClevelandData[[#This Row],[num]]=0,0,1)</f>
        <v>0</v>
      </c>
    </row>
    <row r="90" spans="1:13" x14ac:dyDescent="0.25">
      <c r="A90" s="1">
        <v>53</v>
      </c>
      <c r="B90" s="1">
        <v>0</v>
      </c>
      <c r="C90" s="1">
        <v>4</v>
      </c>
      <c r="D90" s="1">
        <v>138</v>
      </c>
      <c r="E90" s="1">
        <v>234</v>
      </c>
      <c r="F90" s="1">
        <v>0</v>
      </c>
      <c r="G90" s="1">
        <v>2</v>
      </c>
      <c r="H90" s="1">
        <v>160</v>
      </c>
      <c r="I90" s="1">
        <v>0</v>
      </c>
      <c r="J90" s="1">
        <v>1</v>
      </c>
      <c r="K90" s="1">
        <v>3</v>
      </c>
      <c r="L90" s="1">
        <v>0</v>
      </c>
      <c r="M90" s="1">
        <f>IF(ClevelandData[[#This Row],[num]]=0,0,1)</f>
        <v>0</v>
      </c>
    </row>
    <row r="91" spans="1:13" x14ac:dyDescent="0.25">
      <c r="A91" s="1">
        <v>51</v>
      </c>
      <c r="B91" s="1">
        <v>0</v>
      </c>
      <c r="C91" s="1">
        <v>3</v>
      </c>
      <c r="D91" s="1">
        <v>130</v>
      </c>
      <c r="E91" s="1">
        <v>256</v>
      </c>
      <c r="F91" s="1">
        <v>0</v>
      </c>
      <c r="G91" s="1">
        <v>2</v>
      </c>
      <c r="H91" s="1">
        <v>149</v>
      </c>
      <c r="I91" s="1">
        <v>0</v>
      </c>
      <c r="J91" s="1">
        <v>1</v>
      </c>
      <c r="K91" s="1">
        <v>3</v>
      </c>
      <c r="L91" s="1">
        <v>0</v>
      </c>
      <c r="M91" s="1">
        <f>IF(ClevelandData[[#This Row],[num]]=0,0,1)</f>
        <v>0</v>
      </c>
    </row>
    <row r="92" spans="1:13" x14ac:dyDescent="0.25">
      <c r="A92" s="1">
        <v>66</v>
      </c>
      <c r="B92" s="1">
        <v>1</v>
      </c>
      <c r="C92" s="1">
        <v>4</v>
      </c>
      <c r="D92" s="1">
        <v>120</v>
      </c>
      <c r="E92" s="1">
        <v>302</v>
      </c>
      <c r="F92" s="1">
        <v>0</v>
      </c>
      <c r="G92" s="1">
        <v>2</v>
      </c>
      <c r="H92" s="1">
        <v>151</v>
      </c>
      <c r="I92" s="1">
        <v>0</v>
      </c>
      <c r="J92" s="1">
        <v>2</v>
      </c>
      <c r="K92" s="1">
        <v>3</v>
      </c>
      <c r="L92" s="1">
        <v>0</v>
      </c>
      <c r="M92" s="1">
        <f>IF(ClevelandData[[#This Row],[num]]=0,0,1)</f>
        <v>0</v>
      </c>
    </row>
    <row r="93" spans="1:13" x14ac:dyDescent="0.25">
      <c r="A93" s="1">
        <v>62</v>
      </c>
      <c r="B93" s="1">
        <v>0</v>
      </c>
      <c r="C93" s="1">
        <v>4</v>
      </c>
      <c r="D93" s="1">
        <v>160</v>
      </c>
      <c r="E93" s="1">
        <v>164</v>
      </c>
      <c r="F93" s="1">
        <v>0</v>
      </c>
      <c r="G93" s="1">
        <v>2</v>
      </c>
      <c r="H93" s="1">
        <v>145</v>
      </c>
      <c r="I93" s="1">
        <v>0</v>
      </c>
      <c r="J93" s="1">
        <v>3</v>
      </c>
      <c r="K93" s="1">
        <v>7</v>
      </c>
      <c r="L93" s="1">
        <v>3</v>
      </c>
      <c r="M93" s="1">
        <f>IF(ClevelandData[[#This Row],[num]]=0,0,1)</f>
        <v>1</v>
      </c>
    </row>
    <row r="94" spans="1:13" x14ac:dyDescent="0.25">
      <c r="A94" s="1">
        <v>62</v>
      </c>
      <c r="B94" s="1">
        <v>1</v>
      </c>
      <c r="C94" s="1">
        <v>3</v>
      </c>
      <c r="D94" s="1">
        <v>130</v>
      </c>
      <c r="E94" s="1">
        <v>231</v>
      </c>
      <c r="F94" s="1">
        <v>0</v>
      </c>
      <c r="G94" s="1">
        <v>0</v>
      </c>
      <c r="H94" s="1">
        <v>146</v>
      </c>
      <c r="I94" s="1">
        <v>0</v>
      </c>
      <c r="J94" s="1">
        <v>2</v>
      </c>
      <c r="K94" s="1">
        <v>7</v>
      </c>
      <c r="L94" s="1">
        <v>0</v>
      </c>
      <c r="M94" s="1">
        <f>IF(ClevelandData[[#This Row],[num]]=0,0,1)</f>
        <v>0</v>
      </c>
    </row>
    <row r="95" spans="1:13" x14ac:dyDescent="0.25">
      <c r="A95" s="1">
        <v>44</v>
      </c>
      <c r="B95" s="1">
        <v>0</v>
      </c>
      <c r="C95" s="1">
        <v>3</v>
      </c>
      <c r="D95" s="1">
        <v>108</v>
      </c>
      <c r="E95" s="1">
        <v>141</v>
      </c>
      <c r="F95" s="1">
        <v>0</v>
      </c>
      <c r="G95" s="1">
        <v>0</v>
      </c>
      <c r="H95" s="1">
        <v>175</v>
      </c>
      <c r="I95" s="1">
        <v>0</v>
      </c>
      <c r="J95" s="1">
        <v>2</v>
      </c>
      <c r="K95" s="1">
        <v>3</v>
      </c>
      <c r="L95" s="1">
        <v>0</v>
      </c>
      <c r="M95" s="1">
        <f>IF(ClevelandData[[#This Row],[num]]=0,0,1)</f>
        <v>0</v>
      </c>
    </row>
    <row r="96" spans="1:13" x14ac:dyDescent="0.25">
      <c r="A96" s="1">
        <v>63</v>
      </c>
      <c r="B96" s="1">
        <v>0</v>
      </c>
      <c r="C96" s="1">
        <v>3</v>
      </c>
      <c r="D96" s="1">
        <v>135</v>
      </c>
      <c r="E96" s="1">
        <v>252</v>
      </c>
      <c r="F96" s="1">
        <v>0</v>
      </c>
      <c r="G96" s="1">
        <v>2</v>
      </c>
      <c r="H96" s="1">
        <v>172</v>
      </c>
      <c r="I96" s="1">
        <v>0</v>
      </c>
      <c r="J96" s="1">
        <v>1</v>
      </c>
      <c r="K96" s="1">
        <v>3</v>
      </c>
      <c r="L96" s="1">
        <v>0</v>
      </c>
      <c r="M96" s="1">
        <f>IF(ClevelandData[[#This Row],[num]]=0,0,1)</f>
        <v>0</v>
      </c>
    </row>
    <row r="97" spans="1:13" x14ac:dyDescent="0.25">
      <c r="A97" s="1">
        <v>52</v>
      </c>
      <c r="B97" s="1">
        <v>1</v>
      </c>
      <c r="C97" s="1">
        <v>4</v>
      </c>
      <c r="D97" s="1">
        <v>128</v>
      </c>
      <c r="E97" s="1">
        <v>255</v>
      </c>
      <c r="F97" s="1">
        <v>0</v>
      </c>
      <c r="G97" s="1">
        <v>0</v>
      </c>
      <c r="H97" s="1">
        <v>161</v>
      </c>
      <c r="I97" s="1">
        <v>1</v>
      </c>
      <c r="J97" s="1">
        <v>1</v>
      </c>
      <c r="K97" s="1">
        <v>7</v>
      </c>
      <c r="L97" s="1">
        <v>1</v>
      </c>
      <c r="M97" s="1">
        <f>IF(ClevelandData[[#This Row],[num]]=0,0,1)</f>
        <v>1</v>
      </c>
    </row>
    <row r="98" spans="1:13" x14ac:dyDescent="0.25">
      <c r="A98" s="1">
        <v>59</v>
      </c>
      <c r="B98" s="1">
        <v>1</v>
      </c>
      <c r="C98" s="1">
        <v>4</v>
      </c>
      <c r="D98" s="1">
        <v>110</v>
      </c>
      <c r="E98" s="1">
        <v>239</v>
      </c>
      <c r="F98" s="1">
        <v>0</v>
      </c>
      <c r="G98" s="1">
        <v>2</v>
      </c>
      <c r="H98" s="1">
        <v>142</v>
      </c>
      <c r="I98" s="1">
        <v>1</v>
      </c>
      <c r="J98" s="1">
        <v>2</v>
      </c>
      <c r="K98" s="1">
        <v>7</v>
      </c>
      <c r="L98" s="1">
        <v>2</v>
      </c>
      <c r="M98" s="1">
        <f>IF(ClevelandData[[#This Row],[num]]=0,0,1)</f>
        <v>1</v>
      </c>
    </row>
    <row r="99" spans="1:13" x14ac:dyDescent="0.25">
      <c r="A99" s="1">
        <v>60</v>
      </c>
      <c r="B99" s="1">
        <v>0</v>
      </c>
      <c r="C99" s="1">
        <v>4</v>
      </c>
      <c r="D99" s="1">
        <v>150</v>
      </c>
      <c r="E99" s="1">
        <v>258</v>
      </c>
      <c r="F99" s="1">
        <v>0</v>
      </c>
      <c r="G99" s="1">
        <v>2</v>
      </c>
      <c r="H99" s="1">
        <v>157</v>
      </c>
      <c r="I99" s="1">
        <v>0</v>
      </c>
      <c r="J99" s="1">
        <v>2</v>
      </c>
      <c r="K99" s="1">
        <v>7</v>
      </c>
      <c r="L99" s="1">
        <v>3</v>
      </c>
      <c r="M99" s="1">
        <f>IF(ClevelandData[[#This Row],[num]]=0,0,1)</f>
        <v>1</v>
      </c>
    </row>
    <row r="100" spans="1:13" x14ac:dyDescent="0.25">
      <c r="A100" s="1">
        <v>52</v>
      </c>
      <c r="B100" s="1">
        <v>1</v>
      </c>
      <c r="C100" s="1">
        <v>2</v>
      </c>
      <c r="D100" s="1">
        <v>134</v>
      </c>
      <c r="E100" s="1">
        <v>201</v>
      </c>
      <c r="F100" s="1">
        <v>0</v>
      </c>
      <c r="G100" s="1">
        <v>0</v>
      </c>
      <c r="H100" s="1">
        <v>158</v>
      </c>
      <c r="I100" s="1">
        <v>0</v>
      </c>
      <c r="J100" s="1">
        <v>1</v>
      </c>
      <c r="K100" s="1">
        <v>3</v>
      </c>
      <c r="L100" s="1">
        <v>0</v>
      </c>
      <c r="M100" s="1">
        <f>IF(ClevelandData[[#This Row],[num]]=0,0,1)</f>
        <v>0</v>
      </c>
    </row>
    <row r="101" spans="1:13" x14ac:dyDescent="0.25">
      <c r="A101" s="1">
        <v>48</v>
      </c>
      <c r="B101" s="1">
        <v>1</v>
      </c>
      <c r="C101" s="1">
        <v>4</v>
      </c>
      <c r="D101" s="1">
        <v>122</v>
      </c>
      <c r="E101" s="1">
        <v>222</v>
      </c>
      <c r="F101" s="1">
        <v>0</v>
      </c>
      <c r="G101" s="1">
        <v>2</v>
      </c>
      <c r="H101" s="1">
        <v>186</v>
      </c>
      <c r="I101" s="1">
        <v>0</v>
      </c>
      <c r="J101" s="1">
        <v>1</v>
      </c>
      <c r="K101" s="1">
        <v>3</v>
      </c>
      <c r="L101" s="1">
        <v>0</v>
      </c>
      <c r="M101" s="1">
        <f>IF(ClevelandData[[#This Row],[num]]=0,0,1)</f>
        <v>0</v>
      </c>
    </row>
    <row r="102" spans="1:13" x14ac:dyDescent="0.25">
      <c r="A102" s="1">
        <v>45</v>
      </c>
      <c r="B102" s="1">
        <v>1</v>
      </c>
      <c r="C102" s="1">
        <v>4</v>
      </c>
      <c r="D102" s="1">
        <v>115</v>
      </c>
      <c r="E102" s="1">
        <v>260</v>
      </c>
      <c r="F102" s="1">
        <v>0</v>
      </c>
      <c r="G102" s="1">
        <v>2</v>
      </c>
      <c r="H102" s="1">
        <v>185</v>
      </c>
      <c r="I102" s="1">
        <v>0</v>
      </c>
      <c r="J102" s="1">
        <v>1</v>
      </c>
      <c r="K102" s="1">
        <v>3</v>
      </c>
      <c r="L102" s="1">
        <v>0</v>
      </c>
      <c r="M102" s="1">
        <f>IF(ClevelandData[[#This Row],[num]]=0,0,1)</f>
        <v>0</v>
      </c>
    </row>
    <row r="103" spans="1:13" x14ac:dyDescent="0.25">
      <c r="A103" s="1">
        <v>34</v>
      </c>
      <c r="B103" s="1">
        <v>1</v>
      </c>
      <c r="C103" s="1">
        <v>1</v>
      </c>
      <c r="D103" s="1">
        <v>118</v>
      </c>
      <c r="E103" s="1">
        <v>182</v>
      </c>
      <c r="F103" s="1">
        <v>0</v>
      </c>
      <c r="G103" s="1">
        <v>2</v>
      </c>
      <c r="H103" s="1">
        <v>174</v>
      </c>
      <c r="I103" s="1">
        <v>0</v>
      </c>
      <c r="J103" s="1">
        <v>1</v>
      </c>
      <c r="K103" s="1">
        <v>3</v>
      </c>
      <c r="L103" s="1">
        <v>0</v>
      </c>
      <c r="M103" s="1">
        <f>IF(ClevelandData[[#This Row],[num]]=0,0,1)</f>
        <v>0</v>
      </c>
    </row>
    <row r="104" spans="1:13" x14ac:dyDescent="0.25">
      <c r="A104" s="1">
        <v>57</v>
      </c>
      <c r="B104" s="1">
        <v>0</v>
      </c>
      <c r="C104" s="1">
        <v>4</v>
      </c>
      <c r="D104" s="1">
        <v>128</v>
      </c>
      <c r="E104" s="1">
        <v>303</v>
      </c>
      <c r="F104" s="1">
        <v>0</v>
      </c>
      <c r="G104" s="1">
        <v>2</v>
      </c>
      <c r="H104" s="1">
        <v>159</v>
      </c>
      <c r="I104" s="1">
        <v>0</v>
      </c>
      <c r="J104" s="1">
        <v>1</v>
      </c>
      <c r="K104" s="1">
        <v>3</v>
      </c>
      <c r="L104" s="1">
        <v>0</v>
      </c>
      <c r="M104" s="1">
        <f>IF(ClevelandData[[#This Row],[num]]=0,0,1)</f>
        <v>0</v>
      </c>
    </row>
    <row r="105" spans="1:13" x14ac:dyDescent="0.25">
      <c r="A105" s="1">
        <v>71</v>
      </c>
      <c r="B105" s="1">
        <v>0</v>
      </c>
      <c r="C105" s="1">
        <v>3</v>
      </c>
      <c r="D105" s="1">
        <v>110</v>
      </c>
      <c r="E105" s="1">
        <v>265</v>
      </c>
      <c r="F105" s="1">
        <v>1</v>
      </c>
      <c r="G105" s="1">
        <v>2</v>
      </c>
      <c r="H105" s="1">
        <v>130</v>
      </c>
      <c r="I105" s="1">
        <v>0</v>
      </c>
      <c r="J105" s="1">
        <v>1</v>
      </c>
      <c r="K105" s="1">
        <v>3</v>
      </c>
      <c r="L105" s="1">
        <v>0</v>
      </c>
      <c r="M105" s="1">
        <f>IF(ClevelandData[[#This Row],[num]]=0,0,1)</f>
        <v>0</v>
      </c>
    </row>
    <row r="106" spans="1:13" x14ac:dyDescent="0.25">
      <c r="A106" s="1">
        <v>49</v>
      </c>
      <c r="B106" s="1">
        <v>1</v>
      </c>
      <c r="C106" s="1">
        <v>3</v>
      </c>
      <c r="D106" s="1">
        <v>120</v>
      </c>
      <c r="E106" s="1">
        <v>188</v>
      </c>
      <c r="F106" s="1">
        <v>0</v>
      </c>
      <c r="G106" s="1">
        <v>0</v>
      </c>
      <c r="H106" s="1">
        <v>139</v>
      </c>
      <c r="I106" s="1">
        <v>0</v>
      </c>
      <c r="J106" s="1">
        <v>2</v>
      </c>
      <c r="K106" s="1">
        <v>7</v>
      </c>
      <c r="L106" s="1">
        <v>3</v>
      </c>
      <c r="M106" s="1">
        <f>IF(ClevelandData[[#This Row],[num]]=0,0,1)</f>
        <v>1</v>
      </c>
    </row>
    <row r="107" spans="1:13" x14ac:dyDescent="0.25">
      <c r="A107" s="1">
        <v>54</v>
      </c>
      <c r="B107" s="1">
        <v>1</v>
      </c>
      <c r="C107" s="1">
        <v>2</v>
      </c>
      <c r="D107" s="1">
        <v>108</v>
      </c>
      <c r="E107" s="1">
        <v>309</v>
      </c>
      <c r="F107" s="1">
        <v>0</v>
      </c>
      <c r="G107" s="1">
        <v>0</v>
      </c>
      <c r="H107" s="1">
        <v>156</v>
      </c>
      <c r="I107" s="1">
        <v>0</v>
      </c>
      <c r="J107" s="1">
        <v>1</v>
      </c>
      <c r="K107" s="1">
        <v>7</v>
      </c>
      <c r="L107" s="1">
        <v>0</v>
      </c>
      <c r="M107" s="1">
        <f>IF(ClevelandData[[#This Row],[num]]=0,0,1)</f>
        <v>0</v>
      </c>
    </row>
    <row r="108" spans="1:13" x14ac:dyDescent="0.25">
      <c r="A108" s="1">
        <v>59</v>
      </c>
      <c r="B108" s="1">
        <v>1</v>
      </c>
      <c r="C108" s="1">
        <v>4</v>
      </c>
      <c r="D108" s="1">
        <v>140</v>
      </c>
      <c r="E108" s="1">
        <v>177</v>
      </c>
      <c r="F108" s="1">
        <v>0</v>
      </c>
      <c r="G108" s="1">
        <v>0</v>
      </c>
      <c r="H108" s="1">
        <v>162</v>
      </c>
      <c r="I108" s="1">
        <v>1</v>
      </c>
      <c r="J108" s="1">
        <v>1</v>
      </c>
      <c r="K108" s="1">
        <v>7</v>
      </c>
      <c r="L108" s="1">
        <v>2</v>
      </c>
      <c r="M108" s="1">
        <f>IF(ClevelandData[[#This Row],[num]]=0,0,1)</f>
        <v>1</v>
      </c>
    </row>
    <row r="109" spans="1:13" x14ac:dyDescent="0.25">
      <c r="A109" s="1">
        <v>57</v>
      </c>
      <c r="B109" s="1">
        <v>1</v>
      </c>
      <c r="C109" s="1">
        <v>3</v>
      </c>
      <c r="D109" s="1">
        <v>128</v>
      </c>
      <c r="E109" s="1">
        <v>229</v>
      </c>
      <c r="F109" s="1">
        <v>0</v>
      </c>
      <c r="G109" s="1">
        <v>2</v>
      </c>
      <c r="H109" s="1">
        <v>150</v>
      </c>
      <c r="I109" s="1">
        <v>0</v>
      </c>
      <c r="J109" s="1">
        <v>2</v>
      </c>
      <c r="K109" s="1">
        <v>7</v>
      </c>
      <c r="L109" s="1">
        <v>1</v>
      </c>
      <c r="M109" s="1">
        <f>IF(ClevelandData[[#This Row],[num]]=0,0,1)</f>
        <v>1</v>
      </c>
    </row>
    <row r="110" spans="1:13" x14ac:dyDescent="0.25">
      <c r="A110" s="1">
        <v>61</v>
      </c>
      <c r="B110" s="1">
        <v>1</v>
      </c>
      <c r="C110" s="1">
        <v>4</v>
      </c>
      <c r="D110" s="1">
        <v>120</v>
      </c>
      <c r="E110" s="1">
        <v>260</v>
      </c>
      <c r="F110" s="1">
        <v>0</v>
      </c>
      <c r="G110" s="1">
        <v>0</v>
      </c>
      <c r="H110" s="1">
        <v>140</v>
      </c>
      <c r="I110" s="1">
        <v>1</v>
      </c>
      <c r="J110" s="1">
        <v>2</v>
      </c>
      <c r="K110" s="1">
        <v>7</v>
      </c>
      <c r="L110" s="1">
        <v>2</v>
      </c>
      <c r="M110" s="1">
        <f>IF(ClevelandData[[#This Row],[num]]=0,0,1)</f>
        <v>1</v>
      </c>
    </row>
    <row r="111" spans="1:13" x14ac:dyDescent="0.25">
      <c r="A111" s="1">
        <v>39</v>
      </c>
      <c r="B111" s="1">
        <v>1</v>
      </c>
      <c r="C111" s="1">
        <v>4</v>
      </c>
      <c r="D111" s="1">
        <v>118</v>
      </c>
      <c r="E111" s="1">
        <v>219</v>
      </c>
      <c r="F111" s="1">
        <v>0</v>
      </c>
      <c r="G111" s="1">
        <v>0</v>
      </c>
      <c r="H111" s="1">
        <v>140</v>
      </c>
      <c r="I111" s="1">
        <v>0</v>
      </c>
      <c r="J111" s="1">
        <v>2</v>
      </c>
      <c r="K111" s="1">
        <v>7</v>
      </c>
      <c r="L111" s="1">
        <v>3</v>
      </c>
      <c r="M111" s="1">
        <f>IF(ClevelandData[[#This Row],[num]]=0,0,1)</f>
        <v>1</v>
      </c>
    </row>
    <row r="112" spans="1:13" x14ac:dyDescent="0.25">
      <c r="A112" s="1">
        <v>61</v>
      </c>
      <c r="B112" s="1">
        <v>0</v>
      </c>
      <c r="C112" s="1">
        <v>4</v>
      </c>
      <c r="D112" s="1">
        <v>145</v>
      </c>
      <c r="E112" s="1">
        <v>307</v>
      </c>
      <c r="F112" s="1">
        <v>0</v>
      </c>
      <c r="G112" s="1">
        <v>2</v>
      </c>
      <c r="H112" s="1">
        <v>146</v>
      </c>
      <c r="I112" s="1">
        <v>1</v>
      </c>
      <c r="J112" s="1">
        <v>2</v>
      </c>
      <c r="K112" s="1">
        <v>7</v>
      </c>
      <c r="L112" s="1">
        <v>1</v>
      </c>
      <c r="M112" s="1">
        <f>IF(ClevelandData[[#This Row],[num]]=0,0,1)</f>
        <v>1</v>
      </c>
    </row>
    <row r="113" spans="1:13" x14ac:dyDescent="0.25">
      <c r="A113" s="1">
        <v>56</v>
      </c>
      <c r="B113" s="1">
        <v>1</v>
      </c>
      <c r="C113" s="1">
        <v>4</v>
      </c>
      <c r="D113" s="1">
        <v>125</v>
      </c>
      <c r="E113" s="1">
        <v>249</v>
      </c>
      <c r="F113" s="1">
        <v>1</v>
      </c>
      <c r="G113" s="1">
        <v>2</v>
      </c>
      <c r="H113" s="1">
        <v>144</v>
      </c>
      <c r="I113" s="1">
        <v>1</v>
      </c>
      <c r="J113" s="1">
        <v>2</v>
      </c>
      <c r="K113" s="1">
        <v>3</v>
      </c>
      <c r="L113" s="1">
        <v>1</v>
      </c>
      <c r="M113" s="1">
        <f>IF(ClevelandData[[#This Row],[num]]=0,0,1)</f>
        <v>1</v>
      </c>
    </row>
    <row r="114" spans="1:13" x14ac:dyDescent="0.25">
      <c r="A114" s="1">
        <v>52</v>
      </c>
      <c r="B114" s="1">
        <v>1</v>
      </c>
      <c r="C114" s="1">
        <v>1</v>
      </c>
      <c r="D114" s="1">
        <v>118</v>
      </c>
      <c r="E114" s="1">
        <v>186</v>
      </c>
      <c r="F114" s="1">
        <v>0</v>
      </c>
      <c r="G114" s="1">
        <v>2</v>
      </c>
      <c r="H114" s="1">
        <v>190</v>
      </c>
      <c r="I114" s="1">
        <v>0</v>
      </c>
      <c r="J114" s="1">
        <v>2</v>
      </c>
      <c r="K114" s="1">
        <v>6</v>
      </c>
      <c r="L114" s="1">
        <v>0</v>
      </c>
      <c r="M114" s="1">
        <f>IF(ClevelandData[[#This Row],[num]]=0,0,1)</f>
        <v>0</v>
      </c>
    </row>
    <row r="115" spans="1:13" x14ac:dyDescent="0.25">
      <c r="A115" s="1">
        <v>43</v>
      </c>
      <c r="B115" s="1">
        <v>0</v>
      </c>
      <c r="C115" s="1">
        <v>4</v>
      </c>
      <c r="D115" s="1">
        <v>132</v>
      </c>
      <c r="E115" s="1">
        <v>341</v>
      </c>
      <c r="F115" s="1">
        <v>1</v>
      </c>
      <c r="G115" s="1">
        <v>2</v>
      </c>
      <c r="H115" s="1">
        <v>136</v>
      </c>
      <c r="I115" s="1">
        <v>1</v>
      </c>
      <c r="J115" s="1">
        <v>2</v>
      </c>
      <c r="K115" s="1">
        <v>7</v>
      </c>
      <c r="L115" s="1">
        <v>2</v>
      </c>
      <c r="M115" s="1">
        <f>IF(ClevelandData[[#This Row],[num]]=0,0,1)</f>
        <v>1</v>
      </c>
    </row>
    <row r="116" spans="1:13" x14ac:dyDescent="0.25">
      <c r="A116" s="1">
        <v>62</v>
      </c>
      <c r="B116" s="1">
        <v>0</v>
      </c>
      <c r="C116" s="1">
        <v>3</v>
      </c>
      <c r="D116" s="1">
        <v>130</v>
      </c>
      <c r="E116" s="1">
        <v>263</v>
      </c>
      <c r="F116" s="1">
        <v>0</v>
      </c>
      <c r="G116" s="1">
        <v>0</v>
      </c>
      <c r="H116" s="1">
        <v>97</v>
      </c>
      <c r="I116" s="1">
        <v>0</v>
      </c>
      <c r="J116" s="1">
        <v>2</v>
      </c>
      <c r="K116" s="1">
        <v>7</v>
      </c>
      <c r="L116" s="1">
        <v>2</v>
      </c>
      <c r="M116" s="1">
        <f>IF(ClevelandData[[#This Row],[num]]=0,0,1)</f>
        <v>1</v>
      </c>
    </row>
    <row r="117" spans="1:13" x14ac:dyDescent="0.25">
      <c r="A117" s="1">
        <v>41</v>
      </c>
      <c r="B117" s="1">
        <v>1</v>
      </c>
      <c r="C117" s="1">
        <v>2</v>
      </c>
      <c r="D117" s="1">
        <v>135</v>
      </c>
      <c r="E117" s="1">
        <v>203</v>
      </c>
      <c r="F117" s="1">
        <v>0</v>
      </c>
      <c r="G117" s="1">
        <v>0</v>
      </c>
      <c r="H117" s="1">
        <v>132</v>
      </c>
      <c r="I117" s="1">
        <v>0</v>
      </c>
      <c r="J117" s="1">
        <v>2</v>
      </c>
      <c r="K117" s="1">
        <v>6</v>
      </c>
      <c r="L117" s="1">
        <v>0</v>
      </c>
      <c r="M117" s="1">
        <f>IF(ClevelandData[[#This Row],[num]]=0,0,1)</f>
        <v>0</v>
      </c>
    </row>
    <row r="118" spans="1:13" x14ac:dyDescent="0.25">
      <c r="A118" s="1">
        <v>58</v>
      </c>
      <c r="B118" s="1">
        <v>1</v>
      </c>
      <c r="C118" s="1">
        <v>3</v>
      </c>
      <c r="D118" s="1">
        <v>140</v>
      </c>
      <c r="E118" s="1">
        <v>211</v>
      </c>
      <c r="F118" s="1">
        <v>1</v>
      </c>
      <c r="G118" s="1">
        <v>2</v>
      </c>
      <c r="H118" s="1">
        <v>165</v>
      </c>
      <c r="I118" s="1">
        <v>0</v>
      </c>
      <c r="J118" s="1">
        <v>1</v>
      </c>
      <c r="K118" s="1">
        <v>3</v>
      </c>
      <c r="L118" s="1">
        <v>0</v>
      </c>
      <c r="M118" s="1">
        <f>IF(ClevelandData[[#This Row],[num]]=0,0,1)</f>
        <v>0</v>
      </c>
    </row>
    <row r="119" spans="1:13" x14ac:dyDescent="0.25">
      <c r="A119" s="1">
        <v>35</v>
      </c>
      <c r="B119" s="1">
        <v>0</v>
      </c>
      <c r="C119" s="1">
        <v>4</v>
      </c>
      <c r="D119" s="1">
        <v>138</v>
      </c>
      <c r="E119" s="1">
        <v>183</v>
      </c>
      <c r="F119" s="1">
        <v>0</v>
      </c>
      <c r="G119" s="1">
        <v>0</v>
      </c>
      <c r="H119" s="1">
        <v>182</v>
      </c>
      <c r="I119" s="1">
        <v>0</v>
      </c>
      <c r="J119" s="1">
        <v>1</v>
      </c>
      <c r="K119" s="1">
        <v>3</v>
      </c>
      <c r="L119" s="1">
        <v>0</v>
      </c>
      <c r="M119" s="1">
        <f>IF(ClevelandData[[#This Row],[num]]=0,0,1)</f>
        <v>0</v>
      </c>
    </row>
    <row r="120" spans="1:13" x14ac:dyDescent="0.25">
      <c r="A120" s="1">
        <v>63</v>
      </c>
      <c r="B120" s="1">
        <v>1</v>
      </c>
      <c r="C120" s="1">
        <v>4</v>
      </c>
      <c r="D120" s="1">
        <v>130</v>
      </c>
      <c r="E120" s="1">
        <v>330</v>
      </c>
      <c r="F120" s="1">
        <v>1</v>
      </c>
      <c r="G120" s="1">
        <v>2</v>
      </c>
      <c r="H120" s="1">
        <v>132</v>
      </c>
      <c r="I120" s="1">
        <v>1</v>
      </c>
      <c r="J120" s="1">
        <v>1</v>
      </c>
      <c r="K120" s="1">
        <v>7</v>
      </c>
      <c r="L120" s="1">
        <v>3</v>
      </c>
      <c r="M120" s="1">
        <f>IF(ClevelandData[[#This Row],[num]]=0,0,1)</f>
        <v>1</v>
      </c>
    </row>
    <row r="121" spans="1:13" x14ac:dyDescent="0.25">
      <c r="A121" s="1">
        <v>65</v>
      </c>
      <c r="B121" s="1">
        <v>1</v>
      </c>
      <c r="C121" s="1">
        <v>4</v>
      </c>
      <c r="D121" s="1">
        <v>135</v>
      </c>
      <c r="E121" s="1">
        <v>254</v>
      </c>
      <c r="F121" s="1">
        <v>0</v>
      </c>
      <c r="G121" s="1">
        <v>2</v>
      </c>
      <c r="H121" s="1">
        <v>127</v>
      </c>
      <c r="I121" s="1">
        <v>0</v>
      </c>
      <c r="J121" s="1">
        <v>2</v>
      </c>
      <c r="K121" s="1">
        <v>7</v>
      </c>
      <c r="L121" s="1">
        <v>2</v>
      </c>
      <c r="M121" s="1">
        <f>IF(ClevelandData[[#This Row],[num]]=0,0,1)</f>
        <v>1</v>
      </c>
    </row>
    <row r="122" spans="1:13" x14ac:dyDescent="0.25">
      <c r="A122" s="1">
        <v>48</v>
      </c>
      <c r="B122" s="1">
        <v>1</v>
      </c>
      <c r="C122" s="1">
        <v>4</v>
      </c>
      <c r="D122" s="1">
        <v>130</v>
      </c>
      <c r="E122" s="1">
        <v>256</v>
      </c>
      <c r="F122" s="1">
        <v>1</v>
      </c>
      <c r="G122" s="1">
        <v>2</v>
      </c>
      <c r="H122" s="1">
        <v>150</v>
      </c>
      <c r="I122" s="1">
        <v>1</v>
      </c>
      <c r="J122" s="1">
        <v>1</v>
      </c>
      <c r="K122" s="1">
        <v>7</v>
      </c>
      <c r="L122" s="1">
        <v>3</v>
      </c>
      <c r="M122" s="1">
        <f>IF(ClevelandData[[#This Row],[num]]=0,0,1)</f>
        <v>1</v>
      </c>
    </row>
    <row r="123" spans="1:13" x14ac:dyDescent="0.25">
      <c r="A123" s="1">
        <v>63</v>
      </c>
      <c r="B123" s="1">
        <v>0</v>
      </c>
      <c r="C123" s="1">
        <v>4</v>
      </c>
      <c r="D123" s="1">
        <v>150</v>
      </c>
      <c r="E123" s="1">
        <v>407</v>
      </c>
      <c r="F123" s="1">
        <v>0</v>
      </c>
      <c r="G123" s="1">
        <v>2</v>
      </c>
      <c r="H123" s="1">
        <v>154</v>
      </c>
      <c r="I123" s="1">
        <v>0</v>
      </c>
      <c r="J123" s="1">
        <v>2</v>
      </c>
      <c r="K123" s="1">
        <v>7</v>
      </c>
      <c r="L123" s="1">
        <v>4</v>
      </c>
      <c r="M123" s="1">
        <f>IF(ClevelandData[[#This Row],[num]]=0,0,1)</f>
        <v>1</v>
      </c>
    </row>
    <row r="124" spans="1:13" x14ac:dyDescent="0.25">
      <c r="A124" s="1">
        <v>51</v>
      </c>
      <c r="B124" s="1">
        <v>1</v>
      </c>
      <c r="C124" s="1">
        <v>3</v>
      </c>
      <c r="D124" s="1">
        <v>100</v>
      </c>
      <c r="E124" s="1">
        <v>222</v>
      </c>
      <c r="F124" s="1">
        <v>0</v>
      </c>
      <c r="G124" s="1">
        <v>0</v>
      </c>
      <c r="H124" s="1">
        <v>143</v>
      </c>
      <c r="I124" s="1">
        <v>1</v>
      </c>
      <c r="J124" s="1">
        <v>2</v>
      </c>
      <c r="K124" s="1">
        <v>3</v>
      </c>
      <c r="L124" s="1">
        <v>0</v>
      </c>
      <c r="M124" s="1">
        <f>IF(ClevelandData[[#This Row],[num]]=0,0,1)</f>
        <v>0</v>
      </c>
    </row>
    <row r="125" spans="1:13" x14ac:dyDescent="0.25">
      <c r="A125" s="1">
        <v>55</v>
      </c>
      <c r="B125" s="1">
        <v>1</v>
      </c>
      <c r="C125" s="1">
        <v>4</v>
      </c>
      <c r="D125" s="1">
        <v>140</v>
      </c>
      <c r="E125" s="1">
        <v>217</v>
      </c>
      <c r="F125" s="1">
        <v>0</v>
      </c>
      <c r="G125" s="1">
        <v>0</v>
      </c>
      <c r="H125" s="1">
        <v>111</v>
      </c>
      <c r="I125" s="1">
        <v>1</v>
      </c>
      <c r="J125" s="1">
        <v>3</v>
      </c>
      <c r="K125" s="1">
        <v>7</v>
      </c>
      <c r="L125" s="1">
        <v>3</v>
      </c>
      <c r="M125" s="1">
        <f>IF(ClevelandData[[#This Row],[num]]=0,0,1)</f>
        <v>1</v>
      </c>
    </row>
    <row r="126" spans="1:13" x14ac:dyDescent="0.25">
      <c r="A126" s="1">
        <v>65</v>
      </c>
      <c r="B126" s="1">
        <v>1</v>
      </c>
      <c r="C126" s="1">
        <v>1</v>
      </c>
      <c r="D126" s="1">
        <v>138</v>
      </c>
      <c r="E126" s="1">
        <v>282</v>
      </c>
      <c r="F126" s="1">
        <v>1</v>
      </c>
      <c r="G126" s="1">
        <v>2</v>
      </c>
      <c r="H126" s="1">
        <v>174</v>
      </c>
      <c r="I126" s="1">
        <v>0</v>
      </c>
      <c r="J126" s="1">
        <v>2</v>
      </c>
      <c r="K126" s="1">
        <v>3</v>
      </c>
      <c r="L126" s="1">
        <v>1</v>
      </c>
      <c r="M126" s="1">
        <f>IF(ClevelandData[[#This Row],[num]]=0,0,1)</f>
        <v>1</v>
      </c>
    </row>
    <row r="127" spans="1:13" x14ac:dyDescent="0.25">
      <c r="A127" s="1">
        <v>45</v>
      </c>
      <c r="B127" s="1">
        <v>0</v>
      </c>
      <c r="C127" s="1">
        <v>2</v>
      </c>
      <c r="D127" s="1">
        <v>130</v>
      </c>
      <c r="E127" s="1">
        <v>234</v>
      </c>
      <c r="F127" s="1">
        <v>0</v>
      </c>
      <c r="G127" s="1">
        <v>2</v>
      </c>
      <c r="H127" s="1">
        <v>175</v>
      </c>
      <c r="I127" s="1">
        <v>0</v>
      </c>
      <c r="J127" s="1">
        <v>2</v>
      </c>
      <c r="K127" s="1">
        <v>3</v>
      </c>
      <c r="L127" s="1">
        <v>0</v>
      </c>
      <c r="M127" s="1">
        <f>IF(ClevelandData[[#This Row],[num]]=0,0,1)</f>
        <v>0</v>
      </c>
    </row>
    <row r="128" spans="1:13" x14ac:dyDescent="0.25">
      <c r="A128" s="1">
        <v>56</v>
      </c>
      <c r="B128" s="1">
        <v>0</v>
      </c>
      <c r="C128" s="1">
        <v>4</v>
      </c>
      <c r="D128" s="1">
        <v>200</v>
      </c>
      <c r="E128" s="1">
        <v>288</v>
      </c>
      <c r="F128" s="1">
        <v>1</v>
      </c>
      <c r="G128" s="1">
        <v>2</v>
      </c>
      <c r="H128" s="1">
        <v>133</v>
      </c>
      <c r="I128" s="1">
        <v>1</v>
      </c>
      <c r="J128" s="1">
        <v>3</v>
      </c>
      <c r="K128" s="1">
        <v>7</v>
      </c>
      <c r="L128" s="1">
        <v>3</v>
      </c>
      <c r="M128" s="1">
        <f>IF(ClevelandData[[#This Row],[num]]=0,0,1)</f>
        <v>1</v>
      </c>
    </row>
    <row r="129" spans="1:13" x14ac:dyDescent="0.25">
      <c r="A129" s="1">
        <v>54</v>
      </c>
      <c r="B129" s="1">
        <v>1</v>
      </c>
      <c r="C129" s="1">
        <v>4</v>
      </c>
      <c r="D129" s="1">
        <v>110</v>
      </c>
      <c r="E129" s="1">
        <v>239</v>
      </c>
      <c r="F129" s="1">
        <v>0</v>
      </c>
      <c r="G129" s="1">
        <v>0</v>
      </c>
      <c r="H129" s="1">
        <v>126</v>
      </c>
      <c r="I129" s="1">
        <v>1</v>
      </c>
      <c r="J129" s="1">
        <v>2</v>
      </c>
      <c r="K129" s="1">
        <v>7</v>
      </c>
      <c r="L129" s="1">
        <v>3</v>
      </c>
      <c r="M129" s="1">
        <f>IF(ClevelandData[[#This Row],[num]]=0,0,1)</f>
        <v>1</v>
      </c>
    </row>
    <row r="130" spans="1:13" x14ac:dyDescent="0.25">
      <c r="A130" s="1">
        <v>44</v>
      </c>
      <c r="B130" s="1">
        <v>1</v>
      </c>
      <c r="C130" s="1">
        <v>2</v>
      </c>
      <c r="D130" s="1">
        <v>120</v>
      </c>
      <c r="E130" s="1">
        <v>220</v>
      </c>
      <c r="F130" s="1">
        <v>0</v>
      </c>
      <c r="G130" s="1">
        <v>0</v>
      </c>
      <c r="H130" s="1">
        <v>170</v>
      </c>
      <c r="I130" s="1">
        <v>0</v>
      </c>
      <c r="J130" s="1">
        <v>1</v>
      </c>
      <c r="K130" s="1">
        <v>3</v>
      </c>
      <c r="L130" s="1">
        <v>0</v>
      </c>
      <c r="M130" s="1">
        <f>IF(ClevelandData[[#This Row],[num]]=0,0,1)</f>
        <v>0</v>
      </c>
    </row>
    <row r="131" spans="1:13" x14ac:dyDescent="0.25">
      <c r="A131" s="1">
        <v>62</v>
      </c>
      <c r="B131" s="1">
        <v>0</v>
      </c>
      <c r="C131" s="1">
        <v>4</v>
      </c>
      <c r="D131" s="1">
        <v>124</v>
      </c>
      <c r="E131" s="1">
        <v>209</v>
      </c>
      <c r="F131" s="1">
        <v>0</v>
      </c>
      <c r="G131" s="1">
        <v>0</v>
      </c>
      <c r="H131" s="1">
        <v>163</v>
      </c>
      <c r="I131" s="1">
        <v>0</v>
      </c>
      <c r="J131" s="1">
        <v>1</v>
      </c>
      <c r="K131" s="1">
        <v>3</v>
      </c>
      <c r="L131" s="1">
        <v>0</v>
      </c>
      <c r="M131" s="1">
        <f>IF(ClevelandData[[#This Row],[num]]=0,0,1)</f>
        <v>0</v>
      </c>
    </row>
    <row r="132" spans="1:13" x14ac:dyDescent="0.25">
      <c r="A132" s="1">
        <v>54</v>
      </c>
      <c r="B132" s="1">
        <v>1</v>
      </c>
      <c r="C132" s="1">
        <v>3</v>
      </c>
      <c r="D132" s="1">
        <v>120</v>
      </c>
      <c r="E132" s="1">
        <v>258</v>
      </c>
      <c r="F132" s="1">
        <v>0</v>
      </c>
      <c r="G132" s="1">
        <v>2</v>
      </c>
      <c r="H132" s="1">
        <v>147</v>
      </c>
      <c r="I132" s="1">
        <v>0</v>
      </c>
      <c r="J132" s="1">
        <v>2</v>
      </c>
      <c r="K132" s="1">
        <v>7</v>
      </c>
      <c r="L132" s="1">
        <v>0</v>
      </c>
      <c r="M132" s="1">
        <f>IF(ClevelandData[[#This Row],[num]]=0,0,1)</f>
        <v>0</v>
      </c>
    </row>
    <row r="133" spans="1:13" x14ac:dyDescent="0.25">
      <c r="A133" s="1">
        <v>51</v>
      </c>
      <c r="B133" s="1">
        <v>1</v>
      </c>
      <c r="C133" s="1">
        <v>3</v>
      </c>
      <c r="D133" s="1">
        <v>94</v>
      </c>
      <c r="E133" s="1">
        <v>227</v>
      </c>
      <c r="F133" s="1">
        <v>0</v>
      </c>
      <c r="G133" s="1">
        <v>0</v>
      </c>
      <c r="H133" s="1">
        <v>154</v>
      </c>
      <c r="I133" s="1">
        <v>1</v>
      </c>
      <c r="J133" s="1">
        <v>1</v>
      </c>
      <c r="K133" s="1">
        <v>7</v>
      </c>
      <c r="L133" s="1">
        <v>0</v>
      </c>
      <c r="M133" s="1">
        <f>IF(ClevelandData[[#This Row],[num]]=0,0,1)</f>
        <v>0</v>
      </c>
    </row>
    <row r="134" spans="1:13" x14ac:dyDescent="0.25">
      <c r="A134" s="1">
        <v>29</v>
      </c>
      <c r="B134" s="1">
        <v>1</v>
      </c>
      <c r="C134" s="1">
        <v>2</v>
      </c>
      <c r="D134" s="1">
        <v>130</v>
      </c>
      <c r="E134" s="1">
        <v>204</v>
      </c>
      <c r="F134" s="1">
        <v>0</v>
      </c>
      <c r="G134" s="1">
        <v>2</v>
      </c>
      <c r="H134" s="1">
        <v>202</v>
      </c>
      <c r="I134" s="1">
        <v>0</v>
      </c>
      <c r="J134" s="1">
        <v>1</v>
      </c>
      <c r="K134" s="1">
        <v>3</v>
      </c>
      <c r="L134" s="1">
        <v>0</v>
      </c>
      <c r="M134" s="1">
        <f>IF(ClevelandData[[#This Row],[num]]=0,0,1)</f>
        <v>0</v>
      </c>
    </row>
    <row r="135" spans="1:13" x14ac:dyDescent="0.25">
      <c r="A135" s="1">
        <v>51</v>
      </c>
      <c r="B135" s="1">
        <v>1</v>
      </c>
      <c r="C135" s="1">
        <v>4</v>
      </c>
      <c r="D135" s="1">
        <v>140</v>
      </c>
      <c r="E135" s="1">
        <v>261</v>
      </c>
      <c r="F135" s="1">
        <v>0</v>
      </c>
      <c r="G135" s="1">
        <v>2</v>
      </c>
      <c r="H135" s="1">
        <v>186</v>
      </c>
      <c r="I135" s="1">
        <v>1</v>
      </c>
      <c r="J135" s="1">
        <v>1</v>
      </c>
      <c r="K135" s="1">
        <v>3</v>
      </c>
      <c r="L135" s="1">
        <v>0</v>
      </c>
      <c r="M135" s="1">
        <f>IF(ClevelandData[[#This Row],[num]]=0,0,1)</f>
        <v>0</v>
      </c>
    </row>
    <row r="136" spans="1:13" x14ac:dyDescent="0.25">
      <c r="A136" s="1">
        <v>43</v>
      </c>
      <c r="B136" s="1">
        <v>0</v>
      </c>
      <c r="C136" s="1">
        <v>3</v>
      </c>
      <c r="D136" s="1">
        <v>122</v>
      </c>
      <c r="E136" s="1">
        <v>213</v>
      </c>
      <c r="F136" s="1">
        <v>0</v>
      </c>
      <c r="G136" s="1">
        <v>0</v>
      </c>
      <c r="H136" s="1">
        <v>165</v>
      </c>
      <c r="I136" s="1">
        <v>0</v>
      </c>
      <c r="J136" s="1">
        <v>2</v>
      </c>
      <c r="K136" s="1">
        <v>3</v>
      </c>
      <c r="L136" s="1">
        <v>0</v>
      </c>
      <c r="M136" s="1">
        <f>IF(ClevelandData[[#This Row],[num]]=0,0,1)</f>
        <v>0</v>
      </c>
    </row>
    <row r="137" spans="1:13" x14ac:dyDescent="0.25">
      <c r="A137" s="1">
        <v>55</v>
      </c>
      <c r="B137" s="1">
        <v>0</v>
      </c>
      <c r="C137" s="1">
        <v>2</v>
      </c>
      <c r="D137" s="1">
        <v>135</v>
      </c>
      <c r="E137" s="1">
        <v>250</v>
      </c>
      <c r="F137" s="1">
        <v>0</v>
      </c>
      <c r="G137" s="1">
        <v>2</v>
      </c>
      <c r="H137" s="1">
        <v>161</v>
      </c>
      <c r="I137" s="1">
        <v>0</v>
      </c>
      <c r="J137" s="1">
        <v>2</v>
      </c>
      <c r="K137" s="1">
        <v>3</v>
      </c>
      <c r="L137" s="1">
        <v>0</v>
      </c>
      <c r="M137" s="1">
        <f>IF(ClevelandData[[#This Row],[num]]=0,0,1)</f>
        <v>0</v>
      </c>
    </row>
    <row r="138" spans="1:13" x14ac:dyDescent="0.25">
      <c r="A138" s="1">
        <v>70</v>
      </c>
      <c r="B138" s="1">
        <v>1</v>
      </c>
      <c r="C138" s="1">
        <v>4</v>
      </c>
      <c r="D138" s="1">
        <v>145</v>
      </c>
      <c r="E138" s="1">
        <v>174</v>
      </c>
      <c r="F138" s="1">
        <v>0</v>
      </c>
      <c r="G138" s="1">
        <v>0</v>
      </c>
      <c r="H138" s="1">
        <v>125</v>
      </c>
      <c r="I138" s="1">
        <v>1</v>
      </c>
      <c r="J138" s="1">
        <v>3</v>
      </c>
      <c r="K138" s="1">
        <v>7</v>
      </c>
      <c r="L138" s="1">
        <v>4</v>
      </c>
      <c r="M138" s="1">
        <f>IF(ClevelandData[[#This Row],[num]]=0,0,1)</f>
        <v>1</v>
      </c>
    </row>
    <row r="139" spans="1:13" x14ac:dyDescent="0.25">
      <c r="A139" s="1">
        <v>62</v>
      </c>
      <c r="B139" s="1">
        <v>1</v>
      </c>
      <c r="C139" s="1">
        <v>2</v>
      </c>
      <c r="D139" s="1">
        <v>120</v>
      </c>
      <c r="E139" s="1">
        <v>281</v>
      </c>
      <c r="F139" s="1">
        <v>0</v>
      </c>
      <c r="G139" s="1">
        <v>2</v>
      </c>
      <c r="H139" s="1">
        <v>103</v>
      </c>
      <c r="I139" s="1">
        <v>0</v>
      </c>
      <c r="J139" s="1">
        <v>2</v>
      </c>
      <c r="K139" s="1">
        <v>7</v>
      </c>
      <c r="L139" s="1">
        <v>3</v>
      </c>
      <c r="M139" s="1">
        <f>IF(ClevelandData[[#This Row],[num]]=0,0,1)</f>
        <v>1</v>
      </c>
    </row>
    <row r="140" spans="1:13" x14ac:dyDescent="0.25">
      <c r="A140" s="1">
        <v>35</v>
      </c>
      <c r="B140" s="1">
        <v>1</v>
      </c>
      <c r="C140" s="1">
        <v>4</v>
      </c>
      <c r="D140" s="1">
        <v>120</v>
      </c>
      <c r="E140" s="1">
        <v>198</v>
      </c>
      <c r="F140" s="1">
        <v>0</v>
      </c>
      <c r="G140" s="1">
        <v>0</v>
      </c>
      <c r="H140" s="1">
        <v>130</v>
      </c>
      <c r="I140" s="1">
        <v>1</v>
      </c>
      <c r="J140" s="1">
        <v>2</v>
      </c>
      <c r="K140" s="1">
        <v>7</v>
      </c>
      <c r="L140" s="1">
        <v>1</v>
      </c>
      <c r="M140" s="1">
        <f>IF(ClevelandData[[#This Row],[num]]=0,0,1)</f>
        <v>1</v>
      </c>
    </row>
    <row r="141" spans="1:13" x14ac:dyDescent="0.25">
      <c r="A141" s="1">
        <v>51</v>
      </c>
      <c r="B141" s="1">
        <v>1</v>
      </c>
      <c r="C141" s="1">
        <v>3</v>
      </c>
      <c r="D141" s="1">
        <v>125</v>
      </c>
      <c r="E141" s="1">
        <v>245</v>
      </c>
      <c r="F141" s="1">
        <v>1</v>
      </c>
      <c r="G141" s="1">
        <v>2</v>
      </c>
      <c r="H141" s="1">
        <v>166</v>
      </c>
      <c r="I141" s="1">
        <v>0</v>
      </c>
      <c r="J141" s="1">
        <v>2</v>
      </c>
      <c r="K141" s="1">
        <v>3</v>
      </c>
      <c r="L141" s="1">
        <v>0</v>
      </c>
      <c r="M141" s="1">
        <f>IF(ClevelandData[[#This Row],[num]]=0,0,1)</f>
        <v>0</v>
      </c>
    </row>
    <row r="142" spans="1:13" x14ac:dyDescent="0.25">
      <c r="A142" s="1">
        <v>59</v>
      </c>
      <c r="B142" s="1">
        <v>1</v>
      </c>
      <c r="C142" s="1">
        <v>2</v>
      </c>
      <c r="D142" s="1">
        <v>140</v>
      </c>
      <c r="E142" s="1">
        <v>221</v>
      </c>
      <c r="F142" s="1">
        <v>0</v>
      </c>
      <c r="G142" s="1">
        <v>0</v>
      </c>
      <c r="H142" s="1">
        <v>164</v>
      </c>
      <c r="I142" s="1">
        <v>1</v>
      </c>
      <c r="J142" s="1">
        <v>1</v>
      </c>
      <c r="K142" s="1">
        <v>3</v>
      </c>
      <c r="L142" s="1">
        <v>0</v>
      </c>
      <c r="M142" s="1">
        <f>IF(ClevelandData[[#This Row],[num]]=0,0,1)</f>
        <v>0</v>
      </c>
    </row>
    <row r="143" spans="1:13" x14ac:dyDescent="0.25">
      <c r="A143" s="1">
        <v>59</v>
      </c>
      <c r="B143" s="1">
        <v>1</v>
      </c>
      <c r="C143" s="1">
        <v>1</v>
      </c>
      <c r="D143" s="1">
        <v>170</v>
      </c>
      <c r="E143" s="1">
        <v>288</v>
      </c>
      <c r="F143" s="1">
        <v>0</v>
      </c>
      <c r="G143" s="1">
        <v>2</v>
      </c>
      <c r="H143" s="1">
        <v>159</v>
      </c>
      <c r="I143" s="1">
        <v>0</v>
      </c>
      <c r="J143" s="1">
        <v>2</v>
      </c>
      <c r="K143" s="1">
        <v>7</v>
      </c>
      <c r="L143" s="1">
        <v>1</v>
      </c>
      <c r="M143" s="1">
        <f>IF(ClevelandData[[#This Row],[num]]=0,0,1)</f>
        <v>1</v>
      </c>
    </row>
    <row r="144" spans="1:13" x14ac:dyDescent="0.25">
      <c r="A144" s="1">
        <v>52</v>
      </c>
      <c r="B144" s="1">
        <v>1</v>
      </c>
      <c r="C144" s="1">
        <v>2</v>
      </c>
      <c r="D144" s="1">
        <v>128</v>
      </c>
      <c r="E144" s="1">
        <v>205</v>
      </c>
      <c r="F144" s="1">
        <v>1</v>
      </c>
      <c r="G144" s="1">
        <v>0</v>
      </c>
      <c r="H144" s="1">
        <v>184</v>
      </c>
      <c r="I144" s="1">
        <v>0</v>
      </c>
      <c r="J144" s="1">
        <v>1</v>
      </c>
      <c r="K144" s="1">
        <v>3</v>
      </c>
      <c r="L144" s="1">
        <v>0</v>
      </c>
      <c r="M144" s="1">
        <f>IF(ClevelandData[[#This Row],[num]]=0,0,1)</f>
        <v>0</v>
      </c>
    </row>
    <row r="145" spans="1:13" x14ac:dyDescent="0.25">
      <c r="A145" s="1">
        <v>64</v>
      </c>
      <c r="B145" s="1">
        <v>1</v>
      </c>
      <c r="C145" s="1">
        <v>3</v>
      </c>
      <c r="D145" s="1">
        <v>125</v>
      </c>
      <c r="E145" s="1">
        <v>309</v>
      </c>
      <c r="F145" s="1">
        <v>0</v>
      </c>
      <c r="G145" s="1">
        <v>0</v>
      </c>
      <c r="H145" s="1">
        <v>131</v>
      </c>
      <c r="I145" s="1">
        <v>1</v>
      </c>
      <c r="J145" s="1">
        <v>2</v>
      </c>
      <c r="K145" s="1">
        <v>7</v>
      </c>
      <c r="L145" s="1">
        <v>1</v>
      </c>
      <c r="M145" s="1">
        <f>IF(ClevelandData[[#This Row],[num]]=0,0,1)</f>
        <v>1</v>
      </c>
    </row>
    <row r="146" spans="1:13" x14ac:dyDescent="0.25">
      <c r="A146" s="1">
        <v>58</v>
      </c>
      <c r="B146" s="1">
        <v>1</v>
      </c>
      <c r="C146" s="1">
        <v>3</v>
      </c>
      <c r="D146" s="1">
        <v>105</v>
      </c>
      <c r="E146" s="1">
        <v>240</v>
      </c>
      <c r="F146" s="1">
        <v>0</v>
      </c>
      <c r="G146" s="1">
        <v>2</v>
      </c>
      <c r="H146" s="1">
        <v>154</v>
      </c>
      <c r="I146" s="1">
        <v>1</v>
      </c>
      <c r="J146" s="1">
        <v>2</v>
      </c>
      <c r="K146" s="1">
        <v>7</v>
      </c>
      <c r="L146" s="1">
        <v>0</v>
      </c>
      <c r="M146" s="1">
        <f>IF(ClevelandData[[#This Row],[num]]=0,0,1)</f>
        <v>0</v>
      </c>
    </row>
    <row r="147" spans="1:13" x14ac:dyDescent="0.25">
      <c r="A147" s="1">
        <v>47</v>
      </c>
      <c r="B147" s="1">
        <v>1</v>
      </c>
      <c r="C147" s="1">
        <v>3</v>
      </c>
      <c r="D147" s="1">
        <v>108</v>
      </c>
      <c r="E147" s="1">
        <v>243</v>
      </c>
      <c r="F147" s="1">
        <v>0</v>
      </c>
      <c r="G147" s="1">
        <v>0</v>
      </c>
      <c r="H147" s="1">
        <v>152</v>
      </c>
      <c r="I147" s="1">
        <v>0</v>
      </c>
      <c r="J147" s="1">
        <v>1</v>
      </c>
      <c r="K147" s="1">
        <v>3</v>
      </c>
      <c r="L147" s="1">
        <v>1</v>
      </c>
      <c r="M147" s="1">
        <f>IF(ClevelandData[[#This Row],[num]]=0,0,1)</f>
        <v>1</v>
      </c>
    </row>
    <row r="148" spans="1:13" x14ac:dyDescent="0.25">
      <c r="A148" s="1">
        <v>57</v>
      </c>
      <c r="B148" s="1">
        <v>1</v>
      </c>
      <c r="C148" s="1">
        <v>4</v>
      </c>
      <c r="D148" s="1">
        <v>165</v>
      </c>
      <c r="E148" s="1">
        <v>289</v>
      </c>
      <c r="F148" s="1">
        <v>1</v>
      </c>
      <c r="G148" s="1">
        <v>2</v>
      </c>
      <c r="H148" s="1">
        <v>124</v>
      </c>
      <c r="I148" s="1">
        <v>0</v>
      </c>
      <c r="J148" s="1">
        <v>2</v>
      </c>
      <c r="K148" s="1">
        <v>7</v>
      </c>
      <c r="L148" s="1">
        <v>4</v>
      </c>
      <c r="M148" s="1">
        <f>IF(ClevelandData[[#This Row],[num]]=0,0,1)</f>
        <v>1</v>
      </c>
    </row>
    <row r="149" spans="1:13" x14ac:dyDescent="0.25">
      <c r="A149" s="1">
        <v>41</v>
      </c>
      <c r="B149" s="1">
        <v>1</v>
      </c>
      <c r="C149" s="1">
        <v>3</v>
      </c>
      <c r="D149" s="1">
        <v>112</v>
      </c>
      <c r="E149" s="1">
        <v>250</v>
      </c>
      <c r="F149" s="1">
        <v>0</v>
      </c>
      <c r="G149" s="1">
        <v>0</v>
      </c>
      <c r="H149" s="1">
        <v>179</v>
      </c>
      <c r="I149" s="1">
        <v>0</v>
      </c>
      <c r="J149" s="1">
        <v>1</v>
      </c>
      <c r="K149" s="1">
        <v>3</v>
      </c>
      <c r="L149" s="1">
        <v>0</v>
      </c>
      <c r="M149" s="1">
        <f>IF(ClevelandData[[#This Row],[num]]=0,0,1)</f>
        <v>0</v>
      </c>
    </row>
    <row r="150" spans="1:13" x14ac:dyDescent="0.25">
      <c r="A150" s="1">
        <v>45</v>
      </c>
      <c r="B150" s="1">
        <v>1</v>
      </c>
      <c r="C150" s="1">
        <v>2</v>
      </c>
      <c r="D150" s="1">
        <v>128</v>
      </c>
      <c r="E150" s="1">
        <v>308</v>
      </c>
      <c r="F150" s="1">
        <v>0</v>
      </c>
      <c r="G150" s="1">
        <v>2</v>
      </c>
      <c r="H150" s="1">
        <v>170</v>
      </c>
      <c r="I150" s="1">
        <v>0</v>
      </c>
      <c r="J150" s="1">
        <v>1</v>
      </c>
      <c r="K150" s="1">
        <v>3</v>
      </c>
      <c r="L150" s="1">
        <v>0</v>
      </c>
      <c r="M150" s="1">
        <f>IF(ClevelandData[[#This Row],[num]]=0,0,1)</f>
        <v>0</v>
      </c>
    </row>
    <row r="151" spans="1:13" x14ac:dyDescent="0.25">
      <c r="A151" s="1">
        <v>60</v>
      </c>
      <c r="B151" s="1">
        <v>0</v>
      </c>
      <c r="C151" s="1">
        <v>3</v>
      </c>
      <c r="D151" s="1">
        <v>102</v>
      </c>
      <c r="E151" s="1">
        <v>318</v>
      </c>
      <c r="F151" s="1">
        <v>0</v>
      </c>
      <c r="G151" s="1">
        <v>0</v>
      </c>
      <c r="H151" s="1">
        <v>160</v>
      </c>
      <c r="I151" s="1">
        <v>0</v>
      </c>
      <c r="J151" s="1">
        <v>1</v>
      </c>
      <c r="K151" s="1">
        <v>3</v>
      </c>
      <c r="L151" s="1">
        <v>0</v>
      </c>
      <c r="M151" s="1">
        <f>IF(ClevelandData[[#This Row],[num]]=0,0,1)</f>
        <v>0</v>
      </c>
    </row>
    <row r="152" spans="1:13" x14ac:dyDescent="0.25">
      <c r="A152" s="1">
        <v>52</v>
      </c>
      <c r="B152" s="1">
        <v>1</v>
      </c>
      <c r="C152" s="1">
        <v>1</v>
      </c>
      <c r="D152" s="1">
        <v>152</v>
      </c>
      <c r="E152" s="1">
        <v>298</v>
      </c>
      <c r="F152" s="1">
        <v>1</v>
      </c>
      <c r="G152" s="1">
        <v>0</v>
      </c>
      <c r="H152" s="1">
        <v>178</v>
      </c>
      <c r="I152" s="1">
        <v>0</v>
      </c>
      <c r="J152" s="1">
        <v>2</v>
      </c>
      <c r="K152" s="1">
        <v>7</v>
      </c>
      <c r="L152" s="1">
        <v>0</v>
      </c>
      <c r="M152" s="1">
        <f>IF(ClevelandData[[#This Row],[num]]=0,0,1)</f>
        <v>0</v>
      </c>
    </row>
    <row r="153" spans="1:13" x14ac:dyDescent="0.25">
      <c r="A153" s="1">
        <v>42</v>
      </c>
      <c r="B153" s="1">
        <v>0</v>
      </c>
      <c r="C153" s="1">
        <v>4</v>
      </c>
      <c r="D153" s="1">
        <v>102</v>
      </c>
      <c r="E153" s="1">
        <v>265</v>
      </c>
      <c r="F153" s="1">
        <v>0</v>
      </c>
      <c r="G153" s="1">
        <v>2</v>
      </c>
      <c r="H153" s="1">
        <v>122</v>
      </c>
      <c r="I153" s="1">
        <v>0</v>
      </c>
      <c r="J153" s="1">
        <v>2</v>
      </c>
      <c r="K153" s="1">
        <v>3</v>
      </c>
      <c r="L153" s="1">
        <v>0</v>
      </c>
      <c r="M153" s="1">
        <f>IF(ClevelandData[[#This Row],[num]]=0,0,1)</f>
        <v>0</v>
      </c>
    </row>
    <row r="154" spans="1:13" x14ac:dyDescent="0.25">
      <c r="A154" s="1">
        <v>67</v>
      </c>
      <c r="B154" s="1">
        <v>0</v>
      </c>
      <c r="C154" s="1">
        <v>3</v>
      </c>
      <c r="D154" s="1">
        <v>115</v>
      </c>
      <c r="E154" s="1">
        <v>564</v>
      </c>
      <c r="F154" s="1">
        <v>0</v>
      </c>
      <c r="G154" s="1">
        <v>2</v>
      </c>
      <c r="H154" s="1">
        <v>160</v>
      </c>
      <c r="I154" s="1">
        <v>0</v>
      </c>
      <c r="J154" s="1">
        <v>2</v>
      </c>
      <c r="K154" s="1">
        <v>7</v>
      </c>
      <c r="L154" s="1">
        <v>0</v>
      </c>
      <c r="M154" s="1">
        <f>IF(ClevelandData[[#This Row],[num]]=0,0,1)</f>
        <v>0</v>
      </c>
    </row>
    <row r="155" spans="1:13" x14ac:dyDescent="0.25">
      <c r="A155" s="1">
        <v>55</v>
      </c>
      <c r="B155" s="1">
        <v>1</v>
      </c>
      <c r="C155" s="1">
        <v>4</v>
      </c>
      <c r="D155" s="1">
        <v>160</v>
      </c>
      <c r="E155" s="1">
        <v>289</v>
      </c>
      <c r="F155" s="1">
        <v>0</v>
      </c>
      <c r="G155" s="1">
        <v>2</v>
      </c>
      <c r="H155" s="1">
        <v>145</v>
      </c>
      <c r="I155" s="1">
        <v>1</v>
      </c>
      <c r="J155" s="1">
        <v>2</v>
      </c>
      <c r="K155" s="1">
        <v>7</v>
      </c>
      <c r="L155" s="1">
        <v>4</v>
      </c>
      <c r="M155" s="1">
        <f>IF(ClevelandData[[#This Row],[num]]=0,0,1)</f>
        <v>1</v>
      </c>
    </row>
    <row r="156" spans="1:13" x14ac:dyDescent="0.25">
      <c r="A156" s="1">
        <v>64</v>
      </c>
      <c r="B156" s="1">
        <v>1</v>
      </c>
      <c r="C156" s="1">
        <v>4</v>
      </c>
      <c r="D156" s="1">
        <v>120</v>
      </c>
      <c r="E156" s="1">
        <v>246</v>
      </c>
      <c r="F156" s="1">
        <v>0</v>
      </c>
      <c r="G156" s="1">
        <v>2</v>
      </c>
      <c r="H156" s="1">
        <v>96</v>
      </c>
      <c r="I156" s="1">
        <v>1</v>
      </c>
      <c r="J156" s="1">
        <v>3</v>
      </c>
      <c r="K156" s="1">
        <v>3</v>
      </c>
      <c r="L156" s="1">
        <v>3</v>
      </c>
      <c r="M156" s="1">
        <f>IF(ClevelandData[[#This Row],[num]]=0,0,1)</f>
        <v>1</v>
      </c>
    </row>
    <row r="157" spans="1:13" x14ac:dyDescent="0.25">
      <c r="A157" s="1">
        <v>70</v>
      </c>
      <c r="B157" s="1">
        <v>1</v>
      </c>
      <c r="C157" s="1">
        <v>4</v>
      </c>
      <c r="D157" s="1">
        <v>130</v>
      </c>
      <c r="E157" s="1">
        <v>322</v>
      </c>
      <c r="F157" s="1">
        <v>0</v>
      </c>
      <c r="G157" s="1">
        <v>2</v>
      </c>
      <c r="H157" s="1">
        <v>109</v>
      </c>
      <c r="I157" s="1">
        <v>0</v>
      </c>
      <c r="J157" s="1">
        <v>2</v>
      </c>
      <c r="K157" s="1">
        <v>3</v>
      </c>
      <c r="L157" s="1">
        <v>1</v>
      </c>
      <c r="M157" s="1">
        <f>IF(ClevelandData[[#This Row],[num]]=0,0,1)</f>
        <v>1</v>
      </c>
    </row>
    <row r="158" spans="1:13" x14ac:dyDescent="0.25">
      <c r="A158" s="1">
        <v>51</v>
      </c>
      <c r="B158" s="1">
        <v>1</v>
      </c>
      <c r="C158" s="1">
        <v>4</v>
      </c>
      <c r="D158" s="1">
        <v>140</v>
      </c>
      <c r="E158" s="1">
        <v>299</v>
      </c>
      <c r="F158" s="1">
        <v>0</v>
      </c>
      <c r="G158" s="1">
        <v>0</v>
      </c>
      <c r="H158" s="1">
        <v>173</v>
      </c>
      <c r="I158" s="1">
        <v>1</v>
      </c>
      <c r="J158" s="1">
        <v>1</v>
      </c>
      <c r="K158" s="1">
        <v>7</v>
      </c>
      <c r="L158" s="1">
        <v>1</v>
      </c>
      <c r="M158" s="1">
        <f>IF(ClevelandData[[#This Row],[num]]=0,0,1)</f>
        <v>1</v>
      </c>
    </row>
    <row r="159" spans="1:13" x14ac:dyDescent="0.25">
      <c r="A159" s="1">
        <v>58</v>
      </c>
      <c r="B159" s="1">
        <v>1</v>
      </c>
      <c r="C159" s="1">
        <v>4</v>
      </c>
      <c r="D159" s="1">
        <v>125</v>
      </c>
      <c r="E159" s="1">
        <v>300</v>
      </c>
      <c r="F159" s="1">
        <v>0</v>
      </c>
      <c r="G159" s="1">
        <v>2</v>
      </c>
      <c r="H159" s="1">
        <v>171</v>
      </c>
      <c r="I159" s="1">
        <v>0</v>
      </c>
      <c r="J159" s="1">
        <v>1</v>
      </c>
      <c r="K159" s="1">
        <v>7</v>
      </c>
      <c r="L159" s="1">
        <v>1</v>
      </c>
      <c r="M159" s="1">
        <f>IF(ClevelandData[[#This Row],[num]]=0,0,1)</f>
        <v>1</v>
      </c>
    </row>
    <row r="160" spans="1:13" x14ac:dyDescent="0.25">
      <c r="A160" s="1">
        <v>60</v>
      </c>
      <c r="B160" s="1">
        <v>1</v>
      </c>
      <c r="C160" s="1">
        <v>4</v>
      </c>
      <c r="D160" s="1">
        <v>140</v>
      </c>
      <c r="E160" s="1">
        <v>293</v>
      </c>
      <c r="F160" s="1">
        <v>0</v>
      </c>
      <c r="G160" s="1">
        <v>2</v>
      </c>
      <c r="H160" s="1">
        <v>170</v>
      </c>
      <c r="I160" s="1">
        <v>0</v>
      </c>
      <c r="J160" s="1">
        <v>2</v>
      </c>
      <c r="K160" s="1">
        <v>7</v>
      </c>
      <c r="L160" s="1">
        <v>2</v>
      </c>
      <c r="M160" s="1">
        <f>IF(ClevelandData[[#This Row],[num]]=0,0,1)</f>
        <v>1</v>
      </c>
    </row>
    <row r="161" spans="1:13" x14ac:dyDescent="0.25">
      <c r="A161" s="1">
        <v>68</v>
      </c>
      <c r="B161" s="1">
        <v>1</v>
      </c>
      <c r="C161" s="1">
        <v>3</v>
      </c>
      <c r="D161" s="1">
        <v>118</v>
      </c>
      <c r="E161" s="1">
        <v>277</v>
      </c>
      <c r="F161" s="1">
        <v>0</v>
      </c>
      <c r="G161" s="1">
        <v>0</v>
      </c>
      <c r="H161" s="1">
        <v>151</v>
      </c>
      <c r="I161" s="1">
        <v>0</v>
      </c>
      <c r="J161" s="1">
        <v>1</v>
      </c>
      <c r="K161" s="1">
        <v>7</v>
      </c>
      <c r="L161" s="1">
        <v>0</v>
      </c>
      <c r="M161" s="1">
        <f>IF(ClevelandData[[#This Row],[num]]=0,0,1)</f>
        <v>0</v>
      </c>
    </row>
    <row r="162" spans="1:13" x14ac:dyDescent="0.25">
      <c r="A162" s="1">
        <v>46</v>
      </c>
      <c r="B162" s="1">
        <v>1</v>
      </c>
      <c r="C162" s="1">
        <v>2</v>
      </c>
      <c r="D162" s="1">
        <v>101</v>
      </c>
      <c r="E162" s="1">
        <v>197</v>
      </c>
      <c r="F162" s="1">
        <v>1</v>
      </c>
      <c r="G162" s="1">
        <v>0</v>
      </c>
      <c r="H162" s="1">
        <v>156</v>
      </c>
      <c r="I162" s="1">
        <v>0</v>
      </c>
      <c r="J162" s="1">
        <v>1</v>
      </c>
      <c r="K162" s="1">
        <v>7</v>
      </c>
      <c r="L162" s="1">
        <v>0</v>
      </c>
      <c r="M162" s="1">
        <f>IF(ClevelandData[[#This Row],[num]]=0,0,1)</f>
        <v>0</v>
      </c>
    </row>
    <row r="163" spans="1:13" x14ac:dyDescent="0.25">
      <c r="A163" s="1">
        <v>77</v>
      </c>
      <c r="B163" s="1">
        <v>1</v>
      </c>
      <c r="C163" s="1">
        <v>4</v>
      </c>
      <c r="D163" s="1">
        <v>125</v>
      </c>
      <c r="E163" s="1">
        <v>304</v>
      </c>
      <c r="F163" s="1">
        <v>0</v>
      </c>
      <c r="G163" s="1">
        <v>2</v>
      </c>
      <c r="H163" s="1">
        <v>162</v>
      </c>
      <c r="I163" s="1">
        <v>1</v>
      </c>
      <c r="J163" s="1">
        <v>1</v>
      </c>
      <c r="K163" s="1">
        <v>3</v>
      </c>
      <c r="L163" s="1">
        <v>4</v>
      </c>
      <c r="M163" s="1">
        <f>IF(ClevelandData[[#This Row],[num]]=0,0,1)</f>
        <v>1</v>
      </c>
    </row>
    <row r="164" spans="1:13" x14ac:dyDescent="0.25">
      <c r="A164" s="1">
        <v>54</v>
      </c>
      <c r="B164" s="1">
        <v>0</v>
      </c>
      <c r="C164" s="1">
        <v>3</v>
      </c>
      <c r="D164" s="1">
        <v>110</v>
      </c>
      <c r="E164" s="1">
        <v>214</v>
      </c>
      <c r="F164" s="1">
        <v>0</v>
      </c>
      <c r="G164" s="1">
        <v>0</v>
      </c>
      <c r="H164" s="1">
        <v>158</v>
      </c>
      <c r="I164" s="1">
        <v>0</v>
      </c>
      <c r="J164" s="1">
        <v>2</v>
      </c>
      <c r="K164" s="1">
        <v>3</v>
      </c>
      <c r="L164" s="1">
        <v>0</v>
      </c>
      <c r="M164" s="1">
        <f>IF(ClevelandData[[#This Row],[num]]=0,0,1)</f>
        <v>0</v>
      </c>
    </row>
    <row r="165" spans="1:13" x14ac:dyDescent="0.25">
      <c r="A165" s="1">
        <v>58</v>
      </c>
      <c r="B165" s="1">
        <v>0</v>
      </c>
      <c r="C165" s="1">
        <v>4</v>
      </c>
      <c r="D165" s="1">
        <v>100</v>
      </c>
      <c r="E165" s="1">
        <v>248</v>
      </c>
      <c r="F165" s="1">
        <v>0</v>
      </c>
      <c r="G165" s="1">
        <v>2</v>
      </c>
      <c r="H165" s="1">
        <v>122</v>
      </c>
      <c r="I165" s="1">
        <v>0</v>
      </c>
      <c r="J165" s="1">
        <v>2</v>
      </c>
      <c r="K165" s="1">
        <v>3</v>
      </c>
      <c r="L165" s="1">
        <v>0</v>
      </c>
      <c r="M165" s="1">
        <f>IF(ClevelandData[[#This Row],[num]]=0,0,1)</f>
        <v>0</v>
      </c>
    </row>
    <row r="166" spans="1:13" x14ac:dyDescent="0.25">
      <c r="A166" s="1">
        <v>48</v>
      </c>
      <c r="B166" s="1">
        <v>1</v>
      </c>
      <c r="C166" s="1">
        <v>3</v>
      </c>
      <c r="D166" s="1">
        <v>124</v>
      </c>
      <c r="E166" s="1">
        <v>255</v>
      </c>
      <c r="F166" s="1">
        <v>1</v>
      </c>
      <c r="G166" s="1">
        <v>0</v>
      </c>
      <c r="H166" s="1">
        <v>175</v>
      </c>
      <c r="I166" s="1">
        <v>0</v>
      </c>
      <c r="J166" s="1">
        <v>1</v>
      </c>
      <c r="K166" s="1">
        <v>3</v>
      </c>
      <c r="L166" s="1">
        <v>0</v>
      </c>
      <c r="M166" s="1">
        <f>IF(ClevelandData[[#This Row],[num]]=0,0,1)</f>
        <v>0</v>
      </c>
    </row>
    <row r="167" spans="1:13" x14ac:dyDescent="0.25">
      <c r="A167" s="1">
        <v>57</v>
      </c>
      <c r="B167" s="1">
        <v>1</v>
      </c>
      <c r="C167" s="1">
        <v>4</v>
      </c>
      <c r="D167" s="1">
        <v>132</v>
      </c>
      <c r="E167" s="1">
        <v>207</v>
      </c>
      <c r="F167" s="1">
        <v>0</v>
      </c>
      <c r="G167" s="1">
        <v>0</v>
      </c>
      <c r="H167" s="1">
        <v>168</v>
      </c>
      <c r="I167" s="1">
        <v>1</v>
      </c>
      <c r="J167" s="1">
        <v>1</v>
      </c>
      <c r="K167" s="1">
        <v>7</v>
      </c>
      <c r="L167" s="1">
        <v>0</v>
      </c>
      <c r="M167" s="1">
        <f>IF(ClevelandData[[#This Row],[num]]=0,0,1)</f>
        <v>0</v>
      </c>
    </row>
    <row r="168" spans="1:13" x14ac:dyDescent="0.25">
      <c r="A168" s="1">
        <v>52</v>
      </c>
      <c r="B168" s="1">
        <v>1</v>
      </c>
      <c r="C168" s="1">
        <v>3</v>
      </c>
      <c r="D168" s="1">
        <v>138</v>
      </c>
      <c r="E168" s="1">
        <v>223</v>
      </c>
      <c r="F168" s="1">
        <v>0</v>
      </c>
      <c r="G168" s="1">
        <v>0</v>
      </c>
      <c r="H168" s="1">
        <v>169</v>
      </c>
      <c r="I168" s="1">
        <v>0</v>
      </c>
      <c r="J168" s="1">
        <v>1</v>
      </c>
      <c r="K168" s="1">
        <v>3</v>
      </c>
      <c r="L168" s="1">
        <v>0</v>
      </c>
      <c r="M168" s="1">
        <f>IF(ClevelandData[[#This Row],[num]]=0,0,1)</f>
        <v>0</v>
      </c>
    </row>
    <row r="169" spans="1:13" x14ac:dyDescent="0.25">
      <c r="A169" s="1">
        <v>54</v>
      </c>
      <c r="B169" s="1">
        <v>0</v>
      </c>
      <c r="C169" s="1">
        <v>2</v>
      </c>
      <c r="D169" s="1">
        <v>132</v>
      </c>
      <c r="E169" s="1">
        <v>288</v>
      </c>
      <c r="F169" s="1">
        <v>1</v>
      </c>
      <c r="G169" s="1">
        <v>2</v>
      </c>
      <c r="H169" s="1">
        <v>159</v>
      </c>
      <c r="I169" s="1">
        <v>1</v>
      </c>
      <c r="J169" s="1">
        <v>1</v>
      </c>
      <c r="K169" s="1">
        <v>3</v>
      </c>
      <c r="L169" s="1">
        <v>0</v>
      </c>
      <c r="M169" s="1">
        <f>IF(ClevelandData[[#This Row],[num]]=0,0,1)</f>
        <v>0</v>
      </c>
    </row>
    <row r="170" spans="1:13" x14ac:dyDescent="0.25">
      <c r="A170" s="1">
        <v>35</v>
      </c>
      <c r="B170" s="1">
        <v>1</v>
      </c>
      <c r="C170" s="1">
        <v>4</v>
      </c>
      <c r="D170" s="1">
        <v>126</v>
      </c>
      <c r="E170" s="1">
        <v>282</v>
      </c>
      <c r="F170" s="1">
        <v>0</v>
      </c>
      <c r="G170" s="1">
        <v>2</v>
      </c>
      <c r="H170" s="1">
        <v>156</v>
      </c>
      <c r="I170" s="1">
        <v>1</v>
      </c>
      <c r="J170" s="1">
        <v>1</v>
      </c>
      <c r="K170" s="1">
        <v>7</v>
      </c>
      <c r="L170" s="1">
        <v>1</v>
      </c>
      <c r="M170" s="1">
        <f>IF(ClevelandData[[#This Row],[num]]=0,0,1)</f>
        <v>1</v>
      </c>
    </row>
    <row r="171" spans="1:13" x14ac:dyDescent="0.25">
      <c r="A171" s="1">
        <v>45</v>
      </c>
      <c r="B171" s="1">
        <v>0</v>
      </c>
      <c r="C171" s="1">
        <v>2</v>
      </c>
      <c r="D171" s="1">
        <v>112</v>
      </c>
      <c r="E171" s="1">
        <v>160</v>
      </c>
      <c r="F171" s="1">
        <v>0</v>
      </c>
      <c r="G171" s="1">
        <v>0</v>
      </c>
      <c r="H171" s="1">
        <v>138</v>
      </c>
      <c r="I171" s="1">
        <v>0</v>
      </c>
      <c r="J171" s="1">
        <v>2</v>
      </c>
      <c r="K171" s="1">
        <v>3</v>
      </c>
      <c r="L171" s="1">
        <v>0</v>
      </c>
      <c r="M171" s="1">
        <f>IF(ClevelandData[[#This Row],[num]]=0,0,1)</f>
        <v>0</v>
      </c>
    </row>
    <row r="172" spans="1:13" x14ac:dyDescent="0.25">
      <c r="A172" s="1">
        <v>70</v>
      </c>
      <c r="B172" s="1">
        <v>1</v>
      </c>
      <c r="C172" s="1">
        <v>3</v>
      </c>
      <c r="D172" s="1">
        <v>160</v>
      </c>
      <c r="E172" s="1">
        <v>269</v>
      </c>
      <c r="F172" s="1">
        <v>0</v>
      </c>
      <c r="G172" s="1">
        <v>0</v>
      </c>
      <c r="H172" s="1">
        <v>112</v>
      </c>
      <c r="I172" s="1">
        <v>1</v>
      </c>
      <c r="J172" s="1">
        <v>2</v>
      </c>
      <c r="K172" s="1">
        <v>7</v>
      </c>
      <c r="L172" s="1">
        <v>3</v>
      </c>
      <c r="M172" s="1">
        <f>IF(ClevelandData[[#This Row],[num]]=0,0,1)</f>
        <v>1</v>
      </c>
    </row>
    <row r="173" spans="1:13" x14ac:dyDescent="0.25">
      <c r="A173" s="1">
        <v>53</v>
      </c>
      <c r="B173" s="1">
        <v>1</v>
      </c>
      <c r="C173" s="1">
        <v>4</v>
      </c>
      <c r="D173" s="1">
        <v>142</v>
      </c>
      <c r="E173" s="1">
        <v>226</v>
      </c>
      <c r="F173" s="1">
        <v>0</v>
      </c>
      <c r="G173" s="1">
        <v>2</v>
      </c>
      <c r="H173" s="1">
        <v>111</v>
      </c>
      <c r="I173" s="1">
        <v>1</v>
      </c>
      <c r="J173" s="1">
        <v>1</v>
      </c>
      <c r="K173" s="1">
        <v>7</v>
      </c>
      <c r="L173" s="1">
        <v>0</v>
      </c>
      <c r="M173" s="1">
        <f>IF(ClevelandData[[#This Row],[num]]=0,0,1)</f>
        <v>0</v>
      </c>
    </row>
    <row r="174" spans="1:13" x14ac:dyDescent="0.25">
      <c r="A174" s="1">
        <v>59</v>
      </c>
      <c r="B174" s="1">
        <v>0</v>
      </c>
      <c r="C174" s="1">
        <v>4</v>
      </c>
      <c r="D174" s="1">
        <v>174</v>
      </c>
      <c r="E174" s="1">
        <v>249</v>
      </c>
      <c r="F174" s="1">
        <v>0</v>
      </c>
      <c r="G174" s="1">
        <v>0</v>
      </c>
      <c r="H174" s="1">
        <v>143</v>
      </c>
      <c r="I174" s="1">
        <v>1</v>
      </c>
      <c r="J174" s="1">
        <v>2</v>
      </c>
      <c r="K174" s="1">
        <v>3</v>
      </c>
      <c r="L174" s="1">
        <v>1</v>
      </c>
      <c r="M174" s="1">
        <f>IF(ClevelandData[[#This Row],[num]]=0,0,1)</f>
        <v>1</v>
      </c>
    </row>
    <row r="175" spans="1:13" x14ac:dyDescent="0.25">
      <c r="A175" s="1">
        <v>62</v>
      </c>
      <c r="B175" s="1">
        <v>0</v>
      </c>
      <c r="C175" s="1">
        <v>4</v>
      </c>
      <c r="D175" s="1">
        <v>140</v>
      </c>
      <c r="E175" s="1">
        <v>394</v>
      </c>
      <c r="F175" s="1">
        <v>0</v>
      </c>
      <c r="G175" s="1">
        <v>2</v>
      </c>
      <c r="H175" s="1">
        <v>157</v>
      </c>
      <c r="I175" s="1">
        <v>0</v>
      </c>
      <c r="J175" s="1">
        <v>2</v>
      </c>
      <c r="K175" s="1">
        <v>3</v>
      </c>
      <c r="L175" s="1">
        <v>0</v>
      </c>
      <c r="M175" s="1">
        <f>IF(ClevelandData[[#This Row],[num]]=0,0,1)</f>
        <v>0</v>
      </c>
    </row>
    <row r="176" spans="1:13" x14ac:dyDescent="0.25">
      <c r="A176" s="1">
        <v>64</v>
      </c>
      <c r="B176" s="1">
        <v>1</v>
      </c>
      <c r="C176" s="1">
        <v>4</v>
      </c>
      <c r="D176" s="1">
        <v>145</v>
      </c>
      <c r="E176" s="1">
        <v>212</v>
      </c>
      <c r="F176" s="1">
        <v>0</v>
      </c>
      <c r="G176" s="1">
        <v>2</v>
      </c>
      <c r="H176" s="1">
        <v>132</v>
      </c>
      <c r="I176" s="1">
        <v>0</v>
      </c>
      <c r="J176" s="1">
        <v>2</v>
      </c>
      <c r="K176" s="1">
        <v>6</v>
      </c>
      <c r="L176" s="1">
        <v>4</v>
      </c>
      <c r="M176" s="1">
        <f>IF(ClevelandData[[#This Row],[num]]=0,0,1)</f>
        <v>1</v>
      </c>
    </row>
    <row r="177" spans="1:13" x14ac:dyDescent="0.25">
      <c r="A177" s="1">
        <v>57</v>
      </c>
      <c r="B177" s="1">
        <v>1</v>
      </c>
      <c r="C177" s="1">
        <v>4</v>
      </c>
      <c r="D177" s="1">
        <v>152</v>
      </c>
      <c r="E177" s="1">
        <v>274</v>
      </c>
      <c r="F177" s="1">
        <v>0</v>
      </c>
      <c r="G177" s="1">
        <v>0</v>
      </c>
      <c r="H177" s="1">
        <v>88</v>
      </c>
      <c r="I177" s="1">
        <v>1</v>
      </c>
      <c r="J177" s="1">
        <v>2</v>
      </c>
      <c r="K177" s="1">
        <v>7</v>
      </c>
      <c r="L177" s="1">
        <v>1</v>
      </c>
      <c r="M177" s="1">
        <f>IF(ClevelandData[[#This Row],[num]]=0,0,1)</f>
        <v>1</v>
      </c>
    </row>
    <row r="178" spans="1:13" x14ac:dyDescent="0.25">
      <c r="A178" s="1">
        <v>52</v>
      </c>
      <c r="B178" s="1">
        <v>1</v>
      </c>
      <c r="C178" s="1">
        <v>4</v>
      </c>
      <c r="D178" s="1">
        <v>108</v>
      </c>
      <c r="E178" s="1">
        <v>233</v>
      </c>
      <c r="F178" s="1">
        <v>1</v>
      </c>
      <c r="G178" s="1">
        <v>0</v>
      </c>
      <c r="H178" s="1">
        <v>147</v>
      </c>
      <c r="I178" s="1">
        <v>0</v>
      </c>
      <c r="J178" s="1">
        <v>1</v>
      </c>
      <c r="K178" s="1">
        <v>7</v>
      </c>
      <c r="L178" s="1">
        <v>0</v>
      </c>
      <c r="M178" s="1">
        <f>IF(ClevelandData[[#This Row],[num]]=0,0,1)</f>
        <v>0</v>
      </c>
    </row>
    <row r="179" spans="1:13" x14ac:dyDescent="0.25">
      <c r="A179" s="1">
        <v>56</v>
      </c>
      <c r="B179" s="1">
        <v>1</v>
      </c>
      <c r="C179" s="1">
        <v>4</v>
      </c>
      <c r="D179" s="1">
        <v>132</v>
      </c>
      <c r="E179" s="1">
        <v>184</v>
      </c>
      <c r="F179" s="1">
        <v>0</v>
      </c>
      <c r="G179" s="1">
        <v>2</v>
      </c>
      <c r="H179" s="1">
        <v>105</v>
      </c>
      <c r="I179" s="1">
        <v>1</v>
      </c>
      <c r="J179" s="1">
        <v>2</v>
      </c>
      <c r="K179" s="1">
        <v>6</v>
      </c>
      <c r="L179" s="1">
        <v>1</v>
      </c>
      <c r="M179" s="1">
        <f>IF(ClevelandData[[#This Row],[num]]=0,0,1)</f>
        <v>1</v>
      </c>
    </row>
    <row r="180" spans="1:13" x14ac:dyDescent="0.25">
      <c r="A180" s="1">
        <v>43</v>
      </c>
      <c r="B180" s="1">
        <v>1</v>
      </c>
      <c r="C180" s="1">
        <v>3</v>
      </c>
      <c r="D180" s="1">
        <v>130</v>
      </c>
      <c r="E180" s="1">
        <v>315</v>
      </c>
      <c r="F180" s="1">
        <v>0</v>
      </c>
      <c r="G180" s="1">
        <v>0</v>
      </c>
      <c r="H180" s="1">
        <v>162</v>
      </c>
      <c r="I180" s="1">
        <v>0</v>
      </c>
      <c r="J180" s="1">
        <v>1</v>
      </c>
      <c r="K180" s="1">
        <v>3</v>
      </c>
      <c r="L180" s="1">
        <v>0</v>
      </c>
      <c r="M180" s="1">
        <f>IF(ClevelandData[[#This Row],[num]]=0,0,1)</f>
        <v>0</v>
      </c>
    </row>
    <row r="181" spans="1:13" x14ac:dyDescent="0.25">
      <c r="A181" s="1">
        <v>53</v>
      </c>
      <c r="B181" s="1">
        <v>1</v>
      </c>
      <c r="C181" s="1">
        <v>3</v>
      </c>
      <c r="D181" s="1">
        <v>130</v>
      </c>
      <c r="E181" s="1">
        <v>246</v>
      </c>
      <c r="F181" s="1">
        <v>1</v>
      </c>
      <c r="G181" s="1">
        <v>2</v>
      </c>
      <c r="H181" s="1">
        <v>173</v>
      </c>
      <c r="I181" s="1">
        <v>0</v>
      </c>
      <c r="J181" s="1">
        <v>1</v>
      </c>
      <c r="K181" s="1">
        <v>3</v>
      </c>
      <c r="L181" s="1">
        <v>0</v>
      </c>
      <c r="M181" s="1">
        <f>IF(ClevelandData[[#This Row],[num]]=0,0,1)</f>
        <v>0</v>
      </c>
    </row>
    <row r="182" spans="1:13" x14ac:dyDescent="0.25">
      <c r="A182" s="1">
        <v>48</v>
      </c>
      <c r="B182" s="1">
        <v>1</v>
      </c>
      <c r="C182" s="1">
        <v>4</v>
      </c>
      <c r="D182" s="1">
        <v>124</v>
      </c>
      <c r="E182" s="1">
        <v>274</v>
      </c>
      <c r="F182" s="1">
        <v>0</v>
      </c>
      <c r="G182" s="1">
        <v>2</v>
      </c>
      <c r="H182" s="1">
        <v>166</v>
      </c>
      <c r="I182" s="1">
        <v>0</v>
      </c>
      <c r="J182" s="1">
        <v>2</v>
      </c>
      <c r="K182" s="1">
        <v>7</v>
      </c>
      <c r="L182" s="1">
        <v>3</v>
      </c>
      <c r="M182" s="1">
        <f>IF(ClevelandData[[#This Row],[num]]=0,0,1)</f>
        <v>1</v>
      </c>
    </row>
    <row r="183" spans="1:13" x14ac:dyDescent="0.25">
      <c r="A183" s="1">
        <v>56</v>
      </c>
      <c r="B183" s="1">
        <v>0</v>
      </c>
      <c r="C183" s="1">
        <v>4</v>
      </c>
      <c r="D183" s="1">
        <v>134</v>
      </c>
      <c r="E183" s="1">
        <v>409</v>
      </c>
      <c r="F183" s="1">
        <v>0</v>
      </c>
      <c r="G183" s="1">
        <v>2</v>
      </c>
      <c r="H183" s="1">
        <v>150</v>
      </c>
      <c r="I183" s="1">
        <v>1</v>
      </c>
      <c r="J183" s="1">
        <v>2</v>
      </c>
      <c r="K183" s="1">
        <v>7</v>
      </c>
      <c r="L183" s="1">
        <v>2</v>
      </c>
      <c r="M183" s="1">
        <f>IF(ClevelandData[[#This Row],[num]]=0,0,1)</f>
        <v>1</v>
      </c>
    </row>
    <row r="184" spans="1:13" x14ac:dyDescent="0.25">
      <c r="A184" s="1">
        <v>42</v>
      </c>
      <c r="B184" s="1">
        <v>1</v>
      </c>
      <c r="C184" s="1">
        <v>1</v>
      </c>
      <c r="D184" s="1">
        <v>148</v>
      </c>
      <c r="E184" s="1">
        <v>244</v>
      </c>
      <c r="F184" s="1">
        <v>0</v>
      </c>
      <c r="G184" s="1">
        <v>2</v>
      </c>
      <c r="H184" s="1">
        <v>178</v>
      </c>
      <c r="I184" s="1">
        <v>0</v>
      </c>
      <c r="J184" s="1">
        <v>1</v>
      </c>
      <c r="K184" s="1">
        <v>3</v>
      </c>
      <c r="L184" s="1">
        <v>0</v>
      </c>
      <c r="M184" s="1">
        <f>IF(ClevelandData[[#This Row],[num]]=0,0,1)</f>
        <v>0</v>
      </c>
    </row>
    <row r="185" spans="1:13" x14ac:dyDescent="0.25">
      <c r="A185" s="1">
        <v>59</v>
      </c>
      <c r="B185" s="1">
        <v>1</v>
      </c>
      <c r="C185" s="1">
        <v>1</v>
      </c>
      <c r="D185" s="1">
        <v>178</v>
      </c>
      <c r="E185" s="1">
        <v>270</v>
      </c>
      <c r="F185" s="1">
        <v>0</v>
      </c>
      <c r="G185" s="1">
        <v>2</v>
      </c>
      <c r="H185" s="1">
        <v>145</v>
      </c>
      <c r="I185" s="1">
        <v>0</v>
      </c>
      <c r="J185" s="1">
        <v>3</v>
      </c>
      <c r="K185" s="1">
        <v>7</v>
      </c>
      <c r="L185" s="1">
        <v>0</v>
      </c>
      <c r="M185" s="1">
        <f>IF(ClevelandData[[#This Row],[num]]=0,0,1)</f>
        <v>0</v>
      </c>
    </row>
    <row r="186" spans="1:13" x14ac:dyDescent="0.25">
      <c r="A186" s="1">
        <v>60</v>
      </c>
      <c r="B186" s="1">
        <v>0</v>
      </c>
      <c r="C186" s="1">
        <v>4</v>
      </c>
      <c r="D186" s="1">
        <v>158</v>
      </c>
      <c r="E186" s="1">
        <v>305</v>
      </c>
      <c r="F186" s="1">
        <v>0</v>
      </c>
      <c r="G186" s="1">
        <v>2</v>
      </c>
      <c r="H186" s="1">
        <v>161</v>
      </c>
      <c r="I186" s="1">
        <v>0</v>
      </c>
      <c r="J186" s="1">
        <v>1</v>
      </c>
      <c r="K186" s="1">
        <v>3</v>
      </c>
      <c r="L186" s="1">
        <v>1</v>
      </c>
      <c r="M186" s="1">
        <f>IF(ClevelandData[[#This Row],[num]]=0,0,1)</f>
        <v>1</v>
      </c>
    </row>
    <row r="187" spans="1:13" x14ac:dyDescent="0.25">
      <c r="A187" s="1">
        <v>63</v>
      </c>
      <c r="B187" s="1">
        <v>0</v>
      </c>
      <c r="C187" s="1">
        <v>2</v>
      </c>
      <c r="D187" s="1">
        <v>140</v>
      </c>
      <c r="E187" s="1">
        <v>195</v>
      </c>
      <c r="F187" s="1">
        <v>0</v>
      </c>
      <c r="G187" s="1">
        <v>0</v>
      </c>
      <c r="H187" s="1">
        <v>179</v>
      </c>
      <c r="I187" s="1">
        <v>0</v>
      </c>
      <c r="J187" s="1">
        <v>1</v>
      </c>
      <c r="K187" s="1">
        <v>3</v>
      </c>
      <c r="L187" s="1">
        <v>0</v>
      </c>
      <c r="M187" s="1">
        <f>IF(ClevelandData[[#This Row],[num]]=0,0,1)</f>
        <v>0</v>
      </c>
    </row>
    <row r="188" spans="1:13" x14ac:dyDescent="0.25">
      <c r="A188" s="1">
        <v>42</v>
      </c>
      <c r="B188" s="1">
        <v>1</v>
      </c>
      <c r="C188" s="1">
        <v>3</v>
      </c>
      <c r="D188" s="1">
        <v>120</v>
      </c>
      <c r="E188" s="1">
        <v>240</v>
      </c>
      <c r="F188" s="1">
        <v>1</v>
      </c>
      <c r="G188" s="1">
        <v>0</v>
      </c>
      <c r="H188" s="1">
        <v>194</v>
      </c>
      <c r="I188" s="1">
        <v>0</v>
      </c>
      <c r="J188" s="1">
        <v>3</v>
      </c>
      <c r="K188" s="1">
        <v>7</v>
      </c>
      <c r="L188" s="1">
        <v>0</v>
      </c>
      <c r="M188" s="1">
        <f>IF(ClevelandData[[#This Row],[num]]=0,0,1)</f>
        <v>0</v>
      </c>
    </row>
    <row r="189" spans="1:13" x14ac:dyDescent="0.25">
      <c r="A189" s="1">
        <v>66</v>
      </c>
      <c r="B189" s="1">
        <v>1</v>
      </c>
      <c r="C189" s="1">
        <v>2</v>
      </c>
      <c r="D189" s="1">
        <v>160</v>
      </c>
      <c r="E189" s="1">
        <v>246</v>
      </c>
      <c r="F189" s="1">
        <v>0</v>
      </c>
      <c r="G189" s="1">
        <v>0</v>
      </c>
      <c r="H189" s="1">
        <v>120</v>
      </c>
      <c r="I189" s="1">
        <v>1</v>
      </c>
      <c r="J189" s="1">
        <v>2</v>
      </c>
      <c r="K189" s="1">
        <v>6</v>
      </c>
      <c r="L189" s="1">
        <v>2</v>
      </c>
      <c r="M189" s="1">
        <f>IF(ClevelandData[[#This Row],[num]]=0,0,1)</f>
        <v>1</v>
      </c>
    </row>
    <row r="190" spans="1:13" x14ac:dyDescent="0.25">
      <c r="A190" s="1">
        <v>54</v>
      </c>
      <c r="B190" s="1">
        <v>1</v>
      </c>
      <c r="C190" s="1">
        <v>2</v>
      </c>
      <c r="D190" s="1">
        <v>192</v>
      </c>
      <c r="E190" s="1">
        <v>283</v>
      </c>
      <c r="F190" s="1">
        <v>0</v>
      </c>
      <c r="G190" s="1">
        <v>2</v>
      </c>
      <c r="H190" s="1">
        <v>195</v>
      </c>
      <c r="I190" s="1">
        <v>0</v>
      </c>
      <c r="J190" s="1">
        <v>1</v>
      </c>
      <c r="K190" s="1">
        <v>7</v>
      </c>
      <c r="L190" s="1">
        <v>1</v>
      </c>
      <c r="M190" s="1">
        <f>IF(ClevelandData[[#This Row],[num]]=0,0,1)</f>
        <v>1</v>
      </c>
    </row>
    <row r="191" spans="1:13" x14ac:dyDescent="0.25">
      <c r="A191" s="1">
        <v>69</v>
      </c>
      <c r="B191" s="1">
        <v>1</v>
      </c>
      <c r="C191" s="1">
        <v>3</v>
      </c>
      <c r="D191" s="1">
        <v>140</v>
      </c>
      <c r="E191" s="1">
        <v>254</v>
      </c>
      <c r="F191" s="1">
        <v>0</v>
      </c>
      <c r="G191" s="1">
        <v>2</v>
      </c>
      <c r="H191" s="1">
        <v>146</v>
      </c>
      <c r="I191" s="1">
        <v>0</v>
      </c>
      <c r="J191" s="1">
        <v>2</v>
      </c>
      <c r="K191" s="1">
        <v>7</v>
      </c>
      <c r="L191" s="1">
        <v>2</v>
      </c>
      <c r="M191" s="1">
        <f>IF(ClevelandData[[#This Row],[num]]=0,0,1)</f>
        <v>1</v>
      </c>
    </row>
    <row r="192" spans="1:13" x14ac:dyDescent="0.25">
      <c r="A192" s="1">
        <v>50</v>
      </c>
      <c r="B192" s="1">
        <v>1</v>
      </c>
      <c r="C192" s="1">
        <v>3</v>
      </c>
      <c r="D192" s="1">
        <v>129</v>
      </c>
      <c r="E192" s="1">
        <v>196</v>
      </c>
      <c r="F192" s="1">
        <v>0</v>
      </c>
      <c r="G192" s="1">
        <v>0</v>
      </c>
      <c r="H192" s="1">
        <v>163</v>
      </c>
      <c r="I192" s="1">
        <v>0</v>
      </c>
      <c r="J192" s="1">
        <v>1</v>
      </c>
      <c r="K192" s="1">
        <v>3</v>
      </c>
      <c r="L192" s="1">
        <v>0</v>
      </c>
      <c r="M192" s="1">
        <f>IF(ClevelandData[[#This Row],[num]]=0,0,1)</f>
        <v>0</v>
      </c>
    </row>
    <row r="193" spans="1:13" x14ac:dyDescent="0.25">
      <c r="A193" s="1">
        <v>51</v>
      </c>
      <c r="B193" s="1">
        <v>1</v>
      </c>
      <c r="C193" s="1">
        <v>4</v>
      </c>
      <c r="D193" s="1">
        <v>140</v>
      </c>
      <c r="E193" s="1">
        <v>298</v>
      </c>
      <c r="F193" s="1">
        <v>0</v>
      </c>
      <c r="G193" s="1">
        <v>0</v>
      </c>
      <c r="H193" s="1">
        <v>122</v>
      </c>
      <c r="I193" s="1">
        <v>1</v>
      </c>
      <c r="J193" s="1">
        <v>2</v>
      </c>
      <c r="K193" s="1">
        <v>7</v>
      </c>
      <c r="L193" s="1">
        <v>3</v>
      </c>
      <c r="M193" s="1">
        <f>IF(ClevelandData[[#This Row],[num]]=0,0,1)</f>
        <v>1</v>
      </c>
    </row>
    <row r="194" spans="1:13" x14ac:dyDescent="0.25">
      <c r="A194" s="1">
        <v>43</v>
      </c>
      <c r="B194" s="1">
        <v>1</v>
      </c>
      <c r="C194" s="1">
        <v>4</v>
      </c>
      <c r="D194" s="1">
        <v>132</v>
      </c>
      <c r="E194" s="1">
        <v>247</v>
      </c>
      <c r="F194" s="1">
        <v>1</v>
      </c>
      <c r="G194" s="1">
        <v>2</v>
      </c>
      <c r="H194" s="1">
        <v>143</v>
      </c>
      <c r="I194" s="1">
        <v>1</v>
      </c>
      <c r="J194" s="1">
        <v>2</v>
      </c>
      <c r="K194" s="1">
        <v>7</v>
      </c>
      <c r="L194" s="1">
        <v>1</v>
      </c>
      <c r="M194" s="1">
        <f>IF(ClevelandData[[#This Row],[num]]=0,0,1)</f>
        <v>1</v>
      </c>
    </row>
    <row r="195" spans="1:13" x14ac:dyDescent="0.25">
      <c r="A195" s="1">
        <v>62</v>
      </c>
      <c r="B195" s="1">
        <v>0</v>
      </c>
      <c r="C195" s="1">
        <v>4</v>
      </c>
      <c r="D195" s="1">
        <v>138</v>
      </c>
      <c r="E195" s="1">
        <v>294</v>
      </c>
      <c r="F195" s="1">
        <v>1</v>
      </c>
      <c r="G195" s="1">
        <v>0</v>
      </c>
      <c r="H195" s="1">
        <v>106</v>
      </c>
      <c r="I195" s="1">
        <v>0</v>
      </c>
      <c r="J195" s="1">
        <v>2</v>
      </c>
      <c r="K195" s="1">
        <v>3</v>
      </c>
      <c r="L195" s="1">
        <v>2</v>
      </c>
      <c r="M195" s="1">
        <f>IF(ClevelandData[[#This Row],[num]]=0,0,1)</f>
        <v>1</v>
      </c>
    </row>
    <row r="196" spans="1:13" x14ac:dyDescent="0.25">
      <c r="A196" s="1">
        <v>68</v>
      </c>
      <c r="B196" s="1">
        <v>0</v>
      </c>
      <c r="C196" s="1">
        <v>3</v>
      </c>
      <c r="D196" s="1">
        <v>120</v>
      </c>
      <c r="E196" s="1">
        <v>211</v>
      </c>
      <c r="F196" s="1">
        <v>0</v>
      </c>
      <c r="G196" s="1">
        <v>2</v>
      </c>
      <c r="H196" s="1">
        <v>115</v>
      </c>
      <c r="I196" s="1">
        <v>0</v>
      </c>
      <c r="J196" s="1">
        <v>2</v>
      </c>
      <c r="K196" s="1">
        <v>3</v>
      </c>
      <c r="L196" s="1">
        <v>0</v>
      </c>
      <c r="M196" s="1">
        <f>IF(ClevelandData[[#This Row],[num]]=0,0,1)</f>
        <v>0</v>
      </c>
    </row>
    <row r="197" spans="1:13" x14ac:dyDescent="0.25">
      <c r="A197" s="1">
        <v>67</v>
      </c>
      <c r="B197" s="1">
        <v>1</v>
      </c>
      <c r="C197" s="1">
        <v>4</v>
      </c>
      <c r="D197" s="1">
        <v>100</v>
      </c>
      <c r="E197" s="1">
        <v>299</v>
      </c>
      <c r="F197" s="1">
        <v>0</v>
      </c>
      <c r="G197" s="1">
        <v>2</v>
      </c>
      <c r="H197" s="1">
        <v>125</v>
      </c>
      <c r="I197" s="1">
        <v>1</v>
      </c>
      <c r="J197" s="1">
        <v>2</v>
      </c>
      <c r="K197" s="1">
        <v>3</v>
      </c>
      <c r="L197" s="1">
        <v>3</v>
      </c>
      <c r="M197" s="1">
        <f>IF(ClevelandData[[#This Row],[num]]=0,0,1)</f>
        <v>1</v>
      </c>
    </row>
    <row r="198" spans="1:13" x14ac:dyDescent="0.25">
      <c r="A198" s="1">
        <v>69</v>
      </c>
      <c r="B198" s="1">
        <v>1</v>
      </c>
      <c r="C198" s="1">
        <v>1</v>
      </c>
      <c r="D198" s="1">
        <v>160</v>
      </c>
      <c r="E198" s="1">
        <v>234</v>
      </c>
      <c r="F198" s="1">
        <v>1</v>
      </c>
      <c r="G198" s="1">
        <v>2</v>
      </c>
      <c r="H198" s="1">
        <v>131</v>
      </c>
      <c r="I198" s="1">
        <v>0</v>
      </c>
      <c r="J198" s="1">
        <v>2</v>
      </c>
      <c r="K198" s="1">
        <v>3</v>
      </c>
      <c r="L198" s="1">
        <v>0</v>
      </c>
      <c r="M198" s="1">
        <f>IF(ClevelandData[[#This Row],[num]]=0,0,1)</f>
        <v>0</v>
      </c>
    </row>
    <row r="199" spans="1:13" x14ac:dyDescent="0.25">
      <c r="A199" s="1">
        <v>45</v>
      </c>
      <c r="B199" s="1">
        <v>0</v>
      </c>
      <c r="C199" s="1">
        <v>4</v>
      </c>
      <c r="D199" s="1">
        <v>138</v>
      </c>
      <c r="E199" s="1">
        <v>236</v>
      </c>
      <c r="F199" s="1">
        <v>0</v>
      </c>
      <c r="G199" s="1">
        <v>2</v>
      </c>
      <c r="H199" s="1">
        <v>152</v>
      </c>
      <c r="I199" s="1">
        <v>1</v>
      </c>
      <c r="J199" s="1">
        <v>2</v>
      </c>
      <c r="K199" s="1">
        <v>3</v>
      </c>
      <c r="L199" s="1">
        <v>0</v>
      </c>
      <c r="M199" s="1">
        <f>IF(ClevelandData[[#This Row],[num]]=0,0,1)</f>
        <v>0</v>
      </c>
    </row>
    <row r="200" spans="1:13" x14ac:dyDescent="0.25">
      <c r="A200" s="1">
        <v>50</v>
      </c>
      <c r="B200" s="1">
        <v>0</v>
      </c>
      <c r="C200" s="1">
        <v>2</v>
      </c>
      <c r="D200" s="1">
        <v>120</v>
      </c>
      <c r="E200" s="1">
        <v>244</v>
      </c>
      <c r="F200" s="1">
        <v>0</v>
      </c>
      <c r="G200" s="1">
        <v>0</v>
      </c>
      <c r="H200" s="1">
        <v>162</v>
      </c>
      <c r="I200" s="1">
        <v>0</v>
      </c>
      <c r="J200" s="1">
        <v>1</v>
      </c>
      <c r="K200" s="1">
        <v>3</v>
      </c>
      <c r="L200" s="1">
        <v>0</v>
      </c>
      <c r="M200" s="1">
        <f>IF(ClevelandData[[#This Row],[num]]=0,0,1)</f>
        <v>0</v>
      </c>
    </row>
    <row r="201" spans="1:13" x14ac:dyDescent="0.25">
      <c r="A201" s="1">
        <v>59</v>
      </c>
      <c r="B201" s="1">
        <v>1</v>
      </c>
      <c r="C201" s="1">
        <v>1</v>
      </c>
      <c r="D201" s="1">
        <v>160</v>
      </c>
      <c r="E201" s="1">
        <v>273</v>
      </c>
      <c r="F201" s="1">
        <v>0</v>
      </c>
      <c r="G201" s="1">
        <v>2</v>
      </c>
      <c r="H201" s="1">
        <v>125</v>
      </c>
      <c r="I201" s="1">
        <v>0</v>
      </c>
      <c r="J201" s="1">
        <v>1</v>
      </c>
      <c r="K201" s="1">
        <v>3</v>
      </c>
      <c r="L201" s="1">
        <v>1</v>
      </c>
      <c r="M201" s="1">
        <f>IF(ClevelandData[[#This Row],[num]]=0,0,1)</f>
        <v>1</v>
      </c>
    </row>
    <row r="202" spans="1:13" x14ac:dyDescent="0.25">
      <c r="A202" s="1">
        <v>50</v>
      </c>
      <c r="B202" s="1">
        <v>0</v>
      </c>
      <c r="C202" s="1">
        <v>4</v>
      </c>
      <c r="D202" s="1">
        <v>110</v>
      </c>
      <c r="E202" s="1">
        <v>254</v>
      </c>
      <c r="F202" s="1">
        <v>0</v>
      </c>
      <c r="G202" s="1">
        <v>2</v>
      </c>
      <c r="H202" s="1">
        <v>159</v>
      </c>
      <c r="I202" s="1">
        <v>0</v>
      </c>
      <c r="J202" s="1">
        <v>1</v>
      </c>
      <c r="K202" s="1">
        <v>3</v>
      </c>
      <c r="L202" s="1">
        <v>0</v>
      </c>
      <c r="M202" s="1">
        <f>IF(ClevelandData[[#This Row],[num]]=0,0,1)</f>
        <v>0</v>
      </c>
    </row>
    <row r="203" spans="1:13" x14ac:dyDescent="0.25">
      <c r="A203" s="1">
        <v>64</v>
      </c>
      <c r="B203" s="1">
        <v>0</v>
      </c>
      <c r="C203" s="1">
        <v>4</v>
      </c>
      <c r="D203" s="1">
        <v>180</v>
      </c>
      <c r="E203" s="1">
        <v>325</v>
      </c>
      <c r="F203" s="1">
        <v>0</v>
      </c>
      <c r="G203" s="1">
        <v>0</v>
      </c>
      <c r="H203" s="1">
        <v>154</v>
      </c>
      <c r="I203" s="1">
        <v>1</v>
      </c>
      <c r="J203" s="1">
        <v>1</v>
      </c>
      <c r="K203" s="1">
        <v>3</v>
      </c>
      <c r="L203" s="1">
        <v>0</v>
      </c>
      <c r="M203" s="1">
        <f>IF(ClevelandData[[#This Row],[num]]=0,0,1)</f>
        <v>0</v>
      </c>
    </row>
    <row r="204" spans="1:13" x14ac:dyDescent="0.25">
      <c r="A204" s="1">
        <v>57</v>
      </c>
      <c r="B204" s="1">
        <v>1</v>
      </c>
      <c r="C204" s="1">
        <v>3</v>
      </c>
      <c r="D204" s="1">
        <v>150</v>
      </c>
      <c r="E204" s="1">
        <v>126</v>
      </c>
      <c r="F204" s="1">
        <v>1</v>
      </c>
      <c r="G204" s="1">
        <v>0</v>
      </c>
      <c r="H204" s="1">
        <v>173</v>
      </c>
      <c r="I204" s="1">
        <v>0</v>
      </c>
      <c r="J204" s="1">
        <v>1</v>
      </c>
      <c r="K204" s="1">
        <v>7</v>
      </c>
      <c r="L204" s="1">
        <v>0</v>
      </c>
      <c r="M204" s="1">
        <f>IF(ClevelandData[[#This Row],[num]]=0,0,1)</f>
        <v>0</v>
      </c>
    </row>
    <row r="205" spans="1:13" x14ac:dyDescent="0.25">
      <c r="A205" s="1">
        <v>64</v>
      </c>
      <c r="B205" s="1">
        <v>0</v>
      </c>
      <c r="C205" s="1">
        <v>3</v>
      </c>
      <c r="D205" s="1">
        <v>140</v>
      </c>
      <c r="E205" s="1">
        <v>313</v>
      </c>
      <c r="F205" s="1">
        <v>0</v>
      </c>
      <c r="G205" s="1">
        <v>0</v>
      </c>
      <c r="H205" s="1">
        <v>133</v>
      </c>
      <c r="I205" s="1">
        <v>0</v>
      </c>
      <c r="J205" s="1">
        <v>1</v>
      </c>
      <c r="K205" s="1">
        <v>7</v>
      </c>
      <c r="L205" s="1">
        <v>0</v>
      </c>
      <c r="M205" s="1">
        <f>IF(ClevelandData[[#This Row],[num]]=0,0,1)</f>
        <v>0</v>
      </c>
    </row>
    <row r="206" spans="1:13" x14ac:dyDescent="0.25">
      <c r="A206" s="1">
        <v>43</v>
      </c>
      <c r="B206" s="1">
        <v>1</v>
      </c>
      <c r="C206" s="1">
        <v>4</v>
      </c>
      <c r="D206" s="1">
        <v>110</v>
      </c>
      <c r="E206" s="1">
        <v>211</v>
      </c>
      <c r="F206" s="1">
        <v>0</v>
      </c>
      <c r="G206" s="1">
        <v>0</v>
      </c>
      <c r="H206" s="1">
        <v>161</v>
      </c>
      <c r="I206" s="1">
        <v>0</v>
      </c>
      <c r="J206" s="1">
        <v>1</v>
      </c>
      <c r="K206" s="1">
        <v>7</v>
      </c>
      <c r="L206" s="1">
        <v>0</v>
      </c>
      <c r="M206" s="1">
        <f>IF(ClevelandData[[#This Row],[num]]=0,0,1)</f>
        <v>0</v>
      </c>
    </row>
    <row r="207" spans="1:13" x14ac:dyDescent="0.25">
      <c r="A207" s="1">
        <v>45</v>
      </c>
      <c r="B207" s="1">
        <v>1</v>
      </c>
      <c r="C207" s="1">
        <v>4</v>
      </c>
      <c r="D207" s="1">
        <v>142</v>
      </c>
      <c r="E207" s="1">
        <v>309</v>
      </c>
      <c r="F207" s="1">
        <v>0</v>
      </c>
      <c r="G207" s="1">
        <v>2</v>
      </c>
      <c r="H207" s="1">
        <v>147</v>
      </c>
      <c r="I207" s="1">
        <v>1</v>
      </c>
      <c r="J207" s="1">
        <v>2</v>
      </c>
      <c r="K207" s="1">
        <v>7</v>
      </c>
      <c r="L207" s="1">
        <v>3</v>
      </c>
      <c r="M207" s="1">
        <f>IF(ClevelandData[[#This Row],[num]]=0,0,1)</f>
        <v>1</v>
      </c>
    </row>
    <row r="208" spans="1:13" x14ac:dyDescent="0.25">
      <c r="A208" s="1">
        <v>58</v>
      </c>
      <c r="B208" s="1">
        <v>1</v>
      </c>
      <c r="C208" s="1">
        <v>4</v>
      </c>
      <c r="D208" s="1">
        <v>128</v>
      </c>
      <c r="E208" s="1">
        <v>259</v>
      </c>
      <c r="F208" s="1">
        <v>0</v>
      </c>
      <c r="G208" s="1">
        <v>2</v>
      </c>
      <c r="H208" s="1">
        <v>130</v>
      </c>
      <c r="I208" s="1">
        <v>1</v>
      </c>
      <c r="J208" s="1">
        <v>2</v>
      </c>
      <c r="K208" s="1">
        <v>7</v>
      </c>
      <c r="L208" s="1">
        <v>3</v>
      </c>
      <c r="M208" s="1">
        <f>IF(ClevelandData[[#This Row],[num]]=0,0,1)</f>
        <v>1</v>
      </c>
    </row>
    <row r="209" spans="1:13" x14ac:dyDescent="0.25">
      <c r="A209" s="1">
        <v>50</v>
      </c>
      <c r="B209" s="1">
        <v>1</v>
      </c>
      <c r="C209" s="1">
        <v>4</v>
      </c>
      <c r="D209" s="1">
        <v>144</v>
      </c>
      <c r="E209" s="1">
        <v>200</v>
      </c>
      <c r="F209" s="1">
        <v>0</v>
      </c>
      <c r="G209" s="1">
        <v>2</v>
      </c>
      <c r="H209" s="1">
        <v>126</v>
      </c>
      <c r="I209" s="1">
        <v>1</v>
      </c>
      <c r="J209" s="1">
        <v>2</v>
      </c>
      <c r="K209" s="1">
        <v>7</v>
      </c>
      <c r="L209" s="1">
        <v>3</v>
      </c>
      <c r="M209" s="1">
        <f>IF(ClevelandData[[#This Row],[num]]=0,0,1)</f>
        <v>1</v>
      </c>
    </row>
    <row r="210" spans="1:13" x14ac:dyDescent="0.25">
      <c r="A210" s="1">
        <v>55</v>
      </c>
      <c r="B210" s="1">
        <v>1</v>
      </c>
      <c r="C210" s="1">
        <v>2</v>
      </c>
      <c r="D210" s="1">
        <v>130</v>
      </c>
      <c r="E210" s="1">
        <v>262</v>
      </c>
      <c r="F210" s="1">
        <v>0</v>
      </c>
      <c r="G210" s="1">
        <v>0</v>
      </c>
      <c r="H210" s="1">
        <v>155</v>
      </c>
      <c r="I210" s="1">
        <v>0</v>
      </c>
      <c r="J210" s="1">
        <v>1</v>
      </c>
      <c r="K210" s="1">
        <v>3</v>
      </c>
      <c r="L210" s="1">
        <v>0</v>
      </c>
      <c r="M210" s="1">
        <f>IF(ClevelandData[[#This Row],[num]]=0,0,1)</f>
        <v>0</v>
      </c>
    </row>
    <row r="211" spans="1:13" x14ac:dyDescent="0.25">
      <c r="A211" s="1">
        <v>62</v>
      </c>
      <c r="B211" s="1">
        <v>0</v>
      </c>
      <c r="C211" s="1">
        <v>4</v>
      </c>
      <c r="D211" s="1">
        <v>150</v>
      </c>
      <c r="E211" s="1">
        <v>244</v>
      </c>
      <c r="F211" s="1">
        <v>0</v>
      </c>
      <c r="G211" s="1">
        <v>0</v>
      </c>
      <c r="H211" s="1">
        <v>154</v>
      </c>
      <c r="I211" s="1">
        <v>1</v>
      </c>
      <c r="J211" s="1">
        <v>2</v>
      </c>
      <c r="K211" s="1">
        <v>3</v>
      </c>
      <c r="L211" s="1">
        <v>1</v>
      </c>
      <c r="M211" s="1">
        <f>IF(ClevelandData[[#This Row],[num]]=0,0,1)</f>
        <v>1</v>
      </c>
    </row>
    <row r="212" spans="1:13" x14ac:dyDescent="0.25">
      <c r="A212" s="1">
        <v>37</v>
      </c>
      <c r="B212" s="1">
        <v>0</v>
      </c>
      <c r="C212" s="1">
        <v>3</v>
      </c>
      <c r="D212" s="1">
        <v>120</v>
      </c>
      <c r="E212" s="1">
        <v>215</v>
      </c>
      <c r="F212" s="1">
        <v>0</v>
      </c>
      <c r="G212" s="1">
        <v>0</v>
      </c>
      <c r="H212" s="1">
        <v>170</v>
      </c>
      <c r="I212" s="1">
        <v>0</v>
      </c>
      <c r="J212" s="1">
        <v>1</v>
      </c>
      <c r="K212" s="1">
        <v>3</v>
      </c>
      <c r="L212" s="1">
        <v>0</v>
      </c>
      <c r="M212" s="1">
        <f>IF(ClevelandData[[#This Row],[num]]=0,0,1)</f>
        <v>0</v>
      </c>
    </row>
    <row r="213" spans="1:13" x14ac:dyDescent="0.25">
      <c r="A213" s="1">
        <v>38</v>
      </c>
      <c r="B213" s="1">
        <v>1</v>
      </c>
      <c r="C213" s="1">
        <v>1</v>
      </c>
      <c r="D213" s="1">
        <v>120</v>
      </c>
      <c r="E213" s="1">
        <v>231</v>
      </c>
      <c r="F213" s="1">
        <v>0</v>
      </c>
      <c r="G213" s="1">
        <v>0</v>
      </c>
      <c r="H213" s="1">
        <v>182</v>
      </c>
      <c r="I213" s="1">
        <v>1</v>
      </c>
      <c r="J213" s="1">
        <v>2</v>
      </c>
      <c r="K213" s="1">
        <v>7</v>
      </c>
      <c r="L213" s="1">
        <v>4</v>
      </c>
      <c r="M213" s="1">
        <f>IF(ClevelandData[[#This Row],[num]]=0,0,1)</f>
        <v>1</v>
      </c>
    </row>
    <row r="214" spans="1:13" x14ac:dyDescent="0.25">
      <c r="A214" s="1">
        <v>41</v>
      </c>
      <c r="B214" s="1">
        <v>1</v>
      </c>
      <c r="C214" s="1">
        <v>3</v>
      </c>
      <c r="D214" s="1">
        <v>130</v>
      </c>
      <c r="E214" s="1">
        <v>214</v>
      </c>
      <c r="F214" s="1">
        <v>0</v>
      </c>
      <c r="G214" s="1">
        <v>2</v>
      </c>
      <c r="H214" s="1">
        <v>168</v>
      </c>
      <c r="I214" s="1">
        <v>0</v>
      </c>
      <c r="J214" s="1">
        <v>2</v>
      </c>
      <c r="K214" s="1">
        <v>3</v>
      </c>
      <c r="L214" s="1">
        <v>0</v>
      </c>
      <c r="M214" s="1">
        <f>IF(ClevelandData[[#This Row],[num]]=0,0,1)</f>
        <v>0</v>
      </c>
    </row>
    <row r="215" spans="1:13" x14ac:dyDescent="0.25">
      <c r="A215" s="1">
        <v>66</v>
      </c>
      <c r="B215" s="1">
        <v>0</v>
      </c>
      <c r="C215" s="1">
        <v>4</v>
      </c>
      <c r="D215" s="1">
        <v>178</v>
      </c>
      <c r="E215" s="1">
        <v>228</v>
      </c>
      <c r="F215" s="1">
        <v>1</v>
      </c>
      <c r="G215" s="1">
        <v>0</v>
      </c>
      <c r="H215" s="1">
        <v>165</v>
      </c>
      <c r="I215" s="1">
        <v>1</v>
      </c>
      <c r="J215" s="1">
        <v>2</v>
      </c>
      <c r="K215" s="1">
        <v>7</v>
      </c>
      <c r="L215" s="1">
        <v>3</v>
      </c>
      <c r="M215" s="1">
        <f>IF(ClevelandData[[#This Row],[num]]=0,0,1)</f>
        <v>1</v>
      </c>
    </row>
    <row r="216" spans="1:13" x14ac:dyDescent="0.25">
      <c r="A216" s="1">
        <v>52</v>
      </c>
      <c r="B216" s="1">
        <v>1</v>
      </c>
      <c r="C216" s="1">
        <v>4</v>
      </c>
      <c r="D216" s="1">
        <v>112</v>
      </c>
      <c r="E216" s="1">
        <v>230</v>
      </c>
      <c r="F216" s="1">
        <v>0</v>
      </c>
      <c r="G216" s="1">
        <v>0</v>
      </c>
      <c r="H216" s="1">
        <v>160</v>
      </c>
      <c r="I216" s="1">
        <v>0</v>
      </c>
      <c r="J216" s="1">
        <v>1</v>
      </c>
      <c r="K216" s="1">
        <v>3</v>
      </c>
      <c r="L216" s="1">
        <v>1</v>
      </c>
      <c r="M216" s="1">
        <f>IF(ClevelandData[[#This Row],[num]]=0,0,1)</f>
        <v>1</v>
      </c>
    </row>
    <row r="217" spans="1:13" x14ac:dyDescent="0.25">
      <c r="A217" s="1">
        <v>56</v>
      </c>
      <c r="B217" s="1">
        <v>1</v>
      </c>
      <c r="C217" s="1">
        <v>1</v>
      </c>
      <c r="D217" s="1">
        <v>120</v>
      </c>
      <c r="E217" s="1">
        <v>193</v>
      </c>
      <c r="F217" s="1">
        <v>0</v>
      </c>
      <c r="G217" s="1">
        <v>2</v>
      </c>
      <c r="H217" s="1">
        <v>162</v>
      </c>
      <c r="I217" s="1">
        <v>0</v>
      </c>
      <c r="J217" s="1">
        <v>2</v>
      </c>
      <c r="K217" s="1">
        <v>7</v>
      </c>
      <c r="L217" s="1">
        <v>0</v>
      </c>
      <c r="M217" s="1">
        <f>IF(ClevelandData[[#This Row],[num]]=0,0,1)</f>
        <v>0</v>
      </c>
    </row>
    <row r="218" spans="1:13" x14ac:dyDescent="0.25">
      <c r="A218" s="1">
        <v>46</v>
      </c>
      <c r="B218" s="1">
        <v>0</v>
      </c>
      <c r="C218" s="1">
        <v>2</v>
      </c>
      <c r="D218" s="1">
        <v>105</v>
      </c>
      <c r="E218" s="1">
        <v>204</v>
      </c>
      <c r="F218" s="1">
        <v>0</v>
      </c>
      <c r="G218" s="1">
        <v>0</v>
      </c>
      <c r="H218" s="1">
        <v>172</v>
      </c>
      <c r="I218" s="1">
        <v>0</v>
      </c>
      <c r="J218" s="1">
        <v>1</v>
      </c>
      <c r="K218" s="1">
        <v>3</v>
      </c>
      <c r="L218" s="1">
        <v>0</v>
      </c>
      <c r="M218" s="1">
        <f>IF(ClevelandData[[#This Row],[num]]=0,0,1)</f>
        <v>0</v>
      </c>
    </row>
    <row r="219" spans="1:13" x14ac:dyDescent="0.25">
      <c r="A219" s="1">
        <v>46</v>
      </c>
      <c r="B219" s="1">
        <v>0</v>
      </c>
      <c r="C219" s="1">
        <v>4</v>
      </c>
      <c r="D219" s="1">
        <v>138</v>
      </c>
      <c r="E219" s="1">
        <v>243</v>
      </c>
      <c r="F219" s="1">
        <v>0</v>
      </c>
      <c r="G219" s="1">
        <v>2</v>
      </c>
      <c r="H219" s="1">
        <v>152</v>
      </c>
      <c r="I219" s="1">
        <v>1</v>
      </c>
      <c r="J219" s="1">
        <v>2</v>
      </c>
      <c r="K219" s="1">
        <v>3</v>
      </c>
      <c r="L219" s="1">
        <v>0</v>
      </c>
      <c r="M219" s="1">
        <f>IF(ClevelandData[[#This Row],[num]]=0,0,1)</f>
        <v>0</v>
      </c>
    </row>
    <row r="220" spans="1:13" x14ac:dyDescent="0.25">
      <c r="A220" s="1">
        <v>64</v>
      </c>
      <c r="B220" s="1">
        <v>0</v>
      </c>
      <c r="C220" s="1">
        <v>4</v>
      </c>
      <c r="D220" s="1">
        <v>130</v>
      </c>
      <c r="E220" s="1">
        <v>303</v>
      </c>
      <c r="F220" s="1">
        <v>0</v>
      </c>
      <c r="G220" s="1">
        <v>0</v>
      </c>
      <c r="H220" s="1">
        <v>122</v>
      </c>
      <c r="I220" s="1">
        <v>0</v>
      </c>
      <c r="J220" s="1">
        <v>2</v>
      </c>
      <c r="K220" s="1">
        <v>3</v>
      </c>
      <c r="L220" s="1">
        <v>0</v>
      </c>
      <c r="M220" s="1">
        <f>IF(ClevelandData[[#This Row],[num]]=0,0,1)</f>
        <v>0</v>
      </c>
    </row>
    <row r="221" spans="1:13" x14ac:dyDescent="0.25">
      <c r="A221" s="1">
        <v>59</v>
      </c>
      <c r="B221" s="1">
        <v>1</v>
      </c>
      <c r="C221" s="1">
        <v>4</v>
      </c>
      <c r="D221" s="1">
        <v>138</v>
      </c>
      <c r="E221" s="1">
        <v>271</v>
      </c>
      <c r="F221" s="1">
        <v>0</v>
      </c>
      <c r="G221" s="1">
        <v>2</v>
      </c>
      <c r="H221" s="1">
        <v>182</v>
      </c>
      <c r="I221" s="1">
        <v>0</v>
      </c>
      <c r="J221" s="1">
        <v>1</v>
      </c>
      <c r="K221" s="1">
        <v>3</v>
      </c>
      <c r="L221" s="1">
        <v>0</v>
      </c>
      <c r="M221" s="1">
        <f>IF(ClevelandData[[#This Row],[num]]=0,0,1)</f>
        <v>0</v>
      </c>
    </row>
    <row r="222" spans="1:13" x14ac:dyDescent="0.25">
      <c r="A222" s="1">
        <v>41</v>
      </c>
      <c r="B222" s="1">
        <v>0</v>
      </c>
      <c r="C222" s="1">
        <v>3</v>
      </c>
      <c r="D222" s="1">
        <v>112</v>
      </c>
      <c r="E222" s="1">
        <v>268</v>
      </c>
      <c r="F222" s="1">
        <v>0</v>
      </c>
      <c r="G222" s="1">
        <v>2</v>
      </c>
      <c r="H222" s="1">
        <v>172</v>
      </c>
      <c r="I222" s="1">
        <v>1</v>
      </c>
      <c r="J222" s="1">
        <v>1</v>
      </c>
      <c r="K222" s="1">
        <v>3</v>
      </c>
      <c r="L222" s="1">
        <v>0</v>
      </c>
      <c r="M222" s="1">
        <f>IF(ClevelandData[[#This Row],[num]]=0,0,1)</f>
        <v>0</v>
      </c>
    </row>
    <row r="223" spans="1:13" x14ac:dyDescent="0.25">
      <c r="A223" s="1">
        <v>54</v>
      </c>
      <c r="B223" s="1">
        <v>0</v>
      </c>
      <c r="C223" s="1">
        <v>3</v>
      </c>
      <c r="D223" s="1">
        <v>108</v>
      </c>
      <c r="E223" s="1">
        <v>267</v>
      </c>
      <c r="F223" s="1">
        <v>0</v>
      </c>
      <c r="G223" s="1">
        <v>2</v>
      </c>
      <c r="H223" s="1">
        <v>167</v>
      </c>
      <c r="I223" s="1">
        <v>0</v>
      </c>
      <c r="J223" s="1">
        <v>1</v>
      </c>
      <c r="K223" s="1">
        <v>3</v>
      </c>
      <c r="L223" s="1">
        <v>0</v>
      </c>
      <c r="M223" s="1">
        <f>IF(ClevelandData[[#This Row],[num]]=0,0,1)</f>
        <v>0</v>
      </c>
    </row>
    <row r="224" spans="1:13" x14ac:dyDescent="0.25">
      <c r="A224" s="1">
        <v>39</v>
      </c>
      <c r="B224" s="1">
        <v>0</v>
      </c>
      <c r="C224" s="1">
        <v>3</v>
      </c>
      <c r="D224" s="1">
        <v>94</v>
      </c>
      <c r="E224" s="1">
        <v>199</v>
      </c>
      <c r="F224" s="1">
        <v>0</v>
      </c>
      <c r="G224" s="1">
        <v>0</v>
      </c>
      <c r="H224" s="1">
        <v>179</v>
      </c>
      <c r="I224" s="1">
        <v>0</v>
      </c>
      <c r="J224" s="1">
        <v>1</v>
      </c>
      <c r="K224" s="1">
        <v>3</v>
      </c>
      <c r="L224" s="1">
        <v>0</v>
      </c>
      <c r="M224" s="1">
        <f>IF(ClevelandData[[#This Row],[num]]=0,0,1)</f>
        <v>0</v>
      </c>
    </row>
    <row r="225" spans="1:13" x14ac:dyDescent="0.25">
      <c r="A225" s="1">
        <v>53</v>
      </c>
      <c r="B225" s="1">
        <v>1</v>
      </c>
      <c r="C225" s="1">
        <v>4</v>
      </c>
      <c r="D225" s="1">
        <v>123</v>
      </c>
      <c r="E225" s="1">
        <v>282</v>
      </c>
      <c r="F225" s="1">
        <v>0</v>
      </c>
      <c r="G225" s="1">
        <v>0</v>
      </c>
      <c r="H225" s="1">
        <v>95</v>
      </c>
      <c r="I225" s="1">
        <v>1</v>
      </c>
      <c r="J225" s="1">
        <v>2</v>
      </c>
      <c r="K225" s="1">
        <v>7</v>
      </c>
      <c r="L225" s="1">
        <v>3</v>
      </c>
      <c r="M225" s="1">
        <f>IF(ClevelandData[[#This Row],[num]]=0,0,1)</f>
        <v>1</v>
      </c>
    </row>
    <row r="226" spans="1:13" x14ac:dyDescent="0.25">
      <c r="A226" s="1">
        <v>63</v>
      </c>
      <c r="B226" s="1">
        <v>0</v>
      </c>
      <c r="C226" s="1">
        <v>4</v>
      </c>
      <c r="D226" s="1">
        <v>108</v>
      </c>
      <c r="E226" s="1">
        <v>269</v>
      </c>
      <c r="F226" s="1">
        <v>0</v>
      </c>
      <c r="G226" s="1">
        <v>0</v>
      </c>
      <c r="H226" s="1">
        <v>169</v>
      </c>
      <c r="I226" s="1">
        <v>1</v>
      </c>
      <c r="J226" s="1">
        <v>2</v>
      </c>
      <c r="K226" s="1">
        <v>3</v>
      </c>
      <c r="L226" s="1">
        <v>1</v>
      </c>
      <c r="M226" s="1">
        <f>IF(ClevelandData[[#This Row],[num]]=0,0,1)</f>
        <v>1</v>
      </c>
    </row>
    <row r="227" spans="1:13" x14ac:dyDescent="0.25">
      <c r="A227" s="1">
        <v>34</v>
      </c>
      <c r="B227" s="1">
        <v>0</v>
      </c>
      <c r="C227" s="1">
        <v>2</v>
      </c>
      <c r="D227" s="1">
        <v>118</v>
      </c>
      <c r="E227" s="1">
        <v>210</v>
      </c>
      <c r="F227" s="1">
        <v>0</v>
      </c>
      <c r="G227" s="1">
        <v>0</v>
      </c>
      <c r="H227" s="1">
        <v>192</v>
      </c>
      <c r="I227" s="1">
        <v>0</v>
      </c>
      <c r="J227" s="1">
        <v>1</v>
      </c>
      <c r="K227" s="1">
        <v>3</v>
      </c>
      <c r="L227" s="1">
        <v>0</v>
      </c>
      <c r="M227" s="1">
        <f>IF(ClevelandData[[#This Row],[num]]=0,0,1)</f>
        <v>0</v>
      </c>
    </row>
    <row r="228" spans="1:13" x14ac:dyDescent="0.25">
      <c r="A228" s="1">
        <v>47</v>
      </c>
      <c r="B228" s="1">
        <v>1</v>
      </c>
      <c r="C228" s="1">
        <v>4</v>
      </c>
      <c r="D228" s="1">
        <v>112</v>
      </c>
      <c r="E228" s="1">
        <v>204</v>
      </c>
      <c r="F228" s="1">
        <v>0</v>
      </c>
      <c r="G228" s="1">
        <v>0</v>
      </c>
      <c r="H228" s="1">
        <v>143</v>
      </c>
      <c r="I228" s="1">
        <v>0</v>
      </c>
      <c r="J228" s="1">
        <v>1</v>
      </c>
      <c r="K228" s="1">
        <v>3</v>
      </c>
      <c r="L228" s="1">
        <v>0</v>
      </c>
      <c r="M228" s="1">
        <f>IF(ClevelandData[[#This Row],[num]]=0,0,1)</f>
        <v>0</v>
      </c>
    </row>
    <row r="229" spans="1:13" x14ac:dyDescent="0.25">
      <c r="A229" s="1">
        <v>67</v>
      </c>
      <c r="B229" s="1">
        <v>0</v>
      </c>
      <c r="C229" s="1">
        <v>3</v>
      </c>
      <c r="D229" s="1">
        <v>152</v>
      </c>
      <c r="E229" s="1">
        <v>277</v>
      </c>
      <c r="F229" s="1">
        <v>0</v>
      </c>
      <c r="G229" s="1">
        <v>0</v>
      </c>
      <c r="H229" s="1">
        <v>172</v>
      </c>
      <c r="I229" s="1">
        <v>0</v>
      </c>
      <c r="J229" s="1">
        <v>1</v>
      </c>
      <c r="K229" s="1">
        <v>3</v>
      </c>
      <c r="L229" s="1">
        <v>0</v>
      </c>
      <c r="M229" s="1">
        <f>IF(ClevelandData[[#This Row],[num]]=0,0,1)</f>
        <v>0</v>
      </c>
    </row>
    <row r="230" spans="1:13" x14ac:dyDescent="0.25">
      <c r="A230" s="1">
        <v>54</v>
      </c>
      <c r="B230" s="1">
        <v>1</v>
      </c>
      <c r="C230" s="1">
        <v>4</v>
      </c>
      <c r="D230" s="1">
        <v>110</v>
      </c>
      <c r="E230" s="1">
        <v>206</v>
      </c>
      <c r="F230" s="1">
        <v>0</v>
      </c>
      <c r="G230" s="1">
        <v>2</v>
      </c>
      <c r="H230" s="1">
        <v>108</v>
      </c>
      <c r="I230" s="1">
        <v>1</v>
      </c>
      <c r="J230" s="1">
        <v>2</v>
      </c>
      <c r="K230" s="1">
        <v>3</v>
      </c>
      <c r="L230" s="1">
        <v>3</v>
      </c>
      <c r="M230" s="1">
        <f>IF(ClevelandData[[#This Row],[num]]=0,0,1)</f>
        <v>1</v>
      </c>
    </row>
    <row r="231" spans="1:13" x14ac:dyDescent="0.25">
      <c r="A231" s="1">
        <v>66</v>
      </c>
      <c r="B231" s="1">
        <v>1</v>
      </c>
      <c r="C231" s="1">
        <v>4</v>
      </c>
      <c r="D231" s="1">
        <v>112</v>
      </c>
      <c r="E231" s="1">
        <v>212</v>
      </c>
      <c r="F231" s="1">
        <v>0</v>
      </c>
      <c r="G231" s="1">
        <v>2</v>
      </c>
      <c r="H231" s="1">
        <v>132</v>
      </c>
      <c r="I231" s="1">
        <v>1</v>
      </c>
      <c r="J231" s="1">
        <v>1</v>
      </c>
      <c r="K231" s="1">
        <v>3</v>
      </c>
      <c r="L231" s="1">
        <v>2</v>
      </c>
      <c r="M231" s="1">
        <f>IF(ClevelandData[[#This Row],[num]]=0,0,1)</f>
        <v>1</v>
      </c>
    </row>
    <row r="232" spans="1:13" x14ac:dyDescent="0.25">
      <c r="A232" s="1">
        <v>52</v>
      </c>
      <c r="B232" s="1">
        <v>0</v>
      </c>
      <c r="C232" s="1">
        <v>3</v>
      </c>
      <c r="D232" s="1">
        <v>136</v>
      </c>
      <c r="E232" s="1">
        <v>196</v>
      </c>
      <c r="F232" s="1">
        <v>0</v>
      </c>
      <c r="G232" s="1">
        <v>2</v>
      </c>
      <c r="H232" s="1">
        <v>169</v>
      </c>
      <c r="I232" s="1">
        <v>0</v>
      </c>
      <c r="J232" s="1">
        <v>2</v>
      </c>
      <c r="K232" s="1">
        <v>3</v>
      </c>
      <c r="L232" s="1">
        <v>0</v>
      </c>
      <c r="M232" s="1">
        <f>IF(ClevelandData[[#This Row],[num]]=0,0,1)</f>
        <v>0</v>
      </c>
    </row>
    <row r="233" spans="1:13" x14ac:dyDescent="0.25">
      <c r="A233" s="1">
        <v>55</v>
      </c>
      <c r="B233" s="1">
        <v>0</v>
      </c>
      <c r="C233" s="1">
        <v>4</v>
      </c>
      <c r="D233" s="1">
        <v>180</v>
      </c>
      <c r="E233" s="1">
        <v>327</v>
      </c>
      <c r="F233" s="1">
        <v>0</v>
      </c>
      <c r="G233" s="1">
        <v>1</v>
      </c>
      <c r="H233" s="1">
        <v>117</v>
      </c>
      <c r="I233" s="1">
        <v>1</v>
      </c>
      <c r="J233" s="1">
        <v>2</v>
      </c>
      <c r="K233" s="1">
        <v>3</v>
      </c>
      <c r="L233" s="1">
        <v>2</v>
      </c>
      <c r="M233" s="1">
        <f>IF(ClevelandData[[#This Row],[num]]=0,0,1)</f>
        <v>1</v>
      </c>
    </row>
    <row r="234" spans="1:13" x14ac:dyDescent="0.25">
      <c r="A234" s="1">
        <v>49</v>
      </c>
      <c r="B234" s="1">
        <v>1</v>
      </c>
      <c r="C234" s="1">
        <v>3</v>
      </c>
      <c r="D234" s="1">
        <v>118</v>
      </c>
      <c r="E234" s="1">
        <v>149</v>
      </c>
      <c r="F234" s="1">
        <v>0</v>
      </c>
      <c r="G234" s="1">
        <v>2</v>
      </c>
      <c r="H234" s="1">
        <v>126</v>
      </c>
      <c r="I234" s="1">
        <v>0</v>
      </c>
      <c r="J234" s="1">
        <v>1</v>
      </c>
      <c r="K234" s="1">
        <v>3</v>
      </c>
      <c r="L234" s="1">
        <v>1</v>
      </c>
      <c r="M234" s="1">
        <f>IF(ClevelandData[[#This Row],[num]]=0,0,1)</f>
        <v>1</v>
      </c>
    </row>
    <row r="235" spans="1:13" x14ac:dyDescent="0.25">
      <c r="A235" s="1">
        <v>74</v>
      </c>
      <c r="B235" s="1">
        <v>0</v>
      </c>
      <c r="C235" s="1">
        <v>2</v>
      </c>
      <c r="D235" s="1">
        <v>120</v>
      </c>
      <c r="E235" s="1">
        <v>269</v>
      </c>
      <c r="F235" s="1">
        <v>0</v>
      </c>
      <c r="G235" s="1">
        <v>2</v>
      </c>
      <c r="H235" s="1">
        <v>121</v>
      </c>
      <c r="I235" s="1">
        <v>1</v>
      </c>
      <c r="J235" s="1">
        <v>1</v>
      </c>
      <c r="K235" s="1">
        <v>3</v>
      </c>
      <c r="L235" s="1">
        <v>0</v>
      </c>
      <c r="M235" s="1">
        <f>IF(ClevelandData[[#This Row],[num]]=0,0,1)</f>
        <v>0</v>
      </c>
    </row>
    <row r="236" spans="1:13" x14ac:dyDescent="0.25">
      <c r="A236" s="1">
        <v>54</v>
      </c>
      <c r="B236" s="1">
        <v>0</v>
      </c>
      <c r="C236" s="1">
        <v>3</v>
      </c>
      <c r="D236" s="1">
        <v>160</v>
      </c>
      <c r="E236" s="1">
        <v>201</v>
      </c>
      <c r="F236" s="1">
        <v>0</v>
      </c>
      <c r="G236" s="1">
        <v>0</v>
      </c>
      <c r="H236" s="1">
        <v>163</v>
      </c>
      <c r="I236" s="1">
        <v>0</v>
      </c>
      <c r="J236" s="1">
        <v>1</v>
      </c>
      <c r="K236" s="1">
        <v>3</v>
      </c>
      <c r="L236" s="1">
        <v>0</v>
      </c>
      <c r="M236" s="1">
        <f>IF(ClevelandData[[#This Row],[num]]=0,0,1)</f>
        <v>0</v>
      </c>
    </row>
    <row r="237" spans="1:13" x14ac:dyDescent="0.25">
      <c r="A237" s="1">
        <v>54</v>
      </c>
      <c r="B237" s="1">
        <v>1</v>
      </c>
      <c r="C237" s="1">
        <v>4</v>
      </c>
      <c r="D237" s="1">
        <v>122</v>
      </c>
      <c r="E237" s="1">
        <v>286</v>
      </c>
      <c r="F237" s="1">
        <v>0</v>
      </c>
      <c r="G237" s="1">
        <v>2</v>
      </c>
      <c r="H237" s="1">
        <v>116</v>
      </c>
      <c r="I237" s="1">
        <v>1</v>
      </c>
      <c r="J237" s="1">
        <v>2</v>
      </c>
      <c r="K237" s="1">
        <v>3</v>
      </c>
      <c r="L237" s="1">
        <v>3</v>
      </c>
      <c r="M237" s="1">
        <f>IF(ClevelandData[[#This Row],[num]]=0,0,1)</f>
        <v>1</v>
      </c>
    </row>
    <row r="238" spans="1:13" x14ac:dyDescent="0.25">
      <c r="A238" s="1">
        <v>56</v>
      </c>
      <c r="B238" s="1">
        <v>1</v>
      </c>
      <c r="C238" s="1">
        <v>4</v>
      </c>
      <c r="D238" s="1">
        <v>130</v>
      </c>
      <c r="E238" s="1">
        <v>283</v>
      </c>
      <c r="F238" s="1">
        <v>1</v>
      </c>
      <c r="G238" s="1">
        <v>2</v>
      </c>
      <c r="H238" s="1">
        <v>103</v>
      </c>
      <c r="I238" s="1">
        <v>1</v>
      </c>
      <c r="J238" s="1">
        <v>3</v>
      </c>
      <c r="K238" s="1">
        <v>7</v>
      </c>
      <c r="L238" s="1">
        <v>2</v>
      </c>
      <c r="M238" s="1">
        <f>IF(ClevelandData[[#This Row],[num]]=0,0,1)</f>
        <v>1</v>
      </c>
    </row>
    <row r="239" spans="1:13" x14ac:dyDescent="0.25">
      <c r="A239" s="1">
        <v>46</v>
      </c>
      <c r="B239" s="1">
        <v>1</v>
      </c>
      <c r="C239" s="1">
        <v>4</v>
      </c>
      <c r="D239" s="1">
        <v>120</v>
      </c>
      <c r="E239" s="1">
        <v>249</v>
      </c>
      <c r="F239" s="1">
        <v>0</v>
      </c>
      <c r="G239" s="1">
        <v>2</v>
      </c>
      <c r="H239" s="1">
        <v>144</v>
      </c>
      <c r="I239" s="1">
        <v>0</v>
      </c>
      <c r="J239" s="1">
        <v>1</v>
      </c>
      <c r="K239" s="1">
        <v>7</v>
      </c>
      <c r="L239" s="1">
        <v>1</v>
      </c>
      <c r="M239" s="1">
        <f>IF(ClevelandData[[#This Row],[num]]=0,0,1)</f>
        <v>1</v>
      </c>
    </row>
    <row r="240" spans="1:13" x14ac:dyDescent="0.25">
      <c r="A240" s="1">
        <v>49</v>
      </c>
      <c r="B240" s="1">
        <v>0</v>
      </c>
      <c r="C240" s="1">
        <v>2</v>
      </c>
      <c r="D240" s="1">
        <v>134</v>
      </c>
      <c r="E240" s="1">
        <v>271</v>
      </c>
      <c r="F240" s="1">
        <v>0</v>
      </c>
      <c r="G240" s="1">
        <v>0</v>
      </c>
      <c r="H240" s="1">
        <v>162</v>
      </c>
      <c r="I240" s="1">
        <v>0</v>
      </c>
      <c r="J240" s="1">
        <v>2</v>
      </c>
      <c r="K240" s="1">
        <v>3</v>
      </c>
      <c r="L240" s="1">
        <v>0</v>
      </c>
      <c r="M240" s="1">
        <f>IF(ClevelandData[[#This Row],[num]]=0,0,1)</f>
        <v>0</v>
      </c>
    </row>
    <row r="241" spans="1:13" x14ac:dyDescent="0.25">
      <c r="A241" s="1">
        <v>42</v>
      </c>
      <c r="B241" s="1">
        <v>1</v>
      </c>
      <c r="C241" s="1">
        <v>2</v>
      </c>
      <c r="D241" s="1">
        <v>120</v>
      </c>
      <c r="E241" s="1">
        <v>295</v>
      </c>
      <c r="F241" s="1">
        <v>0</v>
      </c>
      <c r="G241" s="1">
        <v>0</v>
      </c>
      <c r="H241" s="1">
        <v>162</v>
      </c>
      <c r="I241" s="1">
        <v>0</v>
      </c>
      <c r="J241" s="1">
        <v>1</v>
      </c>
      <c r="K241" s="1">
        <v>3</v>
      </c>
      <c r="L241" s="1">
        <v>0</v>
      </c>
      <c r="M241" s="1">
        <f>IF(ClevelandData[[#This Row],[num]]=0,0,1)</f>
        <v>0</v>
      </c>
    </row>
    <row r="242" spans="1:13" x14ac:dyDescent="0.25">
      <c r="A242" s="1">
        <v>41</v>
      </c>
      <c r="B242" s="1">
        <v>1</v>
      </c>
      <c r="C242" s="1">
        <v>2</v>
      </c>
      <c r="D242" s="1">
        <v>110</v>
      </c>
      <c r="E242" s="1">
        <v>235</v>
      </c>
      <c r="F242" s="1">
        <v>0</v>
      </c>
      <c r="G242" s="1">
        <v>0</v>
      </c>
      <c r="H242" s="1">
        <v>153</v>
      </c>
      <c r="I242" s="1">
        <v>0</v>
      </c>
      <c r="J242" s="1">
        <v>1</v>
      </c>
      <c r="K242" s="1">
        <v>3</v>
      </c>
      <c r="L242" s="1">
        <v>0</v>
      </c>
      <c r="M242" s="1">
        <f>IF(ClevelandData[[#This Row],[num]]=0,0,1)</f>
        <v>0</v>
      </c>
    </row>
    <row r="243" spans="1:13" x14ac:dyDescent="0.25">
      <c r="A243" s="1">
        <v>41</v>
      </c>
      <c r="B243" s="1">
        <v>0</v>
      </c>
      <c r="C243" s="1">
        <v>2</v>
      </c>
      <c r="D243" s="1">
        <v>126</v>
      </c>
      <c r="E243" s="1">
        <v>306</v>
      </c>
      <c r="F243" s="1">
        <v>0</v>
      </c>
      <c r="G243" s="1">
        <v>0</v>
      </c>
      <c r="H243" s="1">
        <v>163</v>
      </c>
      <c r="I243" s="1">
        <v>0</v>
      </c>
      <c r="J243" s="1">
        <v>1</v>
      </c>
      <c r="K243" s="1">
        <v>3</v>
      </c>
      <c r="L243" s="1">
        <v>0</v>
      </c>
      <c r="M243" s="1">
        <f>IF(ClevelandData[[#This Row],[num]]=0,0,1)</f>
        <v>0</v>
      </c>
    </row>
    <row r="244" spans="1:13" x14ac:dyDescent="0.25">
      <c r="A244" s="1">
        <v>49</v>
      </c>
      <c r="B244" s="1">
        <v>0</v>
      </c>
      <c r="C244" s="1">
        <v>4</v>
      </c>
      <c r="D244" s="1">
        <v>130</v>
      </c>
      <c r="E244" s="1">
        <v>269</v>
      </c>
      <c r="F244" s="1">
        <v>0</v>
      </c>
      <c r="G244" s="1">
        <v>0</v>
      </c>
      <c r="H244" s="1">
        <v>163</v>
      </c>
      <c r="I244" s="1">
        <v>0</v>
      </c>
      <c r="J244" s="1">
        <v>1</v>
      </c>
      <c r="K244" s="1">
        <v>3</v>
      </c>
      <c r="L244" s="1">
        <v>0</v>
      </c>
      <c r="M244" s="1">
        <f>IF(ClevelandData[[#This Row],[num]]=0,0,1)</f>
        <v>0</v>
      </c>
    </row>
    <row r="245" spans="1:13" x14ac:dyDescent="0.25">
      <c r="A245" s="1">
        <v>61</v>
      </c>
      <c r="B245" s="1">
        <v>1</v>
      </c>
      <c r="C245" s="1">
        <v>1</v>
      </c>
      <c r="D245" s="1">
        <v>134</v>
      </c>
      <c r="E245" s="1">
        <v>234</v>
      </c>
      <c r="F245" s="1">
        <v>0</v>
      </c>
      <c r="G245" s="1">
        <v>0</v>
      </c>
      <c r="H245" s="1">
        <v>145</v>
      </c>
      <c r="I245" s="1">
        <v>0</v>
      </c>
      <c r="J245" s="1">
        <v>2</v>
      </c>
      <c r="K245" s="1">
        <v>3</v>
      </c>
      <c r="L245" s="1">
        <v>2</v>
      </c>
      <c r="M245" s="1">
        <f>IF(ClevelandData[[#This Row],[num]]=0,0,1)</f>
        <v>1</v>
      </c>
    </row>
    <row r="246" spans="1:13" x14ac:dyDescent="0.25">
      <c r="A246" s="1">
        <v>60</v>
      </c>
      <c r="B246" s="1">
        <v>0</v>
      </c>
      <c r="C246" s="1">
        <v>3</v>
      </c>
      <c r="D246" s="1">
        <v>120</v>
      </c>
      <c r="E246" s="1">
        <v>178</v>
      </c>
      <c r="F246" s="1">
        <v>1</v>
      </c>
      <c r="G246" s="1">
        <v>0</v>
      </c>
      <c r="H246" s="1">
        <v>96</v>
      </c>
      <c r="I246" s="1">
        <v>0</v>
      </c>
      <c r="J246" s="1">
        <v>1</v>
      </c>
      <c r="K246" s="1">
        <v>3</v>
      </c>
      <c r="L246" s="1">
        <v>0</v>
      </c>
      <c r="M246" s="1">
        <f>IF(ClevelandData[[#This Row],[num]]=0,0,1)</f>
        <v>0</v>
      </c>
    </row>
    <row r="247" spans="1:13" x14ac:dyDescent="0.25">
      <c r="A247" s="1">
        <v>67</v>
      </c>
      <c r="B247" s="1">
        <v>1</v>
      </c>
      <c r="C247" s="1">
        <v>4</v>
      </c>
      <c r="D247" s="1">
        <v>120</v>
      </c>
      <c r="E247" s="1">
        <v>237</v>
      </c>
      <c r="F247" s="1">
        <v>0</v>
      </c>
      <c r="G247" s="1">
        <v>0</v>
      </c>
      <c r="H247" s="1">
        <v>71</v>
      </c>
      <c r="I247" s="1">
        <v>0</v>
      </c>
      <c r="J247" s="1">
        <v>2</v>
      </c>
      <c r="K247" s="1">
        <v>3</v>
      </c>
      <c r="L247" s="1">
        <v>2</v>
      </c>
      <c r="M247" s="1">
        <f>IF(ClevelandData[[#This Row],[num]]=0,0,1)</f>
        <v>1</v>
      </c>
    </row>
    <row r="248" spans="1:13" x14ac:dyDescent="0.25">
      <c r="A248" s="1">
        <v>58</v>
      </c>
      <c r="B248" s="1">
        <v>1</v>
      </c>
      <c r="C248" s="1">
        <v>4</v>
      </c>
      <c r="D248" s="1">
        <v>100</v>
      </c>
      <c r="E248" s="1">
        <v>234</v>
      </c>
      <c r="F248" s="1">
        <v>0</v>
      </c>
      <c r="G248" s="1">
        <v>0</v>
      </c>
      <c r="H248" s="1">
        <v>156</v>
      </c>
      <c r="I248" s="1">
        <v>0</v>
      </c>
      <c r="J248" s="1">
        <v>1</v>
      </c>
      <c r="K248" s="1">
        <v>7</v>
      </c>
      <c r="L248" s="1">
        <v>2</v>
      </c>
      <c r="M248" s="1">
        <f>IF(ClevelandData[[#This Row],[num]]=0,0,1)</f>
        <v>1</v>
      </c>
    </row>
    <row r="249" spans="1:13" x14ac:dyDescent="0.25">
      <c r="A249" s="1">
        <v>47</v>
      </c>
      <c r="B249" s="1">
        <v>1</v>
      </c>
      <c r="C249" s="1">
        <v>4</v>
      </c>
      <c r="D249" s="1">
        <v>110</v>
      </c>
      <c r="E249" s="1">
        <v>275</v>
      </c>
      <c r="F249" s="1">
        <v>0</v>
      </c>
      <c r="G249" s="1">
        <v>2</v>
      </c>
      <c r="H249" s="1">
        <v>118</v>
      </c>
      <c r="I249" s="1">
        <v>1</v>
      </c>
      <c r="J249" s="1">
        <v>2</v>
      </c>
      <c r="K249" s="1">
        <v>3</v>
      </c>
      <c r="L249" s="1">
        <v>1</v>
      </c>
      <c r="M249" s="1">
        <f>IF(ClevelandData[[#This Row],[num]]=0,0,1)</f>
        <v>1</v>
      </c>
    </row>
    <row r="250" spans="1:13" x14ac:dyDescent="0.25">
      <c r="A250" s="1">
        <v>52</v>
      </c>
      <c r="B250" s="1">
        <v>1</v>
      </c>
      <c r="C250" s="1">
        <v>4</v>
      </c>
      <c r="D250" s="1">
        <v>125</v>
      </c>
      <c r="E250" s="1">
        <v>212</v>
      </c>
      <c r="F250" s="1">
        <v>0</v>
      </c>
      <c r="G250" s="1">
        <v>0</v>
      </c>
      <c r="H250" s="1">
        <v>168</v>
      </c>
      <c r="I250" s="1">
        <v>0</v>
      </c>
      <c r="J250" s="1">
        <v>1</v>
      </c>
      <c r="K250" s="1">
        <v>7</v>
      </c>
      <c r="L250" s="1">
        <v>3</v>
      </c>
      <c r="M250" s="1">
        <f>IF(ClevelandData[[#This Row],[num]]=0,0,1)</f>
        <v>1</v>
      </c>
    </row>
    <row r="251" spans="1:13" x14ac:dyDescent="0.25">
      <c r="A251" s="1">
        <v>62</v>
      </c>
      <c r="B251" s="1">
        <v>1</v>
      </c>
      <c r="C251" s="1">
        <v>2</v>
      </c>
      <c r="D251" s="1">
        <v>128</v>
      </c>
      <c r="E251" s="1">
        <v>208</v>
      </c>
      <c r="F251" s="1">
        <v>1</v>
      </c>
      <c r="G251" s="1">
        <v>2</v>
      </c>
      <c r="H251" s="1">
        <v>140</v>
      </c>
      <c r="I251" s="1">
        <v>0</v>
      </c>
      <c r="J251" s="1">
        <v>1</v>
      </c>
      <c r="K251" s="1">
        <v>3</v>
      </c>
      <c r="L251" s="1">
        <v>0</v>
      </c>
      <c r="M251" s="1">
        <f>IF(ClevelandData[[#This Row],[num]]=0,0,1)</f>
        <v>0</v>
      </c>
    </row>
    <row r="252" spans="1:13" x14ac:dyDescent="0.25">
      <c r="A252" s="1">
        <v>57</v>
      </c>
      <c r="B252" s="1">
        <v>1</v>
      </c>
      <c r="C252" s="1">
        <v>4</v>
      </c>
      <c r="D252" s="1">
        <v>110</v>
      </c>
      <c r="E252" s="1">
        <v>201</v>
      </c>
      <c r="F252" s="1">
        <v>0</v>
      </c>
      <c r="G252" s="1">
        <v>0</v>
      </c>
      <c r="H252" s="1">
        <v>126</v>
      </c>
      <c r="I252" s="1">
        <v>1</v>
      </c>
      <c r="J252" s="1">
        <v>2</v>
      </c>
      <c r="K252" s="1">
        <v>6</v>
      </c>
      <c r="L252" s="1">
        <v>0</v>
      </c>
      <c r="M252" s="1">
        <f>IF(ClevelandData[[#This Row],[num]]=0,0,1)</f>
        <v>0</v>
      </c>
    </row>
    <row r="253" spans="1:13" x14ac:dyDescent="0.25">
      <c r="A253" s="1">
        <v>58</v>
      </c>
      <c r="B253" s="1">
        <v>1</v>
      </c>
      <c r="C253" s="1">
        <v>4</v>
      </c>
      <c r="D253" s="1">
        <v>146</v>
      </c>
      <c r="E253" s="1">
        <v>218</v>
      </c>
      <c r="F253" s="1">
        <v>0</v>
      </c>
      <c r="G253" s="1">
        <v>0</v>
      </c>
      <c r="H253" s="1">
        <v>105</v>
      </c>
      <c r="I253" s="1">
        <v>0</v>
      </c>
      <c r="J253" s="1">
        <v>2</v>
      </c>
      <c r="K253" s="1">
        <v>7</v>
      </c>
      <c r="L253" s="1">
        <v>1</v>
      </c>
      <c r="M253" s="1">
        <f>IF(ClevelandData[[#This Row],[num]]=0,0,1)</f>
        <v>1</v>
      </c>
    </row>
    <row r="254" spans="1:13" x14ac:dyDescent="0.25">
      <c r="A254" s="1">
        <v>64</v>
      </c>
      <c r="B254" s="1">
        <v>1</v>
      </c>
      <c r="C254" s="1">
        <v>4</v>
      </c>
      <c r="D254" s="1">
        <v>128</v>
      </c>
      <c r="E254" s="1">
        <v>263</v>
      </c>
      <c r="F254" s="1">
        <v>0</v>
      </c>
      <c r="G254" s="1">
        <v>0</v>
      </c>
      <c r="H254" s="1">
        <v>105</v>
      </c>
      <c r="I254" s="1">
        <v>1</v>
      </c>
      <c r="J254" s="1">
        <v>2</v>
      </c>
      <c r="K254" s="1">
        <v>7</v>
      </c>
      <c r="L254" s="1">
        <v>0</v>
      </c>
      <c r="M254" s="1">
        <f>IF(ClevelandData[[#This Row],[num]]=0,0,1)</f>
        <v>0</v>
      </c>
    </row>
    <row r="255" spans="1:13" x14ac:dyDescent="0.25">
      <c r="A255" s="1">
        <v>51</v>
      </c>
      <c r="B255" s="1">
        <v>0</v>
      </c>
      <c r="C255" s="1">
        <v>3</v>
      </c>
      <c r="D255" s="1">
        <v>120</v>
      </c>
      <c r="E255" s="1">
        <v>295</v>
      </c>
      <c r="F255" s="1">
        <v>0</v>
      </c>
      <c r="G255" s="1">
        <v>2</v>
      </c>
      <c r="H255" s="1">
        <v>157</v>
      </c>
      <c r="I255" s="1">
        <v>0</v>
      </c>
      <c r="J255" s="1">
        <v>1</v>
      </c>
      <c r="K255" s="1">
        <v>3</v>
      </c>
      <c r="L255" s="1">
        <v>0</v>
      </c>
      <c r="M255" s="1">
        <f>IF(ClevelandData[[#This Row],[num]]=0,0,1)</f>
        <v>0</v>
      </c>
    </row>
    <row r="256" spans="1:13" x14ac:dyDescent="0.25">
      <c r="A256" s="1">
        <v>43</v>
      </c>
      <c r="B256" s="1">
        <v>1</v>
      </c>
      <c r="C256" s="1">
        <v>4</v>
      </c>
      <c r="D256" s="1">
        <v>115</v>
      </c>
      <c r="E256" s="1">
        <v>303</v>
      </c>
      <c r="F256" s="1">
        <v>0</v>
      </c>
      <c r="G256" s="1">
        <v>0</v>
      </c>
      <c r="H256" s="1">
        <v>181</v>
      </c>
      <c r="I256" s="1">
        <v>0</v>
      </c>
      <c r="J256" s="1">
        <v>2</v>
      </c>
      <c r="K256" s="1">
        <v>3</v>
      </c>
      <c r="L256" s="1">
        <v>0</v>
      </c>
      <c r="M256" s="1">
        <f>IF(ClevelandData[[#This Row],[num]]=0,0,1)</f>
        <v>0</v>
      </c>
    </row>
    <row r="257" spans="1:13" x14ac:dyDescent="0.25">
      <c r="A257" s="1">
        <v>42</v>
      </c>
      <c r="B257" s="1">
        <v>0</v>
      </c>
      <c r="C257" s="1">
        <v>3</v>
      </c>
      <c r="D257" s="1">
        <v>120</v>
      </c>
      <c r="E257" s="1">
        <v>209</v>
      </c>
      <c r="F257" s="1">
        <v>0</v>
      </c>
      <c r="G257" s="1">
        <v>0</v>
      </c>
      <c r="H257" s="1">
        <v>173</v>
      </c>
      <c r="I257" s="1">
        <v>0</v>
      </c>
      <c r="J257" s="1">
        <v>2</v>
      </c>
      <c r="K257" s="1">
        <v>3</v>
      </c>
      <c r="L257" s="1">
        <v>0</v>
      </c>
      <c r="M257" s="1">
        <f>IF(ClevelandData[[#This Row],[num]]=0,0,1)</f>
        <v>0</v>
      </c>
    </row>
    <row r="258" spans="1:13" x14ac:dyDescent="0.25">
      <c r="A258" s="1">
        <v>67</v>
      </c>
      <c r="B258" s="1">
        <v>0</v>
      </c>
      <c r="C258" s="1">
        <v>4</v>
      </c>
      <c r="D258" s="1">
        <v>106</v>
      </c>
      <c r="E258" s="1">
        <v>223</v>
      </c>
      <c r="F258" s="1">
        <v>0</v>
      </c>
      <c r="G258" s="1">
        <v>0</v>
      </c>
      <c r="H258" s="1">
        <v>142</v>
      </c>
      <c r="I258" s="1">
        <v>0</v>
      </c>
      <c r="J258" s="1">
        <v>1</v>
      </c>
      <c r="K258" s="1">
        <v>3</v>
      </c>
      <c r="L258" s="1">
        <v>0</v>
      </c>
      <c r="M258" s="1">
        <f>IF(ClevelandData[[#This Row],[num]]=0,0,1)</f>
        <v>0</v>
      </c>
    </row>
    <row r="259" spans="1:13" x14ac:dyDescent="0.25">
      <c r="A259" s="1">
        <v>76</v>
      </c>
      <c r="B259" s="1">
        <v>0</v>
      </c>
      <c r="C259" s="1">
        <v>3</v>
      </c>
      <c r="D259" s="1">
        <v>140</v>
      </c>
      <c r="E259" s="1">
        <v>197</v>
      </c>
      <c r="F259" s="1">
        <v>0</v>
      </c>
      <c r="G259" s="1">
        <v>1</v>
      </c>
      <c r="H259" s="1">
        <v>116</v>
      </c>
      <c r="I259" s="1">
        <v>0</v>
      </c>
      <c r="J259" s="1">
        <v>2</v>
      </c>
      <c r="K259" s="1">
        <v>3</v>
      </c>
      <c r="L259" s="1">
        <v>0</v>
      </c>
      <c r="M259" s="1">
        <f>IF(ClevelandData[[#This Row],[num]]=0,0,1)</f>
        <v>0</v>
      </c>
    </row>
    <row r="260" spans="1:13" x14ac:dyDescent="0.25">
      <c r="A260" s="1">
        <v>70</v>
      </c>
      <c r="B260" s="1">
        <v>1</v>
      </c>
      <c r="C260" s="1">
        <v>2</v>
      </c>
      <c r="D260" s="1">
        <v>156</v>
      </c>
      <c r="E260" s="1">
        <v>245</v>
      </c>
      <c r="F260" s="1">
        <v>0</v>
      </c>
      <c r="G260" s="1">
        <v>2</v>
      </c>
      <c r="H260" s="1">
        <v>143</v>
      </c>
      <c r="I260" s="1">
        <v>0</v>
      </c>
      <c r="J260" s="1">
        <v>1</v>
      </c>
      <c r="K260" s="1">
        <v>3</v>
      </c>
      <c r="L260" s="1">
        <v>0</v>
      </c>
      <c r="M260" s="1">
        <f>IF(ClevelandData[[#This Row],[num]]=0,0,1)</f>
        <v>0</v>
      </c>
    </row>
    <row r="261" spans="1:13" x14ac:dyDescent="0.25">
      <c r="A261" s="1">
        <v>57</v>
      </c>
      <c r="B261" s="1">
        <v>1</v>
      </c>
      <c r="C261" s="1">
        <v>2</v>
      </c>
      <c r="D261" s="1">
        <v>124</v>
      </c>
      <c r="E261" s="1">
        <v>261</v>
      </c>
      <c r="F261" s="1">
        <v>0</v>
      </c>
      <c r="G261" s="1">
        <v>0</v>
      </c>
      <c r="H261" s="1">
        <v>141</v>
      </c>
      <c r="I261" s="1">
        <v>0</v>
      </c>
      <c r="J261" s="1">
        <v>1</v>
      </c>
      <c r="K261" s="1">
        <v>7</v>
      </c>
      <c r="L261" s="1">
        <v>1</v>
      </c>
      <c r="M261" s="1">
        <f>IF(ClevelandData[[#This Row],[num]]=0,0,1)</f>
        <v>1</v>
      </c>
    </row>
    <row r="262" spans="1:13" x14ac:dyDescent="0.25">
      <c r="A262" s="1">
        <v>44</v>
      </c>
      <c r="B262" s="1">
        <v>0</v>
      </c>
      <c r="C262" s="1">
        <v>3</v>
      </c>
      <c r="D262" s="1">
        <v>118</v>
      </c>
      <c r="E262" s="1">
        <v>242</v>
      </c>
      <c r="F262" s="1">
        <v>0</v>
      </c>
      <c r="G262" s="1">
        <v>0</v>
      </c>
      <c r="H262" s="1">
        <v>149</v>
      </c>
      <c r="I262" s="1">
        <v>0</v>
      </c>
      <c r="J262" s="1">
        <v>2</v>
      </c>
      <c r="K262" s="1">
        <v>3</v>
      </c>
      <c r="L262" s="1">
        <v>0</v>
      </c>
      <c r="M262" s="1">
        <f>IF(ClevelandData[[#This Row],[num]]=0,0,1)</f>
        <v>0</v>
      </c>
    </row>
    <row r="263" spans="1:13" x14ac:dyDescent="0.25">
      <c r="A263" s="1">
        <v>58</v>
      </c>
      <c r="B263" s="1">
        <v>0</v>
      </c>
      <c r="C263" s="1">
        <v>2</v>
      </c>
      <c r="D263" s="1">
        <v>136</v>
      </c>
      <c r="E263" s="1">
        <v>319</v>
      </c>
      <c r="F263" s="1">
        <v>1</v>
      </c>
      <c r="G263" s="1">
        <v>2</v>
      </c>
      <c r="H263" s="1">
        <v>152</v>
      </c>
      <c r="I263" s="1">
        <v>0</v>
      </c>
      <c r="J263" s="1">
        <v>1</v>
      </c>
      <c r="K263" s="1">
        <v>3</v>
      </c>
      <c r="L263" s="1">
        <v>3</v>
      </c>
      <c r="M263" s="1">
        <f>IF(ClevelandData[[#This Row],[num]]=0,0,1)</f>
        <v>1</v>
      </c>
    </row>
    <row r="264" spans="1:13" x14ac:dyDescent="0.25">
      <c r="A264" s="1">
        <v>60</v>
      </c>
      <c r="B264" s="1">
        <v>0</v>
      </c>
      <c r="C264" s="1">
        <v>1</v>
      </c>
      <c r="D264" s="1">
        <v>150</v>
      </c>
      <c r="E264" s="1">
        <v>240</v>
      </c>
      <c r="F264" s="1">
        <v>0</v>
      </c>
      <c r="G264" s="1">
        <v>0</v>
      </c>
      <c r="H264" s="1">
        <v>171</v>
      </c>
      <c r="I264" s="1">
        <v>0</v>
      </c>
      <c r="J264" s="1">
        <v>1</v>
      </c>
      <c r="K264" s="1">
        <v>3</v>
      </c>
      <c r="L264" s="1">
        <v>0</v>
      </c>
      <c r="M264" s="1">
        <f>IF(ClevelandData[[#This Row],[num]]=0,0,1)</f>
        <v>0</v>
      </c>
    </row>
    <row r="265" spans="1:13" x14ac:dyDescent="0.25">
      <c r="A265" s="1">
        <v>44</v>
      </c>
      <c r="B265" s="1">
        <v>1</v>
      </c>
      <c r="C265" s="1">
        <v>3</v>
      </c>
      <c r="D265" s="1">
        <v>120</v>
      </c>
      <c r="E265" s="1">
        <v>226</v>
      </c>
      <c r="F265" s="1">
        <v>0</v>
      </c>
      <c r="G265" s="1">
        <v>0</v>
      </c>
      <c r="H265" s="1">
        <v>169</v>
      </c>
      <c r="I265" s="1">
        <v>0</v>
      </c>
      <c r="J265" s="1">
        <v>1</v>
      </c>
      <c r="K265" s="1">
        <v>3</v>
      </c>
      <c r="L265" s="1">
        <v>0</v>
      </c>
      <c r="M265" s="1">
        <f>IF(ClevelandData[[#This Row],[num]]=0,0,1)</f>
        <v>0</v>
      </c>
    </row>
    <row r="266" spans="1:13" x14ac:dyDescent="0.25">
      <c r="A266" s="1">
        <v>61</v>
      </c>
      <c r="B266" s="1">
        <v>1</v>
      </c>
      <c r="C266" s="1">
        <v>4</v>
      </c>
      <c r="D266" s="1">
        <v>138</v>
      </c>
      <c r="E266" s="1">
        <v>166</v>
      </c>
      <c r="F266" s="1">
        <v>0</v>
      </c>
      <c r="G266" s="1">
        <v>2</v>
      </c>
      <c r="H266" s="1">
        <v>125</v>
      </c>
      <c r="I266" s="1">
        <v>1</v>
      </c>
      <c r="J266" s="1">
        <v>2</v>
      </c>
      <c r="K266" s="1">
        <v>3</v>
      </c>
      <c r="L266" s="1">
        <v>4</v>
      </c>
      <c r="M266" s="1">
        <f>IF(ClevelandData[[#This Row],[num]]=0,0,1)</f>
        <v>1</v>
      </c>
    </row>
    <row r="267" spans="1:13" x14ac:dyDescent="0.25">
      <c r="A267" s="1">
        <v>42</v>
      </c>
      <c r="B267" s="1">
        <v>1</v>
      </c>
      <c r="C267" s="1">
        <v>4</v>
      </c>
      <c r="D267" s="1">
        <v>136</v>
      </c>
      <c r="E267" s="1">
        <v>315</v>
      </c>
      <c r="F267" s="1">
        <v>0</v>
      </c>
      <c r="G267" s="1">
        <v>0</v>
      </c>
      <c r="H267" s="1">
        <v>125</v>
      </c>
      <c r="I267" s="1">
        <v>1</v>
      </c>
      <c r="J267" s="1">
        <v>2</v>
      </c>
      <c r="K267" s="1">
        <v>6</v>
      </c>
      <c r="L267" s="1">
        <v>2</v>
      </c>
      <c r="M267" s="1">
        <f>IF(ClevelandData[[#This Row],[num]]=0,0,1)</f>
        <v>1</v>
      </c>
    </row>
    <row r="268" spans="1:13" x14ac:dyDescent="0.25">
      <c r="A268" s="1">
        <v>52</v>
      </c>
      <c r="B268" s="1">
        <v>1</v>
      </c>
      <c r="C268" s="1">
        <v>4</v>
      </c>
      <c r="D268" s="1">
        <v>128</v>
      </c>
      <c r="E268" s="1">
        <v>204</v>
      </c>
      <c r="F268" s="1">
        <v>1</v>
      </c>
      <c r="G268" s="1">
        <v>0</v>
      </c>
      <c r="H268" s="1">
        <v>156</v>
      </c>
      <c r="I268" s="1">
        <v>1</v>
      </c>
      <c r="J268" s="1">
        <v>2</v>
      </c>
      <c r="K268" s="1" t="s">
        <v>10</v>
      </c>
      <c r="L268" s="1">
        <v>2</v>
      </c>
      <c r="M268" s="1">
        <f>IF(ClevelandData[[#This Row],[num]]=0,0,1)</f>
        <v>1</v>
      </c>
    </row>
    <row r="269" spans="1:13" x14ac:dyDescent="0.25">
      <c r="A269" s="1">
        <v>59</v>
      </c>
      <c r="B269" s="1">
        <v>1</v>
      </c>
      <c r="C269" s="1">
        <v>3</v>
      </c>
      <c r="D269" s="1">
        <v>126</v>
      </c>
      <c r="E269" s="1">
        <v>218</v>
      </c>
      <c r="F269" s="1">
        <v>1</v>
      </c>
      <c r="G269" s="1">
        <v>0</v>
      </c>
      <c r="H269" s="1">
        <v>134</v>
      </c>
      <c r="I269" s="1">
        <v>0</v>
      </c>
      <c r="J269" s="1">
        <v>2</v>
      </c>
      <c r="K269" s="1">
        <v>6</v>
      </c>
      <c r="L269" s="1">
        <v>2</v>
      </c>
      <c r="M269" s="1">
        <f>IF(ClevelandData[[#This Row],[num]]=0,0,1)</f>
        <v>1</v>
      </c>
    </row>
    <row r="270" spans="1:13" x14ac:dyDescent="0.25">
      <c r="A270" s="1">
        <v>40</v>
      </c>
      <c r="B270" s="1">
        <v>1</v>
      </c>
      <c r="C270" s="1">
        <v>4</v>
      </c>
      <c r="D270" s="1">
        <v>152</v>
      </c>
      <c r="E270" s="1">
        <v>223</v>
      </c>
      <c r="F270" s="1">
        <v>0</v>
      </c>
      <c r="G270" s="1">
        <v>0</v>
      </c>
      <c r="H270" s="1">
        <v>181</v>
      </c>
      <c r="I270" s="1">
        <v>0</v>
      </c>
      <c r="J270" s="1">
        <v>1</v>
      </c>
      <c r="K270" s="1">
        <v>7</v>
      </c>
      <c r="L270" s="1">
        <v>1</v>
      </c>
      <c r="M270" s="1">
        <f>IF(ClevelandData[[#This Row],[num]]=0,0,1)</f>
        <v>1</v>
      </c>
    </row>
    <row r="271" spans="1:13" x14ac:dyDescent="0.25">
      <c r="A271" s="1">
        <v>42</v>
      </c>
      <c r="B271" s="1">
        <v>1</v>
      </c>
      <c r="C271" s="1">
        <v>3</v>
      </c>
      <c r="D271" s="1">
        <v>130</v>
      </c>
      <c r="E271" s="1">
        <v>180</v>
      </c>
      <c r="F271" s="1">
        <v>0</v>
      </c>
      <c r="G271" s="1">
        <v>0</v>
      </c>
      <c r="H271" s="1">
        <v>150</v>
      </c>
      <c r="I271" s="1">
        <v>0</v>
      </c>
      <c r="J271" s="1">
        <v>1</v>
      </c>
      <c r="K271" s="1">
        <v>3</v>
      </c>
      <c r="L271" s="1">
        <v>0</v>
      </c>
      <c r="M271" s="1">
        <f>IF(ClevelandData[[#This Row],[num]]=0,0,1)</f>
        <v>0</v>
      </c>
    </row>
    <row r="272" spans="1:13" x14ac:dyDescent="0.25">
      <c r="A272" s="1">
        <v>61</v>
      </c>
      <c r="B272" s="1">
        <v>1</v>
      </c>
      <c r="C272" s="1">
        <v>4</v>
      </c>
      <c r="D272" s="1">
        <v>140</v>
      </c>
      <c r="E272" s="1">
        <v>207</v>
      </c>
      <c r="F272" s="1">
        <v>0</v>
      </c>
      <c r="G272" s="1">
        <v>2</v>
      </c>
      <c r="H272" s="1">
        <v>138</v>
      </c>
      <c r="I272" s="1">
        <v>1</v>
      </c>
      <c r="J272" s="1">
        <v>1</v>
      </c>
      <c r="K272" s="1">
        <v>7</v>
      </c>
      <c r="L272" s="1">
        <v>1</v>
      </c>
      <c r="M272" s="1">
        <f>IF(ClevelandData[[#This Row],[num]]=0,0,1)</f>
        <v>1</v>
      </c>
    </row>
    <row r="273" spans="1:13" x14ac:dyDescent="0.25">
      <c r="A273" s="1">
        <v>66</v>
      </c>
      <c r="B273" s="1">
        <v>1</v>
      </c>
      <c r="C273" s="1">
        <v>4</v>
      </c>
      <c r="D273" s="1">
        <v>160</v>
      </c>
      <c r="E273" s="1">
        <v>228</v>
      </c>
      <c r="F273" s="1">
        <v>0</v>
      </c>
      <c r="G273" s="1">
        <v>2</v>
      </c>
      <c r="H273" s="1">
        <v>138</v>
      </c>
      <c r="I273" s="1">
        <v>0</v>
      </c>
      <c r="J273" s="1">
        <v>1</v>
      </c>
      <c r="K273" s="1">
        <v>6</v>
      </c>
      <c r="L273" s="1">
        <v>0</v>
      </c>
      <c r="M273" s="1">
        <f>IF(ClevelandData[[#This Row],[num]]=0,0,1)</f>
        <v>0</v>
      </c>
    </row>
    <row r="274" spans="1:13" x14ac:dyDescent="0.25">
      <c r="A274" s="1">
        <v>46</v>
      </c>
      <c r="B274" s="1">
        <v>1</v>
      </c>
      <c r="C274" s="1">
        <v>4</v>
      </c>
      <c r="D274" s="1">
        <v>140</v>
      </c>
      <c r="E274" s="1">
        <v>311</v>
      </c>
      <c r="F274" s="1">
        <v>0</v>
      </c>
      <c r="G274" s="1">
        <v>0</v>
      </c>
      <c r="H274" s="1">
        <v>120</v>
      </c>
      <c r="I274" s="1">
        <v>1</v>
      </c>
      <c r="J274" s="1">
        <v>2</v>
      </c>
      <c r="K274" s="1">
        <v>7</v>
      </c>
      <c r="L274" s="1">
        <v>2</v>
      </c>
      <c r="M274" s="1">
        <f>IF(ClevelandData[[#This Row],[num]]=0,0,1)</f>
        <v>1</v>
      </c>
    </row>
    <row r="275" spans="1:13" x14ac:dyDescent="0.25">
      <c r="A275" s="1">
        <v>71</v>
      </c>
      <c r="B275" s="1">
        <v>0</v>
      </c>
      <c r="C275" s="1">
        <v>4</v>
      </c>
      <c r="D275" s="1">
        <v>112</v>
      </c>
      <c r="E275" s="1">
        <v>149</v>
      </c>
      <c r="F275" s="1">
        <v>0</v>
      </c>
      <c r="G275" s="1">
        <v>0</v>
      </c>
      <c r="H275" s="1">
        <v>125</v>
      </c>
      <c r="I275" s="1">
        <v>0</v>
      </c>
      <c r="J275" s="1">
        <v>2</v>
      </c>
      <c r="K275" s="1">
        <v>3</v>
      </c>
      <c r="L275" s="1">
        <v>0</v>
      </c>
      <c r="M275" s="1">
        <f>IF(ClevelandData[[#This Row],[num]]=0,0,1)</f>
        <v>0</v>
      </c>
    </row>
    <row r="276" spans="1:13" x14ac:dyDescent="0.25">
      <c r="A276" s="1">
        <v>59</v>
      </c>
      <c r="B276" s="1">
        <v>1</v>
      </c>
      <c r="C276" s="1">
        <v>1</v>
      </c>
      <c r="D276" s="1">
        <v>134</v>
      </c>
      <c r="E276" s="1">
        <v>204</v>
      </c>
      <c r="F276" s="1">
        <v>0</v>
      </c>
      <c r="G276" s="1">
        <v>0</v>
      </c>
      <c r="H276" s="1">
        <v>162</v>
      </c>
      <c r="I276" s="1">
        <v>0</v>
      </c>
      <c r="J276" s="1">
        <v>1</v>
      </c>
      <c r="K276" s="1">
        <v>3</v>
      </c>
      <c r="L276" s="1">
        <v>1</v>
      </c>
      <c r="M276" s="1">
        <f>IF(ClevelandData[[#This Row],[num]]=0,0,1)</f>
        <v>1</v>
      </c>
    </row>
    <row r="277" spans="1:13" x14ac:dyDescent="0.25">
      <c r="A277" s="1">
        <v>64</v>
      </c>
      <c r="B277" s="1">
        <v>1</v>
      </c>
      <c r="C277" s="1">
        <v>1</v>
      </c>
      <c r="D277" s="1">
        <v>170</v>
      </c>
      <c r="E277" s="1">
        <v>227</v>
      </c>
      <c r="F277" s="1">
        <v>0</v>
      </c>
      <c r="G277" s="1">
        <v>2</v>
      </c>
      <c r="H277" s="1">
        <v>155</v>
      </c>
      <c r="I277" s="1">
        <v>0</v>
      </c>
      <c r="J277" s="1">
        <v>2</v>
      </c>
      <c r="K277" s="1">
        <v>7</v>
      </c>
      <c r="L277" s="1">
        <v>0</v>
      </c>
      <c r="M277" s="1">
        <f>IF(ClevelandData[[#This Row],[num]]=0,0,1)</f>
        <v>0</v>
      </c>
    </row>
    <row r="278" spans="1:13" x14ac:dyDescent="0.25">
      <c r="A278" s="1">
        <v>66</v>
      </c>
      <c r="B278" s="1">
        <v>0</v>
      </c>
      <c r="C278" s="1">
        <v>3</v>
      </c>
      <c r="D278" s="1">
        <v>146</v>
      </c>
      <c r="E278" s="1">
        <v>278</v>
      </c>
      <c r="F278" s="1">
        <v>0</v>
      </c>
      <c r="G278" s="1">
        <v>2</v>
      </c>
      <c r="H278" s="1">
        <v>152</v>
      </c>
      <c r="I278" s="1">
        <v>0</v>
      </c>
      <c r="J278" s="1">
        <v>2</v>
      </c>
      <c r="K278" s="1">
        <v>3</v>
      </c>
      <c r="L278" s="1">
        <v>0</v>
      </c>
      <c r="M278" s="1">
        <f>IF(ClevelandData[[#This Row],[num]]=0,0,1)</f>
        <v>0</v>
      </c>
    </row>
    <row r="279" spans="1:13" x14ac:dyDescent="0.25">
      <c r="A279" s="1">
        <v>39</v>
      </c>
      <c r="B279" s="1">
        <v>0</v>
      </c>
      <c r="C279" s="1">
        <v>3</v>
      </c>
      <c r="D279" s="1">
        <v>138</v>
      </c>
      <c r="E279" s="1">
        <v>220</v>
      </c>
      <c r="F279" s="1">
        <v>0</v>
      </c>
      <c r="G279" s="1">
        <v>0</v>
      </c>
      <c r="H279" s="1">
        <v>152</v>
      </c>
      <c r="I279" s="1">
        <v>0</v>
      </c>
      <c r="J279" s="1">
        <v>2</v>
      </c>
      <c r="K279" s="1">
        <v>3</v>
      </c>
      <c r="L279" s="1">
        <v>0</v>
      </c>
      <c r="M279" s="1">
        <f>IF(ClevelandData[[#This Row],[num]]=0,0,1)</f>
        <v>0</v>
      </c>
    </row>
    <row r="280" spans="1:13" x14ac:dyDescent="0.25">
      <c r="A280" s="1">
        <v>57</v>
      </c>
      <c r="B280" s="1">
        <v>1</v>
      </c>
      <c r="C280" s="1">
        <v>2</v>
      </c>
      <c r="D280" s="1">
        <v>154</v>
      </c>
      <c r="E280" s="1">
        <v>232</v>
      </c>
      <c r="F280" s="1">
        <v>0</v>
      </c>
      <c r="G280" s="1">
        <v>2</v>
      </c>
      <c r="H280" s="1">
        <v>164</v>
      </c>
      <c r="I280" s="1">
        <v>0</v>
      </c>
      <c r="J280" s="1">
        <v>1</v>
      </c>
      <c r="K280" s="1">
        <v>3</v>
      </c>
      <c r="L280" s="1">
        <v>1</v>
      </c>
      <c r="M280" s="1">
        <f>IF(ClevelandData[[#This Row],[num]]=0,0,1)</f>
        <v>1</v>
      </c>
    </row>
    <row r="281" spans="1:13" x14ac:dyDescent="0.25">
      <c r="A281" s="1">
        <v>58</v>
      </c>
      <c r="B281" s="1">
        <v>0</v>
      </c>
      <c r="C281" s="1">
        <v>4</v>
      </c>
      <c r="D281" s="1">
        <v>130</v>
      </c>
      <c r="E281" s="1">
        <v>197</v>
      </c>
      <c r="F281" s="1">
        <v>0</v>
      </c>
      <c r="G281" s="1">
        <v>0</v>
      </c>
      <c r="H281" s="1">
        <v>131</v>
      </c>
      <c r="I281" s="1">
        <v>0</v>
      </c>
      <c r="J281" s="1">
        <v>2</v>
      </c>
      <c r="K281" s="1">
        <v>3</v>
      </c>
      <c r="L281" s="1">
        <v>0</v>
      </c>
      <c r="M281" s="1">
        <f>IF(ClevelandData[[#This Row],[num]]=0,0,1)</f>
        <v>0</v>
      </c>
    </row>
    <row r="282" spans="1:13" x14ac:dyDescent="0.25">
      <c r="A282" s="1">
        <v>57</v>
      </c>
      <c r="B282" s="1">
        <v>1</v>
      </c>
      <c r="C282" s="1">
        <v>4</v>
      </c>
      <c r="D282" s="1">
        <v>110</v>
      </c>
      <c r="E282" s="1">
        <v>335</v>
      </c>
      <c r="F282" s="1">
        <v>0</v>
      </c>
      <c r="G282" s="1">
        <v>0</v>
      </c>
      <c r="H282" s="1">
        <v>143</v>
      </c>
      <c r="I282" s="1">
        <v>1</v>
      </c>
      <c r="J282" s="1">
        <v>2</v>
      </c>
      <c r="K282" s="1">
        <v>7</v>
      </c>
      <c r="L282" s="1">
        <v>2</v>
      </c>
      <c r="M282" s="1">
        <f>IF(ClevelandData[[#This Row],[num]]=0,0,1)</f>
        <v>1</v>
      </c>
    </row>
    <row r="283" spans="1:13" x14ac:dyDescent="0.25">
      <c r="A283" s="1">
        <v>47</v>
      </c>
      <c r="B283" s="1">
        <v>1</v>
      </c>
      <c r="C283" s="1">
        <v>3</v>
      </c>
      <c r="D283" s="1">
        <v>130</v>
      </c>
      <c r="E283" s="1">
        <v>253</v>
      </c>
      <c r="F283" s="1">
        <v>0</v>
      </c>
      <c r="G283" s="1">
        <v>0</v>
      </c>
      <c r="H283" s="1">
        <v>179</v>
      </c>
      <c r="I283" s="1">
        <v>0</v>
      </c>
      <c r="J283" s="1">
        <v>1</v>
      </c>
      <c r="K283" s="1">
        <v>3</v>
      </c>
      <c r="L283" s="1">
        <v>0</v>
      </c>
      <c r="M283" s="1">
        <f>IF(ClevelandData[[#This Row],[num]]=0,0,1)</f>
        <v>0</v>
      </c>
    </row>
    <row r="284" spans="1:13" x14ac:dyDescent="0.25">
      <c r="A284" s="1">
        <v>55</v>
      </c>
      <c r="B284" s="1">
        <v>0</v>
      </c>
      <c r="C284" s="1">
        <v>4</v>
      </c>
      <c r="D284" s="1">
        <v>128</v>
      </c>
      <c r="E284" s="1">
        <v>205</v>
      </c>
      <c r="F284" s="1">
        <v>0</v>
      </c>
      <c r="G284" s="1">
        <v>1</v>
      </c>
      <c r="H284" s="1">
        <v>130</v>
      </c>
      <c r="I284" s="1">
        <v>1</v>
      </c>
      <c r="J284" s="1">
        <v>2</v>
      </c>
      <c r="K284" s="1">
        <v>7</v>
      </c>
      <c r="L284" s="1">
        <v>3</v>
      </c>
      <c r="M284" s="1">
        <f>IF(ClevelandData[[#This Row],[num]]=0,0,1)</f>
        <v>1</v>
      </c>
    </row>
    <row r="285" spans="1:13" x14ac:dyDescent="0.25">
      <c r="A285" s="1">
        <v>35</v>
      </c>
      <c r="B285" s="1">
        <v>1</v>
      </c>
      <c r="C285" s="1">
        <v>2</v>
      </c>
      <c r="D285" s="1">
        <v>122</v>
      </c>
      <c r="E285" s="1">
        <v>192</v>
      </c>
      <c r="F285" s="1">
        <v>0</v>
      </c>
      <c r="G285" s="1">
        <v>0</v>
      </c>
      <c r="H285" s="1">
        <v>174</v>
      </c>
      <c r="I285" s="1">
        <v>0</v>
      </c>
      <c r="J285" s="1">
        <v>1</v>
      </c>
      <c r="K285" s="1">
        <v>3</v>
      </c>
      <c r="L285" s="1">
        <v>0</v>
      </c>
      <c r="M285" s="1">
        <f>IF(ClevelandData[[#This Row],[num]]=0,0,1)</f>
        <v>0</v>
      </c>
    </row>
    <row r="286" spans="1:13" x14ac:dyDescent="0.25">
      <c r="A286" s="1">
        <v>61</v>
      </c>
      <c r="B286" s="1">
        <v>1</v>
      </c>
      <c r="C286" s="1">
        <v>4</v>
      </c>
      <c r="D286" s="1">
        <v>148</v>
      </c>
      <c r="E286" s="1">
        <v>203</v>
      </c>
      <c r="F286" s="1">
        <v>0</v>
      </c>
      <c r="G286" s="1">
        <v>0</v>
      </c>
      <c r="H286" s="1">
        <v>161</v>
      </c>
      <c r="I286" s="1">
        <v>0</v>
      </c>
      <c r="J286" s="1">
        <v>1</v>
      </c>
      <c r="K286" s="1">
        <v>7</v>
      </c>
      <c r="L286" s="1">
        <v>2</v>
      </c>
      <c r="M286" s="1">
        <f>IF(ClevelandData[[#This Row],[num]]=0,0,1)</f>
        <v>1</v>
      </c>
    </row>
    <row r="287" spans="1:13" x14ac:dyDescent="0.25">
      <c r="A287" s="1">
        <v>58</v>
      </c>
      <c r="B287" s="1">
        <v>1</v>
      </c>
      <c r="C287" s="1">
        <v>4</v>
      </c>
      <c r="D287" s="1">
        <v>114</v>
      </c>
      <c r="E287" s="1">
        <v>318</v>
      </c>
      <c r="F287" s="1">
        <v>0</v>
      </c>
      <c r="G287" s="1">
        <v>1</v>
      </c>
      <c r="H287" s="1">
        <v>140</v>
      </c>
      <c r="I287" s="1">
        <v>0</v>
      </c>
      <c r="J287" s="1">
        <v>3</v>
      </c>
      <c r="K287" s="1">
        <v>6</v>
      </c>
      <c r="L287" s="1">
        <v>4</v>
      </c>
      <c r="M287" s="1">
        <f>IF(ClevelandData[[#This Row],[num]]=0,0,1)</f>
        <v>1</v>
      </c>
    </row>
    <row r="288" spans="1:13" x14ac:dyDescent="0.25">
      <c r="A288" s="1">
        <v>58</v>
      </c>
      <c r="B288" s="1">
        <v>0</v>
      </c>
      <c r="C288" s="1">
        <v>4</v>
      </c>
      <c r="D288" s="1">
        <v>170</v>
      </c>
      <c r="E288" s="1">
        <v>225</v>
      </c>
      <c r="F288" s="1">
        <v>1</v>
      </c>
      <c r="G288" s="1">
        <v>2</v>
      </c>
      <c r="H288" s="1">
        <v>146</v>
      </c>
      <c r="I288" s="1">
        <v>1</v>
      </c>
      <c r="J288" s="1">
        <v>2</v>
      </c>
      <c r="K288" s="1">
        <v>6</v>
      </c>
      <c r="L288" s="1">
        <v>2</v>
      </c>
      <c r="M288" s="1">
        <f>IF(ClevelandData[[#This Row],[num]]=0,0,1)</f>
        <v>1</v>
      </c>
    </row>
    <row r="289" spans="1:13" x14ac:dyDescent="0.25">
      <c r="A289" s="1">
        <v>58</v>
      </c>
      <c r="B289" s="1">
        <v>1</v>
      </c>
      <c r="C289" s="1">
        <v>2</v>
      </c>
      <c r="D289" s="1">
        <v>125</v>
      </c>
      <c r="E289" s="1">
        <v>220</v>
      </c>
      <c r="F289" s="1">
        <v>0</v>
      </c>
      <c r="G289" s="1">
        <v>0</v>
      </c>
      <c r="H289" s="1">
        <v>144</v>
      </c>
      <c r="I289" s="1">
        <v>0</v>
      </c>
      <c r="J289" s="1">
        <v>2</v>
      </c>
      <c r="K289" s="1">
        <v>7</v>
      </c>
      <c r="L289" s="1">
        <v>0</v>
      </c>
      <c r="M289" s="1">
        <f>IF(ClevelandData[[#This Row],[num]]=0,0,1)</f>
        <v>0</v>
      </c>
    </row>
    <row r="290" spans="1:13" x14ac:dyDescent="0.25">
      <c r="A290" s="1">
        <v>56</v>
      </c>
      <c r="B290" s="1">
        <v>1</v>
      </c>
      <c r="C290" s="1">
        <v>2</v>
      </c>
      <c r="D290" s="1">
        <v>130</v>
      </c>
      <c r="E290" s="1">
        <v>221</v>
      </c>
      <c r="F290" s="1">
        <v>0</v>
      </c>
      <c r="G290" s="1">
        <v>2</v>
      </c>
      <c r="H290" s="1">
        <v>163</v>
      </c>
      <c r="I290" s="1">
        <v>0</v>
      </c>
      <c r="J290" s="1">
        <v>1</v>
      </c>
      <c r="K290" s="1">
        <v>7</v>
      </c>
      <c r="L290" s="1">
        <v>0</v>
      </c>
      <c r="M290" s="1">
        <f>IF(ClevelandData[[#This Row],[num]]=0,0,1)</f>
        <v>0</v>
      </c>
    </row>
    <row r="291" spans="1:13" x14ac:dyDescent="0.25">
      <c r="A291" s="1">
        <v>56</v>
      </c>
      <c r="B291" s="1">
        <v>1</v>
      </c>
      <c r="C291" s="1">
        <v>2</v>
      </c>
      <c r="D291" s="1">
        <v>120</v>
      </c>
      <c r="E291" s="1">
        <v>240</v>
      </c>
      <c r="F291" s="1">
        <v>0</v>
      </c>
      <c r="G291" s="1">
        <v>0</v>
      </c>
      <c r="H291" s="1">
        <v>169</v>
      </c>
      <c r="I291" s="1">
        <v>0</v>
      </c>
      <c r="J291" s="1">
        <v>3</v>
      </c>
      <c r="K291" s="1">
        <v>3</v>
      </c>
      <c r="L291" s="1">
        <v>0</v>
      </c>
      <c r="M291" s="1">
        <f>IF(ClevelandData[[#This Row],[num]]=0,0,1)</f>
        <v>0</v>
      </c>
    </row>
    <row r="292" spans="1:13" x14ac:dyDescent="0.25">
      <c r="A292" s="1">
        <v>67</v>
      </c>
      <c r="B292" s="1">
        <v>1</v>
      </c>
      <c r="C292" s="1">
        <v>3</v>
      </c>
      <c r="D292" s="1">
        <v>152</v>
      </c>
      <c r="E292" s="1">
        <v>212</v>
      </c>
      <c r="F292" s="1">
        <v>0</v>
      </c>
      <c r="G292" s="1">
        <v>2</v>
      </c>
      <c r="H292" s="1">
        <v>150</v>
      </c>
      <c r="I292" s="1">
        <v>0</v>
      </c>
      <c r="J292" s="1">
        <v>2</v>
      </c>
      <c r="K292" s="1">
        <v>7</v>
      </c>
      <c r="L292" s="1">
        <v>1</v>
      </c>
      <c r="M292" s="1">
        <f>IF(ClevelandData[[#This Row],[num]]=0,0,1)</f>
        <v>1</v>
      </c>
    </row>
    <row r="293" spans="1:13" x14ac:dyDescent="0.25">
      <c r="A293" s="1">
        <v>55</v>
      </c>
      <c r="B293" s="1">
        <v>0</v>
      </c>
      <c r="C293" s="1">
        <v>2</v>
      </c>
      <c r="D293" s="1">
        <v>132</v>
      </c>
      <c r="E293" s="1">
        <v>342</v>
      </c>
      <c r="F293" s="1">
        <v>0</v>
      </c>
      <c r="G293" s="1">
        <v>0</v>
      </c>
      <c r="H293" s="1">
        <v>166</v>
      </c>
      <c r="I293" s="1">
        <v>0</v>
      </c>
      <c r="J293" s="1">
        <v>1</v>
      </c>
      <c r="K293" s="1">
        <v>3</v>
      </c>
      <c r="L293" s="1">
        <v>0</v>
      </c>
      <c r="M293" s="1">
        <f>IF(ClevelandData[[#This Row],[num]]=0,0,1)</f>
        <v>0</v>
      </c>
    </row>
    <row r="294" spans="1:13" x14ac:dyDescent="0.25">
      <c r="A294" s="1">
        <v>44</v>
      </c>
      <c r="B294" s="1">
        <v>1</v>
      </c>
      <c r="C294" s="1">
        <v>4</v>
      </c>
      <c r="D294" s="1">
        <v>120</v>
      </c>
      <c r="E294" s="1">
        <v>169</v>
      </c>
      <c r="F294" s="1">
        <v>0</v>
      </c>
      <c r="G294" s="1">
        <v>0</v>
      </c>
      <c r="H294" s="1">
        <v>144</v>
      </c>
      <c r="I294" s="1">
        <v>1</v>
      </c>
      <c r="J294" s="1">
        <v>3</v>
      </c>
      <c r="K294" s="1">
        <v>6</v>
      </c>
      <c r="L294" s="1">
        <v>2</v>
      </c>
      <c r="M294" s="1">
        <f>IF(ClevelandData[[#This Row],[num]]=0,0,1)</f>
        <v>1</v>
      </c>
    </row>
    <row r="295" spans="1:13" x14ac:dyDescent="0.25">
      <c r="A295" s="1">
        <v>63</v>
      </c>
      <c r="B295" s="1">
        <v>1</v>
      </c>
      <c r="C295" s="1">
        <v>4</v>
      </c>
      <c r="D295" s="1">
        <v>140</v>
      </c>
      <c r="E295" s="1">
        <v>187</v>
      </c>
      <c r="F295" s="1">
        <v>0</v>
      </c>
      <c r="G295" s="1">
        <v>2</v>
      </c>
      <c r="H295" s="1">
        <v>144</v>
      </c>
      <c r="I295" s="1">
        <v>1</v>
      </c>
      <c r="J295" s="1">
        <v>1</v>
      </c>
      <c r="K295" s="1">
        <v>7</v>
      </c>
      <c r="L295" s="1">
        <v>2</v>
      </c>
      <c r="M295" s="1">
        <f>IF(ClevelandData[[#This Row],[num]]=0,0,1)</f>
        <v>1</v>
      </c>
    </row>
    <row r="296" spans="1:13" x14ac:dyDescent="0.25">
      <c r="A296" s="1">
        <v>63</v>
      </c>
      <c r="B296" s="1">
        <v>0</v>
      </c>
      <c r="C296" s="1">
        <v>4</v>
      </c>
      <c r="D296" s="1">
        <v>124</v>
      </c>
      <c r="E296" s="1">
        <v>197</v>
      </c>
      <c r="F296" s="1">
        <v>0</v>
      </c>
      <c r="G296" s="1">
        <v>0</v>
      </c>
      <c r="H296" s="1">
        <v>136</v>
      </c>
      <c r="I296" s="1">
        <v>1</v>
      </c>
      <c r="J296" s="1">
        <v>2</v>
      </c>
      <c r="K296" s="1">
        <v>3</v>
      </c>
      <c r="L296" s="1">
        <v>1</v>
      </c>
      <c r="M296" s="1">
        <f>IF(ClevelandData[[#This Row],[num]]=0,0,1)</f>
        <v>1</v>
      </c>
    </row>
    <row r="297" spans="1:13" x14ac:dyDescent="0.25">
      <c r="A297" s="1">
        <v>41</v>
      </c>
      <c r="B297" s="1">
        <v>1</v>
      </c>
      <c r="C297" s="1">
        <v>2</v>
      </c>
      <c r="D297" s="1">
        <v>120</v>
      </c>
      <c r="E297" s="1">
        <v>157</v>
      </c>
      <c r="F297" s="1">
        <v>0</v>
      </c>
      <c r="G297" s="1">
        <v>0</v>
      </c>
      <c r="H297" s="1">
        <v>182</v>
      </c>
      <c r="I297" s="1">
        <v>0</v>
      </c>
      <c r="J297" s="1">
        <v>1</v>
      </c>
      <c r="K297" s="1">
        <v>3</v>
      </c>
      <c r="L297" s="1">
        <v>0</v>
      </c>
      <c r="M297" s="1">
        <f>IF(ClevelandData[[#This Row],[num]]=0,0,1)</f>
        <v>0</v>
      </c>
    </row>
    <row r="298" spans="1:13" x14ac:dyDescent="0.25">
      <c r="A298" s="1">
        <v>59</v>
      </c>
      <c r="B298" s="1">
        <v>1</v>
      </c>
      <c r="C298" s="1">
        <v>4</v>
      </c>
      <c r="D298" s="1">
        <v>164</v>
      </c>
      <c r="E298" s="1">
        <v>176</v>
      </c>
      <c r="F298" s="1">
        <v>1</v>
      </c>
      <c r="G298" s="1">
        <v>2</v>
      </c>
      <c r="H298" s="1">
        <v>90</v>
      </c>
      <c r="I298" s="1">
        <v>0</v>
      </c>
      <c r="J298" s="1">
        <v>2</v>
      </c>
      <c r="K298" s="1">
        <v>6</v>
      </c>
      <c r="L298" s="1">
        <v>3</v>
      </c>
      <c r="M298" s="1">
        <f>IF(ClevelandData[[#This Row],[num]]=0,0,1)</f>
        <v>1</v>
      </c>
    </row>
    <row r="299" spans="1:13" x14ac:dyDescent="0.25">
      <c r="A299" s="1">
        <v>57</v>
      </c>
      <c r="B299" s="1">
        <v>0</v>
      </c>
      <c r="C299" s="1">
        <v>4</v>
      </c>
      <c r="D299" s="1">
        <v>140</v>
      </c>
      <c r="E299" s="1">
        <v>241</v>
      </c>
      <c r="F299" s="1">
        <v>0</v>
      </c>
      <c r="G299" s="1">
        <v>0</v>
      </c>
      <c r="H299" s="1">
        <v>123</v>
      </c>
      <c r="I299" s="1">
        <v>1</v>
      </c>
      <c r="J299" s="1">
        <v>2</v>
      </c>
      <c r="K299" s="1">
        <v>7</v>
      </c>
      <c r="L299" s="1">
        <v>1</v>
      </c>
      <c r="M299" s="1">
        <f>IF(ClevelandData[[#This Row],[num]]=0,0,1)</f>
        <v>1</v>
      </c>
    </row>
    <row r="300" spans="1:13" x14ac:dyDescent="0.25">
      <c r="A300" s="1">
        <v>45</v>
      </c>
      <c r="B300" s="1">
        <v>1</v>
      </c>
      <c r="C300" s="1">
        <v>1</v>
      </c>
      <c r="D300" s="1">
        <v>110</v>
      </c>
      <c r="E300" s="1">
        <v>264</v>
      </c>
      <c r="F300" s="1">
        <v>0</v>
      </c>
      <c r="G300" s="1">
        <v>0</v>
      </c>
      <c r="H300" s="1">
        <v>132</v>
      </c>
      <c r="I300" s="1">
        <v>0</v>
      </c>
      <c r="J300" s="1">
        <v>2</v>
      </c>
      <c r="K300" s="1">
        <v>7</v>
      </c>
      <c r="L300" s="1">
        <v>1</v>
      </c>
      <c r="M300" s="1">
        <f>IF(ClevelandData[[#This Row],[num]]=0,0,1)</f>
        <v>1</v>
      </c>
    </row>
    <row r="301" spans="1:13" x14ac:dyDescent="0.25">
      <c r="A301" s="1">
        <v>68</v>
      </c>
      <c r="B301" s="1">
        <v>1</v>
      </c>
      <c r="C301" s="1">
        <v>4</v>
      </c>
      <c r="D301" s="1">
        <v>144</v>
      </c>
      <c r="E301" s="1">
        <v>193</v>
      </c>
      <c r="F301" s="1">
        <v>1</v>
      </c>
      <c r="G301" s="1">
        <v>0</v>
      </c>
      <c r="H301" s="1">
        <v>141</v>
      </c>
      <c r="I301" s="1">
        <v>0</v>
      </c>
      <c r="J301" s="1">
        <v>2</v>
      </c>
      <c r="K301" s="1">
        <v>7</v>
      </c>
      <c r="L301" s="1">
        <v>2</v>
      </c>
      <c r="M301" s="1">
        <f>IF(ClevelandData[[#This Row],[num]]=0,0,1)</f>
        <v>1</v>
      </c>
    </row>
    <row r="302" spans="1:13" x14ac:dyDescent="0.25">
      <c r="A302" s="1">
        <v>57</v>
      </c>
      <c r="B302" s="1">
        <v>1</v>
      </c>
      <c r="C302" s="1">
        <v>4</v>
      </c>
      <c r="D302" s="1">
        <v>130</v>
      </c>
      <c r="E302" s="1">
        <v>131</v>
      </c>
      <c r="F302" s="1">
        <v>0</v>
      </c>
      <c r="G302" s="1">
        <v>0</v>
      </c>
      <c r="H302" s="1">
        <v>115</v>
      </c>
      <c r="I302" s="1">
        <v>1</v>
      </c>
      <c r="J302" s="1">
        <v>2</v>
      </c>
      <c r="K302" s="1">
        <v>7</v>
      </c>
      <c r="L302" s="1">
        <v>3</v>
      </c>
      <c r="M302" s="1">
        <f>IF(ClevelandData[[#This Row],[num]]=0,0,1)</f>
        <v>1</v>
      </c>
    </row>
    <row r="303" spans="1:13" x14ac:dyDescent="0.25">
      <c r="A303" s="1">
        <v>57</v>
      </c>
      <c r="B303" s="1">
        <v>0</v>
      </c>
      <c r="C303" s="1">
        <v>2</v>
      </c>
      <c r="D303" s="1">
        <v>130</v>
      </c>
      <c r="E303" s="1">
        <v>236</v>
      </c>
      <c r="F303" s="1">
        <v>0</v>
      </c>
      <c r="G303" s="1">
        <v>2</v>
      </c>
      <c r="H303" s="1">
        <v>174</v>
      </c>
      <c r="I303" s="1">
        <v>0</v>
      </c>
      <c r="J303" s="1">
        <v>2</v>
      </c>
      <c r="K303" s="1">
        <v>3</v>
      </c>
      <c r="L303" s="1">
        <v>1</v>
      </c>
      <c r="M303" s="1">
        <f>IF(ClevelandData[[#This Row],[num]]=0,0,1)</f>
        <v>1</v>
      </c>
    </row>
    <row r="304" spans="1:13" x14ac:dyDescent="0.25">
      <c r="A304" s="1">
        <v>38</v>
      </c>
      <c r="B304" s="1">
        <v>1</v>
      </c>
      <c r="C304" s="1">
        <v>3</v>
      </c>
      <c r="D304" s="1">
        <v>138</v>
      </c>
      <c r="E304" s="1">
        <v>175</v>
      </c>
      <c r="F304" s="1">
        <v>0</v>
      </c>
      <c r="G304" s="1">
        <v>0</v>
      </c>
      <c r="H304" s="1">
        <v>173</v>
      </c>
      <c r="I304" s="1">
        <v>0</v>
      </c>
      <c r="J304" s="1">
        <v>1</v>
      </c>
      <c r="K304" s="1">
        <v>3</v>
      </c>
      <c r="L304" s="1">
        <v>0</v>
      </c>
      <c r="M304" s="1">
        <f>IF(ClevelandData[[#This Row],[num]]=0,0,1)</f>
        <v>0</v>
      </c>
    </row>
  </sheetData>
  <conditionalFormatting sqref="D2:D304">
    <cfRule type="cellIs" dxfId="6" priority="5" operator="lessThan">
      <formula>120</formula>
    </cfRule>
    <cfRule type="cellIs" dxfId="5" priority="6" operator="between">
      <formula>120</formula>
      <formula>139</formula>
    </cfRule>
    <cfRule type="cellIs" dxfId="4" priority="7" operator="greaterThan">
      <formula>139</formula>
    </cfRule>
  </conditionalFormatting>
  <conditionalFormatting sqref="E2:E304">
    <cfRule type="cellIs" dxfId="3" priority="2" operator="lessThan">
      <formula>200</formula>
    </cfRule>
    <cfRule type="cellIs" dxfId="2" priority="3" operator="between">
      <formula>200</formula>
      <formula>239</formula>
    </cfRule>
    <cfRule type="cellIs" dxfId="1" priority="4" operator="greaterThan">
      <formula>239</formula>
    </cfRule>
  </conditionalFormatting>
  <conditionalFormatting sqref="M1:M1048576">
    <cfRule type="colorScale" priority="1">
      <colorScale>
        <cfvo type="min"/>
        <cfvo type="percentile" val="50"/>
        <cfvo type="max"/>
        <color rgb="FF00B050"/>
        <color rgb="FFFFEB84"/>
        <color rgb="FFEE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908C-74B6-4D52-AA66-E8F42A296467}">
  <dimension ref="B1:O169"/>
  <sheetViews>
    <sheetView zoomScaleNormal="100" workbookViewId="0">
      <selection activeCell="H11" sqref="H11"/>
    </sheetView>
  </sheetViews>
  <sheetFormatPr defaultRowHeight="15" x14ac:dyDescent="0.25"/>
  <cols>
    <col min="2" max="2" width="30.85546875" bestFit="1" customWidth="1"/>
    <col min="3" max="3" width="16.28515625" bestFit="1" customWidth="1"/>
    <col min="4" max="4" width="11.28515625" bestFit="1" customWidth="1"/>
    <col min="5" max="5" width="13.28515625" bestFit="1" customWidth="1"/>
    <col min="6" max="6" width="11.28515625" bestFit="1" customWidth="1"/>
    <col min="7" max="7" width="12.5703125" bestFit="1" customWidth="1"/>
    <col min="8" max="8" width="27.28515625" bestFit="1" customWidth="1"/>
    <col min="9" max="9" width="16.28515625" bestFit="1" customWidth="1"/>
    <col min="10" max="11" width="13.28515625" bestFit="1" customWidth="1"/>
    <col min="12" max="12" width="15" customWidth="1"/>
    <col min="13" max="13" width="18.42578125" customWidth="1"/>
    <col min="14" max="14" width="19.85546875" bestFit="1" customWidth="1"/>
    <col min="15" max="15" width="13.28515625" bestFit="1" customWidth="1"/>
    <col min="16" max="16" width="17.7109375" bestFit="1" customWidth="1"/>
  </cols>
  <sheetData>
    <row r="1" spans="2:6" x14ac:dyDescent="0.25">
      <c r="B1" s="9" t="s">
        <v>95</v>
      </c>
    </row>
    <row r="2" spans="2:6" x14ac:dyDescent="0.25">
      <c r="B2" s="19" t="s">
        <v>78</v>
      </c>
      <c r="C2" s="20" t="s">
        <v>91</v>
      </c>
      <c r="D2" s="20" t="s">
        <v>92</v>
      </c>
      <c r="E2" s="20" t="s">
        <v>93</v>
      </c>
      <c r="F2" s="20" t="s">
        <v>94</v>
      </c>
    </row>
    <row r="3" spans="2:6" x14ac:dyDescent="0.25">
      <c r="B3" s="21" t="s">
        <v>16</v>
      </c>
      <c r="C3" s="30">
        <v>55.72164948453608</v>
      </c>
      <c r="D3" s="30">
        <v>133.34020618556701</v>
      </c>
      <c r="E3" s="30">
        <v>151.22680412371133</v>
      </c>
      <c r="F3" s="30">
        <v>261.7525773195876</v>
      </c>
    </row>
    <row r="4" spans="2:6" x14ac:dyDescent="0.25">
      <c r="B4" s="22" t="s">
        <v>31</v>
      </c>
      <c r="C4" s="30">
        <v>54.555555555555557</v>
      </c>
      <c r="D4" s="30">
        <v>128.73611111111111</v>
      </c>
      <c r="E4" s="30">
        <v>154.02777777777777</v>
      </c>
      <c r="F4" s="30">
        <v>256.75</v>
      </c>
    </row>
    <row r="5" spans="2:6" x14ac:dyDescent="0.25">
      <c r="B5" s="22" t="s">
        <v>90</v>
      </c>
      <c r="C5" s="30">
        <v>59.08</v>
      </c>
      <c r="D5" s="30">
        <v>146.6</v>
      </c>
      <c r="E5" s="30">
        <v>143.16</v>
      </c>
      <c r="F5" s="30">
        <v>276.16000000000003</v>
      </c>
    </row>
    <row r="6" spans="2:6" x14ac:dyDescent="0.25">
      <c r="B6" s="21" t="s">
        <v>15</v>
      </c>
      <c r="C6" s="30">
        <v>53.834951456310677</v>
      </c>
      <c r="D6" s="30">
        <v>130.91262135922329</v>
      </c>
      <c r="E6" s="30">
        <v>148.84466019417476</v>
      </c>
      <c r="F6" s="30">
        <v>239.60194174757282</v>
      </c>
    </row>
    <row r="7" spans="2:6" x14ac:dyDescent="0.25">
      <c r="B7" s="22" t="s">
        <v>31</v>
      </c>
      <c r="C7" s="30">
        <v>51.043478260869563</v>
      </c>
      <c r="D7" s="30">
        <v>129.65217391304347</v>
      </c>
      <c r="E7" s="30">
        <v>161.78260869565219</v>
      </c>
      <c r="F7" s="30">
        <v>231.59782608695653</v>
      </c>
    </row>
    <row r="8" spans="2:6" x14ac:dyDescent="0.25">
      <c r="B8" s="22" t="s">
        <v>90</v>
      </c>
      <c r="C8" s="30">
        <v>56.087719298245617</v>
      </c>
      <c r="D8" s="30">
        <v>131.92982456140351</v>
      </c>
      <c r="E8" s="30">
        <v>138.40350877192984</v>
      </c>
      <c r="F8" s="30">
        <v>246.06140350877192</v>
      </c>
    </row>
    <row r="9" spans="2:6" x14ac:dyDescent="0.25">
      <c r="B9" s="21" t="s">
        <v>13</v>
      </c>
      <c r="C9" s="30">
        <v>54.438943894389439</v>
      </c>
      <c r="D9" s="30">
        <v>131.68976897689768</v>
      </c>
      <c r="E9" s="30">
        <v>149.60726072607261</v>
      </c>
      <c r="F9" s="30">
        <v>246.69306930693068</v>
      </c>
    </row>
    <row r="12" spans="2:6" x14ac:dyDescent="0.25">
      <c r="B12" s="9" t="s">
        <v>96</v>
      </c>
    </row>
    <row r="13" spans="2:6" x14ac:dyDescent="0.25">
      <c r="B13" s="8" t="s">
        <v>98</v>
      </c>
      <c r="C13" s="6" t="s">
        <v>17</v>
      </c>
      <c r="D13" s="6" t="s">
        <v>99</v>
      </c>
    </row>
    <row r="14" spans="2:6" x14ac:dyDescent="0.25">
      <c r="B14" s="5" t="s">
        <v>97</v>
      </c>
      <c r="C14" s="28">
        <v>164</v>
      </c>
      <c r="D14" s="29">
        <v>0.54125412541254125</v>
      </c>
    </row>
    <row r="15" spans="2:6" x14ac:dyDescent="0.25">
      <c r="B15" s="5" t="s">
        <v>90</v>
      </c>
      <c r="C15" s="28">
        <v>139</v>
      </c>
      <c r="D15" s="29">
        <v>0.45874587458745875</v>
      </c>
    </row>
    <row r="16" spans="2:6" x14ac:dyDescent="0.25">
      <c r="B16" s="5" t="s">
        <v>13</v>
      </c>
      <c r="C16" s="28">
        <v>303</v>
      </c>
      <c r="D16" s="11">
        <v>1</v>
      </c>
    </row>
    <row r="19" spans="2:6" x14ac:dyDescent="0.25">
      <c r="B19" s="7" t="s">
        <v>84</v>
      </c>
    </row>
    <row r="20" spans="2:6" x14ac:dyDescent="0.25">
      <c r="B20" s="17" t="s">
        <v>85</v>
      </c>
      <c r="C20" s="14" t="s">
        <v>86</v>
      </c>
      <c r="D20" s="14" t="s">
        <v>87</v>
      </c>
      <c r="E20" s="14" t="s">
        <v>88</v>
      </c>
      <c r="F20" s="14" t="s">
        <v>89</v>
      </c>
    </row>
    <row r="21" spans="2:6" x14ac:dyDescent="0.25">
      <c r="B21" s="17" t="s">
        <v>86</v>
      </c>
      <c r="C21" s="16">
        <f>CORREL(cleveland_data!A:A,cleveland_data!A:A)</f>
        <v>1</v>
      </c>
      <c r="D21" s="16">
        <f>CORREL(cleveland_data!A:A,cleveland_data!D:D)</f>
        <v>0.28494591931369045</v>
      </c>
      <c r="E21" s="16">
        <f>CORREL(cleveland_data!A:A,cleveland_data!E:E)</f>
        <v>0.20895026994678273</v>
      </c>
      <c r="F21" s="16">
        <f>CORREL(cleveland_data!A:A,cleveland_data!H:H)</f>
        <v>-0.39380580598682113</v>
      </c>
    </row>
    <row r="22" spans="2:6" x14ac:dyDescent="0.25">
      <c r="B22" s="17" t="s">
        <v>87</v>
      </c>
      <c r="C22" s="16">
        <f>CORREL(cleveland_data!D:D,cleveland_data!A:A)</f>
        <v>0.28494591931369045</v>
      </c>
      <c r="D22" s="16">
        <f>CORREL(cleveland_data!D:D,cleveland_data!D:D)</f>
        <v>1</v>
      </c>
      <c r="E22" s="16">
        <f>CORREL(cleveland_data!D:D,cleveland_data!E:E)</f>
        <v>0.13012010849269195</v>
      </c>
      <c r="F22" s="16">
        <f>CORREL(cleveland_data!D:D,cleveland_data!H:H)</f>
        <v>-4.5350879358343511E-2</v>
      </c>
    </row>
    <row r="23" spans="2:6" x14ac:dyDescent="0.25">
      <c r="B23" s="17" t="s">
        <v>88</v>
      </c>
      <c r="C23" s="16">
        <f>CORREL(cleveland_data!E:E,cleveland_data!A:A)</f>
        <v>0.20895026994678273</v>
      </c>
      <c r="D23" s="16">
        <f>CORREL(cleveland_data!E:E,cleveland_data!D:D)</f>
        <v>0.13012010849269195</v>
      </c>
      <c r="E23" s="16">
        <f>CORREL(cleveland_data!E:E,cleveland_data!E:E)</f>
        <v>1.0000000000000002</v>
      </c>
      <c r="F23" s="16">
        <f>CORREL(cleveland_data!E:E,cleveland_data!H:H)</f>
        <v>-3.4318315180258008E-3</v>
      </c>
    </row>
    <row r="24" spans="2:6" x14ac:dyDescent="0.25">
      <c r="B24" s="17" t="s">
        <v>89</v>
      </c>
      <c r="C24" s="16">
        <f>CORREL(cleveland_data!H:H,cleveland_data!A:A)</f>
        <v>-0.39380580598682113</v>
      </c>
      <c r="D24" s="16">
        <f>CORREL(cleveland_data!H:H,cleveland_data!D:D)</f>
        <v>-4.5350879358343511E-2</v>
      </c>
      <c r="E24" s="16">
        <f>CORREL(cleveland_data!H:H,cleveland_data!E:E)</f>
        <v>-3.4318315180258008E-3</v>
      </c>
      <c r="F24" s="16">
        <f>CORREL(cleveland_data!H:H,cleveland_data!H:H)</f>
        <v>1.0000000000000002</v>
      </c>
    </row>
    <row r="27" spans="2:6" x14ac:dyDescent="0.25">
      <c r="B27" s="23"/>
      <c r="C27" s="8" t="s">
        <v>18</v>
      </c>
      <c r="D27" s="6"/>
      <c r="E27" s="6"/>
      <c r="F27" s="6"/>
    </row>
    <row r="28" spans="2:6" x14ac:dyDescent="0.25">
      <c r="B28" s="23"/>
      <c r="C28" s="6" t="s">
        <v>31</v>
      </c>
      <c r="D28" s="6"/>
      <c r="E28" s="6" t="s">
        <v>90</v>
      </c>
      <c r="F28" s="6"/>
    </row>
    <row r="29" spans="2:6" x14ac:dyDescent="0.25">
      <c r="B29" s="8" t="s">
        <v>14</v>
      </c>
      <c r="C29" s="6" t="s">
        <v>17</v>
      </c>
      <c r="D29" s="6" t="s">
        <v>100</v>
      </c>
      <c r="E29" s="6" t="s">
        <v>17</v>
      </c>
      <c r="F29" s="6" t="s">
        <v>100</v>
      </c>
    </row>
    <row r="30" spans="2:6" x14ac:dyDescent="0.25">
      <c r="B30" s="5" t="s">
        <v>16</v>
      </c>
      <c r="C30" s="31">
        <v>72</v>
      </c>
      <c r="D30" s="11">
        <v>0.74226804123711343</v>
      </c>
      <c r="E30" s="31">
        <v>25</v>
      </c>
      <c r="F30" s="11">
        <v>0.25773195876288657</v>
      </c>
    </row>
    <row r="31" spans="2:6" x14ac:dyDescent="0.25">
      <c r="B31" s="5" t="s">
        <v>15</v>
      </c>
      <c r="C31" s="31">
        <v>92</v>
      </c>
      <c r="D31" s="11">
        <v>0.44660194174757284</v>
      </c>
      <c r="E31" s="31">
        <v>114</v>
      </c>
      <c r="F31" s="11">
        <v>0.55339805825242716</v>
      </c>
    </row>
    <row r="32" spans="2:6" x14ac:dyDescent="0.25">
      <c r="B32" s="5" t="s">
        <v>13</v>
      </c>
      <c r="C32" s="31">
        <v>164</v>
      </c>
      <c r="D32" s="11">
        <v>0.54125412541254125</v>
      </c>
      <c r="E32" s="31">
        <v>139</v>
      </c>
      <c r="F32" s="11">
        <v>0.45874587458745875</v>
      </c>
    </row>
    <row r="33" spans="2:6" x14ac:dyDescent="0.25">
      <c r="B33" s="3"/>
      <c r="D33" s="4"/>
    </row>
    <row r="34" spans="2:6" x14ac:dyDescent="0.25">
      <c r="B34" s="8" t="s">
        <v>32</v>
      </c>
      <c r="C34" s="6" t="s">
        <v>19</v>
      </c>
    </row>
    <row r="35" spans="2:6" x14ac:dyDescent="0.25">
      <c r="B35" s="18"/>
    </row>
    <row r="36" spans="2:6" x14ac:dyDescent="0.25">
      <c r="B36" s="23"/>
      <c r="C36" s="8" t="s">
        <v>18</v>
      </c>
      <c r="D36" s="6"/>
      <c r="E36" s="6"/>
      <c r="F36" s="6"/>
    </row>
    <row r="37" spans="2:6" x14ac:dyDescent="0.25">
      <c r="B37" s="23"/>
      <c r="C37" s="6" t="s">
        <v>31</v>
      </c>
      <c r="D37" s="6"/>
      <c r="E37" s="6" t="s">
        <v>90</v>
      </c>
      <c r="F37" s="6"/>
    </row>
    <row r="38" spans="2:6" x14ac:dyDescent="0.25">
      <c r="B38" s="8" t="s">
        <v>20</v>
      </c>
      <c r="C38" s="6" t="s">
        <v>17</v>
      </c>
      <c r="D38" s="6" t="s">
        <v>100</v>
      </c>
      <c r="E38" s="6" t="s">
        <v>17</v>
      </c>
      <c r="F38" s="6" t="s">
        <v>100</v>
      </c>
    </row>
    <row r="39" spans="2:6" x14ac:dyDescent="0.25">
      <c r="B39" s="5" t="s">
        <v>21</v>
      </c>
      <c r="C39" s="31">
        <v>8</v>
      </c>
      <c r="D39" s="11">
        <v>0.72727272727272729</v>
      </c>
      <c r="E39" s="31">
        <v>3</v>
      </c>
      <c r="F39" s="11">
        <v>0.27272727272727271</v>
      </c>
    </row>
    <row r="40" spans="2:6" x14ac:dyDescent="0.25">
      <c r="B40" s="5" t="s">
        <v>22</v>
      </c>
      <c r="C40" s="31">
        <v>50</v>
      </c>
      <c r="D40" s="11">
        <v>0.70422535211267601</v>
      </c>
      <c r="E40" s="31">
        <v>21</v>
      </c>
      <c r="F40" s="11">
        <v>0.29577464788732394</v>
      </c>
    </row>
    <row r="41" spans="2:6" x14ac:dyDescent="0.25">
      <c r="B41" s="5" t="s">
        <v>23</v>
      </c>
      <c r="C41" s="31">
        <v>63</v>
      </c>
      <c r="D41" s="11">
        <v>0.5431034482758621</v>
      </c>
      <c r="E41" s="31">
        <v>53</v>
      </c>
      <c r="F41" s="11">
        <v>0.45689655172413796</v>
      </c>
    </row>
    <row r="42" spans="2:6" x14ac:dyDescent="0.25">
      <c r="B42" s="5" t="s">
        <v>24</v>
      </c>
      <c r="C42" s="31">
        <v>35</v>
      </c>
      <c r="D42" s="11">
        <v>0.38043478260869568</v>
      </c>
      <c r="E42" s="31">
        <v>57</v>
      </c>
      <c r="F42" s="11">
        <v>0.61956521739130432</v>
      </c>
    </row>
    <row r="43" spans="2:6" x14ac:dyDescent="0.25">
      <c r="B43" s="5" t="s">
        <v>25</v>
      </c>
      <c r="C43" s="31">
        <v>8</v>
      </c>
      <c r="D43" s="11">
        <v>0.61538461538461542</v>
      </c>
      <c r="E43" s="31">
        <v>5</v>
      </c>
      <c r="F43" s="11">
        <v>0.38461538461538464</v>
      </c>
    </row>
    <row r="44" spans="2:6" x14ac:dyDescent="0.25">
      <c r="B44" s="5" t="s">
        <v>13</v>
      </c>
      <c r="C44" s="31">
        <v>164</v>
      </c>
      <c r="D44" s="11">
        <v>0.54125412541254125</v>
      </c>
      <c r="E44" s="31">
        <v>139</v>
      </c>
      <c r="F44" s="11">
        <v>0.45874587458745875</v>
      </c>
    </row>
    <row r="45" spans="2:6" x14ac:dyDescent="0.25">
      <c r="B45" s="3"/>
    </row>
    <row r="46" spans="2:6" x14ac:dyDescent="0.25">
      <c r="B46" s="15"/>
      <c r="C46" s="8" t="s">
        <v>18</v>
      </c>
      <c r="D46" s="6"/>
      <c r="E46" s="6"/>
      <c r="F46" s="6"/>
    </row>
    <row r="47" spans="2:6" x14ac:dyDescent="0.25">
      <c r="B47" s="15"/>
      <c r="C47" s="6" t="s">
        <v>31</v>
      </c>
      <c r="D47" s="6"/>
      <c r="E47" s="6" t="s">
        <v>90</v>
      </c>
      <c r="F47" s="6"/>
    </row>
    <row r="48" spans="2:6" x14ac:dyDescent="0.25">
      <c r="B48" s="8" t="s">
        <v>26</v>
      </c>
      <c r="C48" s="6" t="s">
        <v>17</v>
      </c>
      <c r="D48" s="6" t="s">
        <v>100</v>
      </c>
      <c r="E48" s="6" t="s">
        <v>17</v>
      </c>
      <c r="F48" s="6" t="s">
        <v>100</v>
      </c>
    </row>
    <row r="49" spans="2:15" x14ac:dyDescent="0.25">
      <c r="B49" s="5" t="s">
        <v>27</v>
      </c>
      <c r="C49" s="28">
        <v>16</v>
      </c>
      <c r="D49" s="11">
        <v>0.69565217391304346</v>
      </c>
      <c r="E49" s="28">
        <v>7</v>
      </c>
      <c r="F49" s="11">
        <v>0.30434782608695654</v>
      </c>
    </row>
    <row r="50" spans="2:15" x14ac:dyDescent="0.25">
      <c r="B50" s="5" t="s">
        <v>28</v>
      </c>
      <c r="C50" s="28">
        <v>41</v>
      </c>
      <c r="D50" s="11">
        <v>0.82</v>
      </c>
      <c r="E50" s="28">
        <v>9</v>
      </c>
      <c r="F50" s="11">
        <v>0.18</v>
      </c>
    </row>
    <row r="51" spans="2:15" x14ac:dyDescent="0.25">
      <c r="B51" s="5" t="s">
        <v>30</v>
      </c>
      <c r="C51" s="28">
        <v>68</v>
      </c>
      <c r="D51" s="11">
        <v>0.79069767441860461</v>
      </c>
      <c r="E51" s="28">
        <v>18</v>
      </c>
      <c r="F51" s="11">
        <v>0.20930232558139536</v>
      </c>
    </row>
    <row r="52" spans="2:15" x14ac:dyDescent="0.25">
      <c r="B52" s="5" t="s">
        <v>29</v>
      </c>
      <c r="C52" s="28">
        <v>39</v>
      </c>
      <c r="D52" s="11">
        <v>0.27083333333333331</v>
      </c>
      <c r="E52" s="28">
        <v>105</v>
      </c>
      <c r="F52" s="11">
        <v>0.72916666666666663</v>
      </c>
    </row>
    <row r="53" spans="2:15" x14ac:dyDescent="0.25">
      <c r="B53" s="5" t="s">
        <v>13</v>
      </c>
      <c r="C53" s="28">
        <v>164</v>
      </c>
      <c r="D53" s="11">
        <v>0.54125412541254125</v>
      </c>
      <c r="E53" s="28">
        <v>139</v>
      </c>
      <c r="F53" s="11">
        <v>0.45874587458745875</v>
      </c>
    </row>
    <row r="55" spans="2:15" x14ac:dyDescent="0.25">
      <c r="B55" s="8" t="s">
        <v>32</v>
      </c>
      <c r="C55" s="6" t="s">
        <v>19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2:15" x14ac:dyDescent="0.25">
      <c r="B56" s="8" t="s">
        <v>33</v>
      </c>
      <c r="C56" s="6" t="s">
        <v>19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2:15" ht="30" x14ac:dyDescent="0.25">
      <c r="B57" s="24" t="s">
        <v>60</v>
      </c>
    </row>
    <row r="58" spans="2:15" x14ac:dyDescent="0.25">
      <c r="B58" s="6"/>
      <c r="C58" s="8" t="s">
        <v>18</v>
      </c>
      <c r="D58" s="6"/>
      <c r="E58" s="6"/>
      <c r="F58" s="6"/>
    </row>
    <row r="59" spans="2:15" x14ac:dyDescent="0.25">
      <c r="B59" s="6"/>
      <c r="C59" s="6" t="s">
        <v>31</v>
      </c>
      <c r="D59" s="6"/>
      <c r="E59" s="6" t="s">
        <v>90</v>
      </c>
      <c r="F59" s="6"/>
    </row>
    <row r="60" spans="2:15" x14ac:dyDescent="0.25">
      <c r="B60" s="8" t="s">
        <v>42</v>
      </c>
      <c r="C60" s="6" t="s">
        <v>17</v>
      </c>
      <c r="D60" s="6" t="s">
        <v>100</v>
      </c>
      <c r="E60" s="6" t="s">
        <v>17</v>
      </c>
      <c r="F60" s="6" t="s">
        <v>100</v>
      </c>
    </row>
    <row r="61" spans="2:15" x14ac:dyDescent="0.25">
      <c r="B61" s="5" t="s">
        <v>36</v>
      </c>
      <c r="C61" s="6">
        <v>141</v>
      </c>
      <c r="D61" s="29">
        <v>0.54651162790697672</v>
      </c>
      <c r="E61" s="6">
        <v>117</v>
      </c>
      <c r="F61" s="29">
        <v>0.45348837209302323</v>
      </c>
    </row>
    <row r="62" spans="2:15" x14ac:dyDescent="0.25">
      <c r="B62" s="5" t="s">
        <v>35</v>
      </c>
      <c r="C62" s="6">
        <v>23</v>
      </c>
      <c r="D62" s="29">
        <v>0.51111111111111107</v>
      </c>
      <c r="E62" s="6">
        <v>22</v>
      </c>
      <c r="F62" s="29">
        <v>0.48888888888888887</v>
      </c>
    </row>
    <row r="63" spans="2:15" x14ac:dyDescent="0.25">
      <c r="B63" s="5" t="s">
        <v>13</v>
      </c>
      <c r="C63" s="6">
        <v>164</v>
      </c>
      <c r="D63" s="29">
        <v>0.54125412541254125</v>
      </c>
      <c r="E63" s="6">
        <v>139</v>
      </c>
      <c r="F63" s="29">
        <v>0.45874587458745875</v>
      </c>
    </row>
    <row r="64" spans="2:15" x14ac:dyDescent="0.25">
      <c r="B64" s="3"/>
      <c r="D64" s="4"/>
      <c r="F64" s="4"/>
      <c r="H64" s="4"/>
    </row>
    <row r="65" spans="2:8" x14ac:dyDescent="0.25">
      <c r="B65" s="3"/>
      <c r="D65" s="4"/>
      <c r="F65" s="4"/>
      <c r="H65" s="4"/>
    </row>
    <row r="66" spans="2:8" x14ac:dyDescent="0.25">
      <c r="B66" s="8" t="s">
        <v>33</v>
      </c>
      <c r="C66" s="6" t="s">
        <v>19</v>
      </c>
    </row>
    <row r="67" spans="2:8" x14ac:dyDescent="0.25">
      <c r="B67" s="8" t="s">
        <v>32</v>
      </c>
      <c r="C67" s="6" t="s">
        <v>19</v>
      </c>
    </row>
    <row r="68" spans="2:8" ht="30" x14ac:dyDescent="0.25">
      <c r="B68" s="24" t="s">
        <v>59</v>
      </c>
    </row>
    <row r="69" spans="2:8" x14ac:dyDescent="0.25">
      <c r="B69" s="6"/>
      <c r="C69" s="8" t="s">
        <v>18</v>
      </c>
      <c r="D69" s="6"/>
      <c r="E69" s="6"/>
      <c r="F69" s="6"/>
    </row>
    <row r="70" spans="2:8" x14ac:dyDescent="0.25">
      <c r="B70" s="6"/>
      <c r="C70" s="6" t="s">
        <v>31</v>
      </c>
      <c r="D70" s="6"/>
      <c r="E70" s="6" t="s">
        <v>90</v>
      </c>
      <c r="F70" s="6"/>
    </row>
    <row r="71" spans="2:8" x14ac:dyDescent="0.25">
      <c r="B71" s="8" t="s">
        <v>41</v>
      </c>
      <c r="C71" s="6" t="s">
        <v>17</v>
      </c>
      <c r="D71" s="6" t="s">
        <v>100</v>
      </c>
      <c r="E71" s="6" t="s">
        <v>17</v>
      </c>
      <c r="F71" s="6" t="s">
        <v>100</v>
      </c>
    </row>
    <row r="72" spans="2:8" x14ac:dyDescent="0.25">
      <c r="B72" s="5" t="s">
        <v>38</v>
      </c>
      <c r="C72" s="28">
        <v>95</v>
      </c>
      <c r="D72" s="11">
        <v>0.62913907284768211</v>
      </c>
      <c r="E72" s="28">
        <v>56</v>
      </c>
      <c r="F72" s="11">
        <v>0.37086092715231789</v>
      </c>
    </row>
    <row r="73" spans="2:8" x14ac:dyDescent="0.25">
      <c r="B73" s="5" t="s">
        <v>39</v>
      </c>
      <c r="C73" s="28">
        <v>1</v>
      </c>
      <c r="D73" s="11">
        <v>0.25</v>
      </c>
      <c r="E73" s="28">
        <v>3</v>
      </c>
      <c r="F73" s="11">
        <v>0.75</v>
      </c>
    </row>
    <row r="74" spans="2:8" x14ac:dyDescent="0.25">
      <c r="B74" s="5" t="s">
        <v>40</v>
      </c>
      <c r="C74" s="28">
        <v>68</v>
      </c>
      <c r="D74" s="11">
        <v>0.45945945945945948</v>
      </c>
      <c r="E74" s="28">
        <v>80</v>
      </c>
      <c r="F74" s="11">
        <v>0.54054054054054057</v>
      </c>
    </row>
    <row r="75" spans="2:8" x14ac:dyDescent="0.25">
      <c r="B75" s="5" t="s">
        <v>13</v>
      </c>
      <c r="C75" s="28">
        <v>164</v>
      </c>
      <c r="D75" s="11">
        <v>0.54125412541254125</v>
      </c>
      <c r="E75" s="28">
        <v>139</v>
      </c>
      <c r="F75" s="11">
        <v>0.45874587458745875</v>
      </c>
    </row>
    <row r="76" spans="2:8" x14ac:dyDescent="0.25">
      <c r="B76" s="3"/>
      <c r="D76" s="4"/>
      <c r="F76" s="4"/>
      <c r="H76" s="4"/>
    </row>
    <row r="77" spans="2:8" x14ac:dyDescent="0.25">
      <c r="B77" s="3"/>
      <c r="D77" s="4"/>
      <c r="F77" s="4"/>
      <c r="H77" s="4"/>
    </row>
    <row r="78" spans="2:8" x14ac:dyDescent="0.25">
      <c r="B78" s="8" t="s">
        <v>33</v>
      </c>
      <c r="C78" s="6" t="s">
        <v>19</v>
      </c>
    </row>
    <row r="79" spans="2:8" x14ac:dyDescent="0.25">
      <c r="B79" s="8" t="s">
        <v>32</v>
      </c>
      <c r="C79" s="6" t="s">
        <v>19</v>
      </c>
    </row>
    <row r="80" spans="2:8" ht="45" x14ac:dyDescent="0.25">
      <c r="B80" s="25" t="s">
        <v>58</v>
      </c>
    </row>
    <row r="81" spans="2:6" x14ac:dyDescent="0.25">
      <c r="B81" s="6"/>
      <c r="C81" s="8" t="s">
        <v>18</v>
      </c>
      <c r="D81" s="6"/>
      <c r="E81" s="6"/>
      <c r="F81" s="6"/>
    </row>
    <row r="82" spans="2:6" x14ac:dyDescent="0.25">
      <c r="B82" s="6"/>
      <c r="C82" s="6" t="s">
        <v>31</v>
      </c>
      <c r="D82" s="6"/>
      <c r="E82" s="6" t="s">
        <v>90</v>
      </c>
      <c r="F82" s="6"/>
    </row>
    <row r="83" spans="2:6" x14ac:dyDescent="0.25">
      <c r="B83" s="8" t="s">
        <v>43</v>
      </c>
      <c r="C83" s="6" t="s">
        <v>17</v>
      </c>
      <c r="D83" s="6" t="s">
        <v>100</v>
      </c>
      <c r="E83" s="6" t="s">
        <v>17</v>
      </c>
      <c r="F83" s="6" t="s">
        <v>100</v>
      </c>
    </row>
    <row r="84" spans="2:6" x14ac:dyDescent="0.25">
      <c r="B84" s="5" t="s">
        <v>44</v>
      </c>
      <c r="C84" s="28">
        <v>141</v>
      </c>
      <c r="D84" s="11">
        <v>0.69117647058823528</v>
      </c>
      <c r="E84" s="28">
        <v>63</v>
      </c>
      <c r="F84" s="11">
        <v>0.30882352941176472</v>
      </c>
    </row>
    <row r="85" spans="2:6" x14ac:dyDescent="0.25">
      <c r="B85" s="5" t="s">
        <v>45</v>
      </c>
      <c r="C85" s="28">
        <v>23</v>
      </c>
      <c r="D85" s="11">
        <v>0.23232323232323232</v>
      </c>
      <c r="E85" s="28">
        <v>76</v>
      </c>
      <c r="F85" s="11">
        <v>0.76767676767676762</v>
      </c>
    </row>
    <row r="86" spans="2:6" x14ac:dyDescent="0.25">
      <c r="B86" s="5" t="s">
        <v>13</v>
      </c>
      <c r="C86" s="28">
        <v>164</v>
      </c>
      <c r="D86" s="11">
        <v>0.54125412541254125</v>
      </c>
      <c r="E86" s="28">
        <v>139</v>
      </c>
      <c r="F86" s="11">
        <v>0.45874587458745875</v>
      </c>
    </row>
    <row r="89" spans="2:6" x14ac:dyDescent="0.25">
      <c r="B89" s="8" t="s">
        <v>33</v>
      </c>
      <c r="C89" s="6" t="s">
        <v>19</v>
      </c>
    </row>
    <row r="90" spans="2:6" x14ac:dyDescent="0.25">
      <c r="B90" s="8" t="s">
        <v>32</v>
      </c>
      <c r="C90" s="6" t="s">
        <v>19</v>
      </c>
    </row>
    <row r="91" spans="2:6" ht="30" x14ac:dyDescent="0.25">
      <c r="B91" s="26" t="s">
        <v>57</v>
      </c>
    </row>
    <row r="92" spans="2:6" x14ac:dyDescent="0.25">
      <c r="B92" s="6"/>
      <c r="C92" s="8" t="s">
        <v>18</v>
      </c>
      <c r="D92" s="6"/>
      <c r="E92" s="6"/>
      <c r="F92" s="6"/>
    </row>
    <row r="93" spans="2:6" x14ac:dyDescent="0.25">
      <c r="B93" s="6"/>
      <c r="C93" s="6" t="s">
        <v>31</v>
      </c>
      <c r="D93" s="6"/>
      <c r="E93" s="6" t="s">
        <v>90</v>
      </c>
      <c r="F93" s="6"/>
    </row>
    <row r="94" spans="2:6" x14ac:dyDescent="0.25">
      <c r="B94" s="8" t="s">
        <v>46</v>
      </c>
      <c r="C94" s="6" t="s">
        <v>17</v>
      </c>
      <c r="D94" s="6" t="s">
        <v>100</v>
      </c>
      <c r="E94" s="6" t="s">
        <v>17</v>
      </c>
      <c r="F94" s="6" t="s">
        <v>100</v>
      </c>
    </row>
    <row r="95" spans="2:6" x14ac:dyDescent="0.25">
      <c r="B95" s="5" t="s">
        <v>47</v>
      </c>
      <c r="C95" s="28">
        <v>106</v>
      </c>
      <c r="D95" s="11">
        <v>0.74647887323943662</v>
      </c>
      <c r="E95" s="28">
        <v>36</v>
      </c>
      <c r="F95" s="11">
        <v>0.25352112676056338</v>
      </c>
    </row>
    <row r="96" spans="2:6" x14ac:dyDescent="0.25">
      <c r="B96" s="5" t="s">
        <v>48</v>
      </c>
      <c r="C96" s="28">
        <v>49</v>
      </c>
      <c r="D96" s="11">
        <v>0.35</v>
      </c>
      <c r="E96" s="28">
        <v>91</v>
      </c>
      <c r="F96" s="11">
        <v>0.65</v>
      </c>
    </row>
    <row r="97" spans="2:6" x14ac:dyDescent="0.25">
      <c r="B97" s="5" t="s">
        <v>49</v>
      </c>
      <c r="C97" s="28">
        <v>9</v>
      </c>
      <c r="D97" s="11">
        <v>0.42857142857142855</v>
      </c>
      <c r="E97" s="28">
        <v>12</v>
      </c>
      <c r="F97" s="11">
        <v>0.5714285714285714</v>
      </c>
    </row>
    <row r="98" spans="2:6" x14ac:dyDescent="0.25">
      <c r="B98" s="5" t="s">
        <v>13</v>
      </c>
      <c r="C98" s="28">
        <v>164</v>
      </c>
      <c r="D98" s="11">
        <v>0.54125412541254125</v>
      </c>
      <c r="E98" s="28">
        <v>139</v>
      </c>
      <c r="F98" s="11">
        <v>0.45874587458745875</v>
      </c>
    </row>
    <row r="101" spans="2:6" x14ac:dyDescent="0.25">
      <c r="B101" s="8" t="s">
        <v>33</v>
      </c>
      <c r="C101" s="6" t="s">
        <v>19</v>
      </c>
    </row>
    <row r="102" spans="2:6" x14ac:dyDescent="0.25">
      <c r="B102" s="8" t="s">
        <v>32</v>
      </c>
      <c r="C102" s="6" t="s">
        <v>19</v>
      </c>
    </row>
    <row r="103" spans="2:6" ht="30" x14ac:dyDescent="0.25">
      <c r="B103" s="24" t="s">
        <v>56</v>
      </c>
    </row>
    <row r="104" spans="2:6" x14ac:dyDescent="0.25">
      <c r="B104" s="6"/>
      <c r="C104" s="8" t="s">
        <v>18</v>
      </c>
      <c r="D104" s="6"/>
      <c r="E104" s="6"/>
      <c r="F104" s="6"/>
    </row>
    <row r="105" spans="2:6" x14ac:dyDescent="0.25">
      <c r="B105" s="6"/>
      <c r="C105" s="6" t="s">
        <v>31</v>
      </c>
      <c r="D105" s="6"/>
      <c r="E105" s="6" t="s">
        <v>90</v>
      </c>
      <c r="F105" s="6"/>
    </row>
    <row r="106" spans="2:6" x14ac:dyDescent="0.25">
      <c r="B106" s="8" t="s">
        <v>50</v>
      </c>
      <c r="C106" s="6" t="s">
        <v>17</v>
      </c>
      <c r="D106" s="6" t="s">
        <v>100</v>
      </c>
      <c r="E106" s="6" t="s">
        <v>17</v>
      </c>
      <c r="F106" s="6" t="s">
        <v>100</v>
      </c>
    </row>
    <row r="107" spans="2:6" x14ac:dyDescent="0.25">
      <c r="B107" s="5" t="s">
        <v>38</v>
      </c>
      <c r="C107" s="28">
        <v>129</v>
      </c>
      <c r="D107" s="11">
        <v>0.77710843373493976</v>
      </c>
      <c r="E107" s="28">
        <v>37</v>
      </c>
      <c r="F107" s="11">
        <v>0.22289156626506024</v>
      </c>
    </row>
    <row r="108" spans="2:6" x14ac:dyDescent="0.25">
      <c r="B108" s="5" t="s">
        <v>51</v>
      </c>
      <c r="C108" s="28">
        <v>6</v>
      </c>
      <c r="D108" s="11">
        <v>0.33333333333333331</v>
      </c>
      <c r="E108" s="28">
        <v>12</v>
      </c>
      <c r="F108" s="11">
        <v>0.66666666666666663</v>
      </c>
    </row>
    <row r="109" spans="2:6" x14ac:dyDescent="0.25">
      <c r="B109" s="5" t="s">
        <v>52</v>
      </c>
      <c r="C109" s="28">
        <v>28</v>
      </c>
      <c r="D109" s="11">
        <v>0.23931623931623933</v>
      </c>
      <c r="E109" s="28">
        <v>89</v>
      </c>
      <c r="F109" s="11">
        <v>0.76068376068376065</v>
      </c>
    </row>
    <row r="110" spans="2:6" x14ac:dyDescent="0.25">
      <c r="B110" s="5" t="s">
        <v>13</v>
      </c>
      <c r="C110" s="28">
        <v>163</v>
      </c>
      <c r="D110" s="11">
        <v>0.5415282392026578</v>
      </c>
      <c r="E110" s="28">
        <v>138</v>
      </c>
      <c r="F110" s="11">
        <v>0.4584717607973422</v>
      </c>
    </row>
    <row r="112" spans="2:6" x14ac:dyDescent="0.25">
      <c r="B112" s="3"/>
    </row>
    <row r="113" spans="2:6" x14ac:dyDescent="0.25">
      <c r="B113" s="3"/>
    </row>
    <row r="114" spans="2:6" x14ac:dyDescent="0.25">
      <c r="B114" s="8" t="s">
        <v>33</v>
      </c>
      <c r="C114" s="6" t="s">
        <v>19</v>
      </c>
    </row>
    <row r="115" spans="2:6" x14ac:dyDescent="0.25">
      <c r="B115" s="8" t="s">
        <v>32</v>
      </c>
      <c r="C115" s="6" t="s">
        <v>19</v>
      </c>
    </row>
    <row r="116" spans="2:6" ht="30" x14ac:dyDescent="0.25">
      <c r="B116" s="27" t="s">
        <v>54</v>
      </c>
    </row>
    <row r="117" spans="2:6" x14ac:dyDescent="0.25">
      <c r="B117" s="6"/>
      <c r="C117" s="8" t="s">
        <v>18</v>
      </c>
      <c r="D117" s="6"/>
      <c r="E117" s="6"/>
      <c r="F117" s="6"/>
    </row>
    <row r="118" spans="2:6" x14ac:dyDescent="0.25">
      <c r="B118" s="6"/>
      <c r="C118" s="6" t="s">
        <v>31</v>
      </c>
      <c r="D118" s="6"/>
      <c r="E118" s="6" t="s">
        <v>90</v>
      </c>
      <c r="F118" s="6"/>
    </row>
    <row r="119" spans="2:6" x14ac:dyDescent="0.25">
      <c r="B119" s="8" t="s">
        <v>55</v>
      </c>
      <c r="C119" s="6" t="s">
        <v>17</v>
      </c>
      <c r="D119" s="6" t="s">
        <v>37</v>
      </c>
      <c r="E119" s="6" t="s">
        <v>17</v>
      </c>
      <c r="F119" s="6" t="s">
        <v>37</v>
      </c>
    </row>
    <row r="120" spans="2:6" x14ac:dyDescent="0.25">
      <c r="B120" s="5" t="s">
        <v>64</v>
      </c>
      <c r="C120" s="6">
        <v>37</v>
      </c>
      <c r="D120" s="29">
        <v>0.6166666666666667</v>
      </c>
      <c r="E120" s="6">
        <v>23</v>
      </c>
      <c r="F120" s="29">
        <v>0.38333333333333336</v>
      </c>
    </row>
    <row r="121" spans="2:6" x14ac:dyDescent="0.25">
      <c r="B121" s="5" t="s">
        <v>67</v>
      </c>
      <c r="C121" s="6">
        <v>105</v>
      </c>
      <c r="D121" s="29">
        <v>0.54973821989528793</v>
      </c>
      <c r="E121" s="6">
        <v>86</v>
      </c>
      <c r="F121" s="29">
        <v>0.45026178010471202</v>
      </c>
    </row>
    <row r="122" spans="2:6" x14ac:dyDescent="0.25">
      <c r="B122" s="5" t="s">
        <v>65</v>
      </c>
      <c r="C122" s="6">
        <v>22</v>
      </c>
      <c r="D122" s="29">
        <v>0.44</v>
      </c>
      <c r="E122" s="6">
        <v>28</v>
      </c>
      <c r="F122" s="29">
        <v>0.56000000000000005</v>
      </c>
    </row>
    <row r="123" spans="2:6" x14ac:dyDescent="0.25">
      <c r="B123" s="5" t="s">
        <v>66</v>
      </c>
      <c r="C123" s="6"/>
      <c r="D123" s="29">
        <v>0</v>
      </c>
      <c r="E123" s="6">
        <v>2</v>
      </c>
      <c r="F123" s="29">
        <v>1</v>
      </c>
    </row>
    <row r="124" spans="2:6" x14ac:dyDescent="0.25">
      <c r="B124" s="5" t="s">
        <v>13</v>
      </c>
      <c r="C124" s="6">
        <v>164</v>
      </c>
      <c r="D124" s="29">
        <v>0.54125412541254125</v>
      </c>
      <c r="E124" s="6">
        <v>139</v>
      </c>
      <c r="F124" s="29">
        <v>0.45874587458745875</v>
      </c>
    </row>
    <row r="127" spans="2:6" x14ac:dyDescent="0.25">
      <c r="B127" s="8" t="s">
        <v>33</v>
      </c>
      <c r="C127" s="6" t="s">
        <v>19</v>
      </c>
    </row>
    <row r="128" spans="2:6" x14ac:dyDescent="0.25">
      <c r="B128" s="8" t="s">
        <v>32</v>
      </c>
      <c r="C128" s="6" t="s">
        <v>19</v>
      </c>
    </row>
    <row r="129" spans="2:6" ht="30" x14ac:dyDescent="0.25">
      <c r="B129" s="25" t="s">
        <v>62</v>
      </c>
    </row>
    <row r="130" spans="2:6" x14ac:dyDescent="0.25">
      <c r="B130" s="6"/>
      <c r="C130" s="8" t="s">
        <v>18</v>
      </c>
      <c r="D130" s="6"/>
      <c r="E130" s="6"/>
      <c r="F130" s="6"/>
    </row>
    <row r="131" spans="2:6" x14ac:dyDescent="0.25">
      <c r="B131" s="6"/>
      <c r="C131" s="6" t="s">
        <v>31</v>
      </c>
      <c r="D131" s="6"/>
      <c r="E131" s="6" t="s">
        <v>90</v>
      </c>
      <c r="F131" s="6"/>
    </row>
    <row r="132" spans="2:6" x14ac:dyDescent="0.25">
      <c r="B132" s="8" t="s">
        <v>61</v>
      </c>
      <c r="C132" s="6" t="s">
        <v>17</v>
      </c>
      <c r="D132" s="6" t="s">
        <v>37</v>
      </c>
      <c r="E132" s="6" t="s">
        <v>17</v>
      </c>
      <c r="F132" s="6" t="s">
        <v>37</v>
      </c>
    </row>
    <row r="133" spans="2:6" x14ac:dyDescent="0.25">
      <c r="B133" s="5" t="s">
        <v>68</v>
      </c>
      <c r="C133" s="6">
        <v>29</v>
      </c>
      <c r="D133" s="29">
        <v>0.59183673469387754</v>
      </c>
      <c r="E133" s="6">
        <v>20</v>
      </c>
      <c r="F133" s="29">
        <v>0.40816326530612246</v>
      </c>
    </row>
    <row r="134" spans="2:6" x14ac:dyDescent="0.25">
      <c r="B134" s="5" t="s">
        <v>69</v>
      </c>
      <c r="C134" s="6">
        <v>59</v>
      </c>
      <c r="D134" s="29">
        <v>0.60204081632653061</v>
      </c>
      <c r="E134" s="6">
        <v>39</v>
      </c>
      <c r="F134" s="29">
        <v>0.39795918367346939</v>
      </c>
    </row>
    <row r="135" spans="2:6" x14ac:dyDescent="0.25">
      <c r="B135" s="5" t="s">
        <v>70</v>
      </c>
      <c r="C135" s="6">
        <v>76</v>
      </c>
      <c r="D135" s="29">
        <v>0.48717948717948717</v>
      </c>
      <c r="E135" s="6">
        <v>80</v>
      </c>
      <c r="F135" s="29">
        <v>0.51282051282051277</v>
      </c>
    </row>
    <row r="136" spans="2:6" x14ac:dyDescent="0.25">
      <c r="B136" s="5" t="s">
        <v>13</v>
      </c>
      <c r="C136" s="6">
        <v>164</v>
      </c>
      <c r="D136" s="29">
        <v>0.54125412541254125</v>
      </c>
      <c r="E136" s="6">
        <v>139</v>
      </c>
      <c r="F136" s="29">
        <v>0.45874587458745875</v>
      </c>
    </row>
    <row r="139" spans="2:6" x14ac:dyDescent="0.25">
      <c r="B139" s="8" t="s">
        <v>33</v>
      </c>
      <c r="C139" s="6" t="s">
        <v>19</v>
      </c>
    </row>
    <row r="140" spans="2:6" x14ac:dyDescent="0.25">
      <c r="B140" s="8" t="s">
        <v>32</v>
      </c>
      <c r="C140" s="6" t="s">
        <v>19</v>
      </c>
    </row>
    <row r="141" spans="2:6" ht="30" x14ac:dyDescent="0.25">
      <c r="B141" s="24" t="s">
        <v>71</v>
      </c>
      <c r="C141" s="12"/>
    </row>
    <row r="142" spans="2:6" x14ac:dyDescent="0.25">
      <c r="B142" s="6"/>
      <c r="C142" s="8" t="s">
        <v>18</v>
      </c>
      <c r="D142" s="6"/>
      <c r="E142" s="6"/>
      <c r="F142" s="6"/>
    </row>
    <row r="143" spans="2:6" x14ac:dyDescent="0.25">
      <c r="B143" s="6"/>
      <c r="C143" s="6" t="s">
        <v>31</v>
      </c>
      <c r="D143" s="6"/>
      <c r="E143" s="6" t="s">
        <v>90</v>
      </c>
      <c r="F143" s="6"/>
    </row>
    <row r="144" spans="2:6" x14ac:dyDescent="0.25">
      <c r="B144" s="8" t="s">
        <v>72</v>
      </c>
      <c r="C144" s="6" t="s">
        <v>17</v>
      </c>
      <c r="D144" s="6" t="s">
        <v>37</v>
      </c>
      <c r="E144" s="6" t="s">
        <v>17</v>
      </c>
      <c r="F144" s="6" t="s">
        <v>37</v>
      </c>
    </row>
    <row r="145" spans="2:10" x14ac:dyDescent="0.25">
      <c r="B145" s="5" t="s">
        <v>73</v>
      </c>
      <c r="C145" s="6">
        <v>1</v>
      </c>
      <c r="D145" s="29">
        <v>0.125</v>
      </c>
      <c r="E145" s="6">
        <v>7</v>
      </c>
      <c r="F145" s="29">
        <v>0.875</v>
      </c>
    </row>
    <row r="146" spans="2:10" x14ac:dyDescent="0.25">
      <c r="B146" s="5" t="s">
        <v>74</v>
      </c>
      <c r="C146" s="6">
        <v>6</v>
      </c>
      <c r="D146" s="29">
        <v>0.23076923076923078</v>
      </c>
      <c r="E146" s="6">
        <v>20</v>
      </c>
      <c r="F146" s="29">
        <v>0.76923076923076927</v>
      </c>
    </row>
    <row r="147" spans="2:10" x14ac:dyDescent="0.25">
      <c r="B147" s="5" t="s">
        <v>75</v>
      </c>
      <c r="C147" s="6">
        <v>17</v>
      </c>
      <c r="D147" s="29">
        <v>0.33333333333333331</v>
      </c>
      <c r="E147" s="6">
        <v>34</v>
      </c>
      <c r="F147" s="29">
        <v>0.66666666666666663</v>
      </c>
    </row>
    <row r="148" spans="2:10" x14ac:dyDescent="0.25">
      <c r="B148" s="5" t="s">
        <v>76</v>
      </c>
      <c r="C148" s="6">
        <v>51</v>
      </c>
      <c r="D148" s="29">
        <v>0.51515151515151514</v>
      </c>
      <c r="E148" s="6">
        <v>48</v>
      </c>
      <c r="F148" s="29">
        <v>0.48484848484848486</v>
      </c>
    </row>
    <row r="149" spans="2:10" x14ac:dyDescent="0.25">
      <c r="B149" s="5" t="s">
        <v>77</v>
      </c>
      <c r="C149" s="6">
        <v>74</v>
      </c>
      <c r="D149" s="29">
        <v>0.73267326732673266</v>
      </c>
      <c r="E149" s="6">
        <v>27</v>
      </c>
      <c r="F149" s="29">
        <v>0.26732673267326734</v>
      </c>
    </row>
    <row r="150" spans="2:10" x14ac:dyDescent="0.25">
      <c r="B150" s="5" t="s">
        <v>63</v>
      </c>
      <c r="C150" s="6">
        <v>15</v>
      </c>
      <c r="D150" s="29">
        <v>0.83333333333333337</v>
      </c>
      <c r="E150" s="6">
        <v>3</v>
      </c>
      <c r="F150" s="29">
        <v>0.16666666666666666</v>
      </c>
    </row>
    <row r="151" spans="2:10" x14ac:dyDescent="0.25">
      <c r="B151" s="5" t="s">
        <v>13</v>
      </c>
      <c r="C151" s="6">
        <v>164</v>
      </c>
      <c r="D151" s="29">
        <v>0.54125412541254125</v>
      </c>
      <c r="E151" s="6">
        <v>139</v>
      </c>
      <c r="F151" s="29">
        <v>0.45874587458745875</v>
      </c>
    </row>
    <row r="154" spans="2:10" x14ac:dyDescent="0.25">
      <c r="B154" s="8" t="s">
        <v>80</v>
      </c>
      <c r="C154" s="6" t="s">
        <v>19</v>
      </c>
    </row>
    <row r="155" spans="2:10" x14ac:dyDescent="0.25">
      <c r="B155" s="9" t="s">
        <v>79</v>
      </c>
    </row>
    <row r="156" spans="2:10" x14ac:dyDescent="0.25">
      <c r="B156" s="14"/>
      <c r="C156" s="8" t="s">
        <v>18</v>
      </c>
      <c r="D156" s="6"/>
      <c r="E156" s="6"/>
      <c r="F156" s="6"/>
      <c r="G156" s="6"/>
      <c r="H156" s="6"/>
      <c r="I156" s="6"/>
      <c r="J156" s="6"/>
    </row>
    <row r="157" spans="2:10" x14ac:dyDescent="0.25">
      <c r="B157" s="14"/>
      <c r="C157" s="6" t="s">
        <v>27</v>
      </c>
      <c r="D157" s="6"/>
      <c r="E157" s="6" t="s">
        <v>28</v>
      </c>
      <c r="F157" s="6"/>
      <c r="G157" s="6" t="s">
        <v>30</v>
      </c>
      <c r="H157" s="6"/>
      <c r="I157" s="6" t="s">
        <v>29</v>
      </c>
      <c r="J157" s="6"/>
    </row>
    <row r="158" spans="2:10" x14ac:dyDescent="0.25">
      <c r="B158" s="8" t="s">
        <v>14</v>
      </c>
      <c r="C158" s="6" t="s">
        <v>17</v>
      </c>
      <c r="D158" s="6" t="s">
        <v>37</v>
      </c>
      <c r="E158" s="6" t="s">
        <v>17</v>
      </c>
      <c r="F158" s="6" t="s">
        <v>37</v>
      </c>
      <c r="G158" s="6" t="s">
        <v>17</v>
      </c>
      <c r="H158" s="6" t="s">
        <v>37</v>
      </c>
      <c r="I158" s="6" t="s">
        <v>17</v>
      </c>
      <c r="J158" s="6" t="s">
        <v>37</v>
      </c>
    </row>
    <row r="159" spans="2:10" x14ac:dyDescent="0.25">
      <c r="B159" s="5" t="s">
        <v>16</v>
      </c>
      <c r="C159" s="6">
        <v>4</v>
      </c>
      <c r="D159" s="29">
        <v>4.1237113402061855E-2</v>
      </c>
      <c r="E159" s="6">
        <v>18</v>
      </c>
      <c r="F159" s="29">
        <v>0.18556701030927836</v>
      </c>
      <c r="G159" s="6">
        <v>35</v>
      </c>
      <c r="H159" s="29">
        <v>0.36082474226804123</v>
      </c>
      <c r="I159" s="6">
        <v>40</v>
      </c>
      <c r="J159" s="29">
        <v>0.41237113402061853</v>
      </c>
    </row>
    <row r="160" spans="2:10" x14ac:dyDescent="0.25">
      <c r="B160" s="5" t="s">
        <v>15</v>
      </c>
      <c r="C160" s="6">
        <v>19</v>
      </c>
      <c r="D160" s="29">
        <v>9.2233009708737865E-2</v>
      </c>
      <c r="E160" s="6">
        <v>32</v>
      </c>
      <c r="F160" s="29">
        <v>0.1553398058252427</v>
      </c>
      <c r="G160" s="6">
        <v>51</v>
      </c>
      <c r="H160" s="29">
        <v>0.24757281553398058</v>
      </c>
      <c r="I160" s="6">
        <v>104</v>
      </c>
      <c r="J160" s="29">
        <v>0.50485436893203883</v>
      </c>
    </row>
    <row r="161" spans="2:10" x14ac:dyDescent="0.25">
      <c r="B161" s="5" t="s">
        <v>13</v>
      </c>
      <c r="C161" s="6">
        <v>23</v>
      </c>
      <c r="D161" s="29">
        <v>7.590759075907591E-2</v>
      </c>
      <c r="E161" s="6">
        <v>50</v>
      </c>
      <c r="F161" s="29">
        <v>0.16501650165016502</v>
      </c>
      <c r="G161" s="6">
        <v>86</v>
      </c>
      <c r="H161" s="29">
        <v>0.28382838283828382</v>
      </c>
      <c r="I161" s="6">
        <v>144</v>
      </c>
      <c r="J161" s="29">
        <v>0.47524752475247523</v>
      </c>
    </row>
    <row r="164" spans="2:10" x14ac:dyDescent="0.25">
      <c r="B164" s="26" t="s">
        <v>81</v>
      </c>
    </row>
    <row r="165" spans="2:10" x14ac:dyDescent="0.25">
      <c r="B165" s="8" t="s">
        <v>37</v>
      </c>
      <c r="C165" s="8" t="s">
        <v>18</v>
      </c>
      <c r="D165" s="6"/>
    </row>
    <row r="166" spans="2:10" x14ac:dyDescent="0.25">
      <c r="B166" s="8" t="s">
        <v>14</v>
      </c>
      <c r="C166" s="6" t="s">
        <v>82</v>
      </c>
      <c r="D166" s="6" t="s">
        <v>83</v>
      </c>
    </row>
    <row r="167" spans="2:10" x14ac:dyDescent="0.25">
      <c r="B167" s="5" t="s">
        <v>16</v>
      </c>
      <c r="C167" s="29">
        <v>0.77319587628865982</v>
      </c>
      <c r="D167" s="29">
        <v>0.22680412371134021</v>
      </c>
    </row>
    <row r="168" spans="2:10" x14ac:dyDescent="0.25">
      <c r="B168" s="5" t="s">
        <v>15</v>
      </c>
      <c r="C168" s="29">
        <v>0.62621359223300976</v>
      </c>
      <c r="D168" s="29">
        <v>0.37378640776699029</v>
      </c>
    </row>
    <row r="169" spans="2:10" x14ac:dyDescent="0.25">
      <c r="B169" s="5" t="s">
        <v>13</v>
      </c>
      <c r="C169" s="29">
        <v>0.67326732673267331</v>
      </c>
      <c r="D169" s="29">
        <v>0.32673267326732675</v>
      </c>
    </row>
  </sheetData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CF2F-5995-4D1B-8508-BD99BC825445}">
  <dimension ref="A1:L166"/>
  <sheetViews>
    <sheetView topLeftCell="C1" zoomScaleNormal="100" workbookViewId="0">
      <selection activeCell="J21" sqref="J21"/>
    </sheetView>
  </sheetViews>
  <sheetFormatPr defaultRowHeight="15" x14ac:dyDescent="0.25"/>
  <cols>
    <col min="1" max="1" width="16.28515625" bestFit="1" customWidth="1"/>
    <col min="2" max="2" width="13.28515625" bestFit="1" customWidth="1"/>
    <col min="4" max="4" width="16.28515625" bestFit="1" customWidth="1"/>
    <col min="5" max="5" width="13.28515625" bestFit="1" customWidth="1"/>
    <col min="7" max="7" width="16.28515625" bestFit="1" customWidth="1"/>
    <col min="8" max="8" width="13.28515625" bestFit="1" customWidth="1"/>
    <col min="10" max="10" width="16.28515625" bestFit="1" customWidth="1"/>
    <col min="11" max="11" width="12.5703125" bestFit="1" customWidth="1"/>
    <col min="12" max="12" width="13.28515625" bestFit="1" customWidth="1"/>
    <col min="13" max="13" width="17.42578125" bestFit="1" customWidth="1"/>
    <col min="14" max="14" width="16.28515625" bestFit="1" customWidth="1"/>
    <col min="15" max="15" width="13.28515625" bestFit="1" customWidth="1"/>
  </cols>
  <sheetData>
    <row r="1" spans="1:12" x14ac:dyDescent="0.25">
      <c r="A1" t="s">
        <v>87</v>
      </c>
      <c r="D1" t="s">
        <v>88</v>
      </c>
      <c r="G1" t="s">
        <v>89</v>
      </c>
      <c r="J1" s="9" t="s">
        <v>96</v>
      </c>
    </row>
    <row r="2" spans="1:12" x14ac:dyDescent="0.25">
      <c r="A2" t="s">
        <v>31</v>
      </c>
      <c r="B2" t="s">
        <v>90</v>
      </c>
      <c r="D2" t="s">
        <v>31</v>
      </c>
      <c r="E2" t="s">
        <v>90</v>
      </c>
      <c r="G2" t="s">
        <v>31</v>
      </c>
      <c r="H2" t="s">
        <v>90</v>
      </c>
      <c r="J2" s="8" t="s">
        <v>98</v>
      </c>
      <c r="K2" s="6" t="s">
        <v>99</v>
      </c>
    </row>
    <row r="3" spans="1:12" x14ac:dyDescent="0.25">
      <c r="A3" cm="1">
        <f t="array" ref="A3:A166">_xlfn._xlws.FILTER(ClevelandData[rbp],ClevelandData[hd]=0)</f>
        <v>145</v>
      </c>
      <c r="B3" cm="1">
        <f t="array" ref="B3:B141">_xlfn._xlws.FILTER(ClevelandData[rbp],ClevelandData[hd]=1)</f>
        <v>160</v>
      </c>
      <c r="D3" cm="1">
        <f t="array" ref="D3:D166">_xlfn._xlws.FILTER(ClevelandData[chol],ClevelandData[hd]=0)</f>
        <v>233</v>
      </c>
      <c r="E3" cm="1">
        <f t="array" ref="E3:E141">_xlfn._xlws.FILTER(ClevelandData[chol],ClevelandData[hd]=1)</f>
        <v>286</v>
      </c>
      <c r="G3" cm="1">
        <f t="array" ref="G3:G166">_xlfn._xlws.FILTER(ClevelandData[maxhr],ClevelandData[hd]=0)</f>
        <v>150</v>
      </c>
      <c r="H3" cm="1">
        <f t="array" ref="H3:H141">_xlfn._xlws.FILTER(ClevelandData[maxhr],ClevelandData[hd]=1)</f>
        <v>108</v>
      </c>
      <c r="J3" s="5" t="s">
        <v>31</v>
      </c>
      <c r="K3" s="29">
        <v>0.54125412541254125</v>
      </c>
    </row>
    <row r="4" spans="1:12" x14ac:dyDescent="0.25">
      <c r="A4">
        <v>130</v>
      </c>
      <c r="B4">
        <v>120</v>
      </c>
      <c r="D4">
        <v>250</v>
      </c>
      <c r="E4">
        <v>229</v>
      </c>
      <c r="G4">
        <v>187</v>
      </c>
      <c r="H4">
        <v>129</v>
      </c>
      <c r="J4" s="5" t="s">
        <v>90</v>
      </c>
      <c r="K4" s="29">
        <v>0.45874587458745875</v>
      </c>
    </row>
    <row r="5" spans="1:12" x14ac:dyDescent="0.25">
      <c r="A5">
        <v>130</v>
      </c>
      <c r="B5">
        <v>140</v>
      </c>
      <c r="D5">
        <v>204</v>
      </c>
      <c r="E5">
        <v>268</v>
      </c>
      <c r="G5">
        <v>172</v>
      </c>
      <c r="H5">
        <v>160</v>
      </c>
      <c r="J5" s="5" t="s">
        <v>13</v>
      </c>
      <c r="K5" s="11">
        <v>1</v>
      </c>
    </row>
    <row r="6" spans="1:12" x14ac:dyDescent="0.25">
      <c r="A6">
        <v>120</v>
      </c>
      <c r="B6">
        <v>130</v>
      </c>
      <c r="D6">
        <v>236</v>
      </c>
      <c r="E6">
        <v>254</v>
      </c>
      <c r="G6">
        <v>178</v>
      </c>
      <c r="H6">
        <v>147</v>
      </c>
    </row>
    <row r="7" spans="1:12" ht="30" x14ac:dyDescent="0.25">
      <c r="A7">
        <v>120</v>
      </c>
      <c r="B7">
        <v>140</v>
      </c>
      <c r="D7">
        <v>354</v>
      </c>
      <c r="E7">
        <v>203</v>
      </c>
      <c r="G7">
        <v>163</v>
      </c>
      <c r="H7">
        <v>155</v>
      </c>
      <c r="J7" s="23" t="s">
        <v>37</v>
      </c>
      <c r="K7" s="8" t="s">
        <v>18</v>
      </c>
      <c r="L7" s="6"/>
    </row>
    <row r="8" spans="1:12" x14ac:dyDescent="0.25">
      <c r="A8">
        <v>140</v>
      </c>
      <c r="B8">
        <v>130</v>
      </c>
      <c r="D8">
        <v>192</v>
      </c>
      <c r="E8">
        <v>256</v>
      </c>
      <c r="G8">
        <v>148</v>
      </c>
      <c r="H8">
        <v>142</v>
      </c>
      <c r="J8" s="8" t="s">
        <v>14</v>
      </c>
      <c r="K8" s="6" t="s">
        <v>31</v>
      </c>
      <c r="L8" s="6" t="s">
        <v>90</v>
      </c>
    </row>
    <row r="9" spans="1:12" x14ac:dyDescent="0.25">
      <c r="A9">
        <v>140</v>
      </c>
      <c r="B9">
        <v>110</v>
      </c>
      <c r="D9">
        <v>294</v>
      </c>
      <c r="E9">
        <v>229</v>
      </c>
      <c r="G9">
        <v>153</v>
      </c>
      <c r="H9">
        <v>168</v>
      </c>
      <c r="J9" s="5" t="s">
        <v>16</v>
      </c>
      <c r="K9" s="29">
        <v>0.74226804123711343</v>
      </c>
      <c r="L9" s="29">
        <v>0.25773195876288657</v>
      </c>
    </row>
    <row r="10" spans="1:12" x14ac:dyDescent="0.25">
      <c r="A10">
        <v>120</v>
      </c>
      <c r="B10">
        <v>120</v>
      </c>
      <c r="D10">
        <v>263</v>
      </c>
      <c r="E10">
        <v>284</v>
      </c>
      <c r="G10">
        <v>173</v>
      </c>
      <c r="H10">
        <v>160</v>
      </c>
      <c r="J10" s="5" t="s">
        <v>15</v>
      </c>
      <c r="K10" s="29">
        <v>0.44660194174757284</v>
      </c>
      <c r="L10" s="29">
        <v>0.55339805825242716</v>
      </c>
    </row>
    <row r="11" spans="1:12" x14ac:dyDescent="0.25">
      <c r="A11">
        <v>172</v>
      </c>
      <c r="B11">
        <v>132</v>
      </c>
      <c r="D11">
        <v>199</v>
      </c>
      <c r="E11">
        <v>224</v>
      </c>
      <c r="G11">
        <v>162</v>
      </c>
      <c r="H11">
        <v>173</v>
      </c>
      <c r="J11" s="5" t="s">
        <v>13</v>
      </c>
      <c r="K11" s="29">
        <v>0.54125412541254125</v>
      </c>
      <c r="L11" s="29">
        <v>0.45874587458745875</v>
      </c>
    </row>
    <row r="12" spans="1:12" x14ac:dyDescent="0.25">
      <c r="A12">
        <v>150</v>
      </c>
      <c r="B12">
        <v>130</v>
      </c>
      <c r="D12">
        <v>168</v>
      </c>
      <c r="E12">
        <v>206</v>
      </c>
      <c r="G12">
        <v>174</v>
      </c>
      <c r="H12">
        <v>132</v>
      </c>
    </row>
    <row r="13" spans="1:12" x14ac:dyDescent="0.25">
      <c r="A13">
        <v>140</v>
      </c>
      <c r="B13">
        <v>110</v>
      </c>
      <c r="D13">
        <v>239</v>
      </c>
      <c r="E13">
        <v>167</v>
      </c>
      <c r="G13">
        <v>160</v>
      </c>
      <c r="H13">
        <v>114</v>
      </c>
      <c r="J13" s="4"/>
    </row>
    <row r="14" spans="1:12" x14ac:dyDescent="0.25">
      <c r="A14">
        <v>130</v>
      </c>
      <c r="B14">
        <v>117</v>
      </c>
      <c r="D14">
        <v>275</v>
      </c>
      <c r="E14">
        <v>230</v>
      </c>
      <c r="G14">
        <v>139</v>
      </c>
      <c r="H14">
        <v>160</v>
      </c>
      <c r="J14" s="8" t="s">
        <v>32</v>
      </c>
      <c r="K14" s="6" t="s">
        <v>19</v>
      </c>
    </row>
    <row r="15" spans="1:12" x14ac:dyDescent="0.25">
      <c r="A15">
        <v>130</v>
      </c>
      <c r="B15">
        <v>140</v>
      </c>
      <c r="D15">
        <v>266</v>
      </c>
      <c r="E15">
        <v>335</v>
      </c>
      <c r="G15">
        <v>171</v>
      </c>
      <c r="H15">
        <v>158</v>
      </c>
      <c r="J15" s="18"/>
    </row>
    <row r="16" spans="1:12" x14ac:dyDescent="0.25">
      <c r="A16">
        <v>110</v>
      </c>
      <c r="B16">
        <v>120</v>
      </c>
      <c r="D16">
        <v>211</v>
      </c>
      <c r="E16">
        <v>177</v>
      </c>
      <c r="G16">
        <v>144</v>
      </c>
      <c r="H16">
        <v>120</v>
      </c>
      <c r="J16" s="23" t="s">
        <v>37</v>
      </c>
      <c r="K16" s="8" t="s">
        <v>18</v>
      </c>
      <c r="L16" s="6"/>
    </row>
    <row r="17" spans="1:12" x14ac:dyDescent="0.25">
      <c r="A17">
        <v>150</v>
      </c>
      <c r="B17">
        <v>150</v>
      </c>
      <c r="D17">
        <v>283</v>
      </c>
      <c r="E17">
        <v>276</v>
      </c>
      <c r="G17">
        <v>162</v>
      </c>
      <c r="H17">
        <v>112</v>
      </c>
      <c r="J17" s="8" t="s">
        <v>20</v>
      </c>
      <c r="K17" s="6" t="s">
        <v>31</v>
      </c>
      <c r="L17" s="6" t="s">
        <v>90</v>
      </c>
    </row>
    <row r="18" spans="1:12" x14ac:dyDescent="0.25">
      <c r="A18">
        <v>120</v>
      </c>
      <c r="B18">
        <v>132</v>
      </c>
      <c r="D18">
        <v>219</v>
      </c>
      <c r="E18">
        <v>353</v>
      </c>
      <c r="G18">
        <v>158</v>
      </c>
      <c r="H18">
        <v>132</v>
      </c>
      <c r="J18" s="5" t="s">
        <v>21</v>
      </c>
      <c r="K18" s="29">
        <v>0.72727272727272729</v>
      </c>
      <c r="L18" s="29">
        <v>0.27272727272727271</v>
      </c>
    </row>
    <row r="19" spans="1:12" x14ac:dyDescent="0.25">
      <c r="A19">
        <v>120</v>
      </c>
      <c r="B19">
        <v>150</v>
      </c>
      <c r="D19">
        <v>340</v>
      </c>
      <c r="E19">
        <v>225</v>
      </c>
      <c r="G19">
        <v>172</v>
      </c>
      <c r="H19">
        <v>114</v>
      </c>
      <c r="J19" s="5" t="s">
        <v>22</v>
      </c>
      <c r="K19" s="29">
        <v>0.70422535211267601</v>
      </c>
      <c r="L19" s="29">
        <v>0.29577464788732394</v>
      </c>
    </row>
    <row r="20" spans="1:12" x14ac:dyDescent="0.25">
      <c r="A20">
        <v>150</v>
      </c>
      <c r="B20">
        <v>130</v>
      </c>
      <c r="D20">
        <v>226</v>
      </c>
      <c r="E20">
        <v>330</v>
      </c>
      <c r="G20">
        <v>114</v>
      </c>
      <c r="H20">
        <v>169</v>
      </c>
      <c r="J20" s="5" t="s">
        <v>23</v>
      </c>
      <c r="K20" s="29">
        <v>0.5431034482758621</v>
      </c>
      <c r="L20" s="29">
        <v>0.45689655172413796</v>
      </c>
    </row>
    <row r="21" spans="1:12" x14ac:dyDescent="0.25">
      <c r="A21">
        <v>150</v>
      </c>
      <c r="B21">
        <v>112</v>
      </c>
      <c r="D21">
        <v>247</v>
      </c>
      <c r="E21">
        <v>230</v>
      </c>
      <c r="G21">
        <v>171</v>
      </c>
      <c r="H21">
        <v>165</v>
      </c>
      <c r="J21" s="5" t="s">
        <v>24</v>
      </c>
      <c r="K21" s="29">
        <v>0.38043478260869568</v>
      </c>
      <c r="L21" s="29">
        <v>0.61956521739130432</v>
      </c>
    </row>
    <row r="22" spans="1:12" x14ac:dyDescent="0.25">
      <c r="A22">
        <v>140</v>
      </c>
      <c r="B22">
        <v>150</v>
      </c>
      <c r="D22">
        <v>239</v>
      </c>
      <c r="E22">
        <v>243</v>
      </c>
      <c r="G22">
        <v>151</v>
      </c>
      <c r="H22">
        <v>128</v>
      </c>
      <c r="J22" s="5" t="s">
        <v>25</v>
      </c>
      <c r="K22" s="29">
        <v>0.61538461538461542</v>
      </c>
      <c r="L22" s="29">
        <v>0.38461538461538464</v>
      </c>
    </row>
    <row r="23" spans="1:12" x14ac:dyDescent="0.25">
      <c r="A23">
        <v>135</v>
      </c>
      <c r="B23">
        <v>112</v>
      </c>
      <c r="D23">
        <v>234</v>
      </c>
      <c r="E23">
        <v>290</v>
      </c>
      <c r="G23">
        <v>161</v>
      </c>
      <c r="H23">
        <v>153</v>
      </c>
      <c r="J23" s="5" t="s">
        <v>13</v>
      </c>
      <c r="K23" s="29">
        <v>0.54125412541254125</v>
      </c>
      <c r="L23" s="29">
        <v>0.45874587458745875</v>
      </c>
    </row>
    <row r="24" spans="1:12" x14ac:dyDescent="0.25">
      <c r="A24">
        <v>130</v>
      </c>
      <c r="B24">
        <v>130</v>
      </c>
      <c r="D24">
        <v>233</v>
      </c>
      <c r="E24">
        <v>253</v>
      </c>
      <c r="G24">
        <v>179</v>
      </c>
      <c r="H24">
        <v>144</v>
      </c>
    </row>
    <row r="25" spans="1:12" x14ac:dyDescent="0.25">
      <c r="A25">
        <v>140</v>
      </c>
      <c r="B25">
        <v>124</v>
      </c>
      <c r="D25">
        <v>226</v>
      </c>
      <c r="E25">
        <v>266</v>
      </c>
      <c r="G25">
        <v>178</v>
      </c>
      <c r="H25">
        <v>109</v>
      </c>
    </row>
    <row r="26" spans="1:12" x14ac:dyDescent="0.25">
      <c r="A26">
        <v>150</v>
      </c>
      <c r="B26">
        <v>140</v>
      </c>
      <c r="D26">
        <v>243</v>
      </c>
      <c r="E26">
        <v>233</v>
      </c>
      <c r="G26">
        <v>137</v>
      </c>
      <c r="H26">
        <v>163</v>
      </c>
      <c r="J26" s="8" t="s">
        <v>33</v>
      </c>
      <c r="K26" s="6" t="s">
        <v>19</v>
      </c>
    </row>
    <row r="27" spans="1:12" x14ac:dyDescent="0.25">
      <c r="A27">
        <v>140</v>
      </c>
      <c r="B27">
        <v>110</v>
      </c>
      <c r="D27">
        <v>199</v>
      </c>
      <c r="E27">
        <v>172</v>
      </c>
      <c r="G27">
        <v>178</v>
      </c>
      <c r="H27">
        <v>158</v>
      </c>
      <c r="J27" s="8" t="s">
        <v>32</v>
      </c>
      <c r="K27" s="6" t="s">
        <v>19</v>
      </c>
    </row>
    <row r="28" spans="1:12" x14ac:dyDescent="0.25">
      <c r="A28">
        <v>160</v>
      </c>
      <c r="B28">
        <v>130</v>
      </c>
      <c r="D28">
        <v>302</v>
      </c>
      <c r="E28">
        <v>305</v>
      </c>
      <c r="G28">
        <v>162</v>
      </c>
      <c r="H28">
        <v>142</v>
      </c>
    </row>
    <row r="29" spans="1:12" x14ac:dyDescent="0.25">
      <c r="A29">
        <v>150</v>
      </c>
      <c r="B29">
        <v>128</v>
      </c>
      <c r="D29">
        <v>212</v>
      </c>
      <c r="E29">
        <v>216</v>
      </c>
      <c r="G29">
        <v>157</v>
      </c>
      <c r="H29">
        <v>131</v>
      </c>
      <c r="J29" s="15" t="s">
        <v>37</v>
      </c>
      <c r="K29" s="8" t="s">
        <v>18</v>
      </c>
      <c r="L29" s="6"/>
    </row>
    <row r="30" spans="1:12" x14ac:dyDescent="0.25">
      <c r="A30">
        <v>110</v>
      </c>
      <c r="B30">
        <v>120</v>
      </c>
      <c r="D30">
        <v>175</v>
      </c>
      <c r="E30">
        <v>188</v>
      </c>
      <c r="G30">
        <v>123</v>
      </c>
      <c r="H30">
        <v>113</v>
      </c>
      <c r="J30" s="8" t="s">
        <v>26</v>
      </c>
      <c r="K30" s="6" t="s">
        <v>31</v>
      </c>
      <c r="L30" s="6" t="s">
        <v>90</v>
      </c>
    </row>
    <row r="31" spans="1:12" x14ac:dyDescent="0.25">
      <c r="A31">
        <v>140</v>
      </c>
      <c r="B31">
        <v>145</v>
      </c>
      <c r="D31">
        <v>417</v>
      </c>
      <c r="E31">
        <v>282</v>
      </c>
      <c r="G31">
        <v>157</v>
      </c>
      <c r="H31">
        <v>142</v>
      </c>
      <c r="J31" s="5" t="s">
        <v>27</v>
      </c>
      <c r="K31" s="29">
        <v>0.69565217391304346</v>
      </c>
      <c r="L31" s="29">
        <v>0.30434782608695654</v>
      </c>
    </row>
    <row r="32" spans="1:12" x14ac:dyDescent="0.25">
      <c r="A32">
        <v>130</v>
      </c>
      <c r="B32">
        <v>140</v>
      </c>
      <c r="D32">
        <v>197</v>
      </c>
      <c r="E32">
        <v>185</v>
      </c>
      <c r="G32">
        <v>152</v>
      </c>
      <c r="H32">
        <v>155</v>
      </c>
      <c r="J32" s="5" t="s">
        <v>28</v>
      </c>
      <c r="K32" s="29">
        <v>0.82</v>
      </c>
      <c r="L32" s="29">
        <v>0.18</v>
      </c>
    </row>
    <row r="33" spans="1:12" x14ac:dyDescent="0.25">
      <c r="A33">
        <v>105</v>
      </c>
      <c r="B33">
        <v>170</v>
      </c>
      <c r="D33">
        <v>198</v>
      </c>
      <c r="E33">
        <v>326</v>
      </c>
      <c r="G33">
        <v>168</v>
      </c>
      <c r="H33">
        <v>140</v>
      </c>
      <c r="J33" s="5" t="s">
        <v>30</v>
      </c>
      <c r="K33" s="29">
        <v>0.79069767441860461</v>
      </c>
      <c r="L33" s="29">
        <v>0.20930232558139536</v>
      </c>
    </row>
    <row r="34" spans="1:12" x14ac:dyDescent="0.25">
      <c r="A34">
        <v>120</v>
      </c>
      <c r="B34">
        <v>150</v>
      </c>
      <c r="D34">
        <v>177</v>
      </c>
      <c r="E34">
        <v>231</v>
      </c>
      <c r="G34">
        <v>140</v>
      </c>
      <c r="H34">
        <v>147</v>
      </c>
      <c r="J34" s="5" t="s">
        <v>29</v>
      </c>
      <c r="K34" s="29">
        <v>0.27083333333333331</v>
      </c>
      <c r="L34" s="29">
        <v>0.72916666666666663</v>
      </c>
    </row>
    <row r="35" spans="1:12" x14ac:dyDescent="0.25">
      <c r="A35">
        <v>130</v>
      </c>
      <c r="B35">
        <v>125</v>
      </c>
      <c r="D35">
        <v>219</v>
      </c>
      <c r="E35">
        <v>254</v>
      </c>
      <c r="G35">
        <v>188</v>
      </c>
      <c r="H35">
        <v>163</v>
      </c>
      <c r="J35" s="5" t="s">
        <v>13</v>
      </c>
      <c r="K35" s="29">
        <v>0.54125412541254125</v>
      </c>
      <c r="L35" s="29">
        <v>0.45874587458745875</v>
      </c>
    </row>
    <row r="36" spans="1:12" x14ac:dyDescent="0.25">
      <c r="A36">
        <v>125</v>
      </c>
      <c r="B36">
        <v>120</v>
      </c>
      <c r="D36">
        <v>273</v>
      </c>
      <c r="E36">
        <v>267</v>
      </c>
      <c r="G36">
        <v>152</v>
      </c>
      <c r="H36">
        <v>99</v>
      </c>
    </row>
    <row r="37" spans="1:12" x14ac:dyDescent="0.25">
      <c r="A37">
        <v>125</v>
      </c>
      <c r="B37">
        <v>110</v>
      </c>
      <c r="D37">
        <v>213</v>
      </c>
      <c r="E37">
        <v>248</v>
      </c>
      <c r="G37">
        <v>125</v>
      </c>
      <c r="H37">
        <v>158</v>
      </c>
    </row>
    <row r="38" spans="1:12" x14ac:dyDescent="0.25">
      <c r="A38">
        <v>142</v>
      </c>
      <c r="B38">
        <v>110</v>
      </c>
      <c r="D38">
        <v>177</v>
      </c>
      <c r="E38">
        <v>197</v>
      </c>
      <c r="G38">
        <v>160</v>
      </c>
      <c r="H38">
        <v>177</v>
      </c>
      <c r="J38" s="8" t="s">
        <v>33</v>
      </c>
      <c r="K38" s="6" t="s">
        <v>19</v>
      </c>
    </row>
    <row r="39" spans="1:12" x14ac:dyDescent="0.25">
      <c r="A39">
        <v>135</v>
      </c>
      <c r="B39">
        <v>125</v>
      </c>
      <c r="D39">
        <v>304</v>
      </c>
      <c r="E39">
        <v>258</v>
      </c>
      <c r="G39">
        <v>170</v>
      </c>
      <c r="H39">
        <v>141</v>
      </c>
      <c r="J39" s="8" t="s">
        <v>32</v>
      </c>
      <c r="K39" s="6" t="s">
        <v>19</v>
      </c>
    </row>
    <row r="40" spans="1:12" ht="75" x14ac:dyDescent="0.25">
      <c r="A40">
        <v>150</v>
      </c>
      <c r="B40">
        <v>150</v>
      </c>
      <c r="D40">
        <v>232</v>
      </c>
      <c r="E40">
        <v>270</v>
      </c>
      <c r="G40">
        <v>165</v>
      </c>
      <c r="H40">
        <v>111</v>
      </c>
      <c r="J40" s="25" t="s">
        <v>58</v>
      </c>
    </row>
    <row r="41" spans="1:12" x14ac:dyDescent="0.25">
      <c r="A41">
        <v>155</v>
      </c>
      <c r="B41">
        <v>180</v>
      </c>
      <c r="D41">
        <v>269</v>
      </c>
      <c r="E41">
        <v>274</v>
      </c>
      <c r="G41">
        <v>148</v>
      </c>
      <c r="H41">
        <v>150</v>
      </c>
      <c r="J41" s="8" t="s">
        <v>37</v>
      </c>
      <c r="K41" s="8" t="s">
        <v>18</v>
      </c>
      <c r="L41" s="6"/>
    </row>
    <row r="42" spans="1:12" x14ac:dyDescent="0.25">
      <c r="A42">
        <v>160</v>
      </c>
      <c r="B42">
        <v>160</v>
      </c>
      <c r="D42">
        <v>360</v>
      </c>
      <c r="E42">
        <v>164</v>
      </c>
      <c r="G42">
        <v>151</v>
      </c>
      <c r="H42">
        <v>145</v>
      </c>
      <c r="J42" s="8" t="s">
        <v>43</v>
      </c>
      <c r="K42" s="6" t="s">
        <v>31</v>
      </c>
      <c r="L42" s="6" t="s">
        <v>90</v>
      </c>
    </row>
    <row r="43" spans="1:12" x14ac:dyDescent="0.25">
      <c r="A43">
        <v>140</v>
      </c>
      <c r="B43">
        <v>128</v>
      </c>
      <c r="D43">
        <v>308</v>
      </c>
      <c r="E43">
        <v>255</v>
      </c>
      <c r="G43">
        <v>142</v>
      </c>
      <c r="H43">
        <v>161</v>
      </c>
      <c r="J43" s="5" t="s">
        <v>44</v>
      </c>
      <c r="K43" s="29">
        <v>0.69117647058823528</v>
      </c>
      <c r="L43" s="29">
        <v>0.30882352941176472</v>
      </c>
    </row>
    <row r="44" spans="1:12" x14ac:dyDescent="0.25">
      <c r="A44">
        <v>130</v>
      </c>
      <c r="B44">
        <v>110</v>
      </c>
      <c r="D44">
        <v>245</v>
      </c>
      <c r="E44">
        <v>239</v>
      </c>
      <c r="G44">
        <v>180</v>
      </c>
      <c r="H44">
        <v>142</v>
      </c>
      <c r="J44" s="5" t="s">
        <v>45</v>
      </c>
      <c r="K44" s="29">
        <v>0.23232323232323232</v>
      </c>
      <c r="L44" s="29">
        <v>0.76767676767676762</v>
      </c>
    </row>
    <row r="45" spans="1:12" x14ac:dyDescent="0.25">
      <c r="A45">
        <v>104</v>
      </c>
      <c r="B45">
        <v>150</v>
      </c>
      <c r="D45">
        <v>208</v>
      </c>
      <c r="E45">
        <v>258</v>
      </c>
      <c r="G45">
        <v>148</v>
      </c>
      <c r="H45">
        <v>157</v>
      </c>
      <c r="J45" s="5" t="s">
        <v>13</v>
      </c>
      <c r="K45" s="29">
        <v>0.54125412541254125</v>
      </c>
      <c r="L45" s="29">
        <v>0.45874587458745875</v>
      </c>
    </row>
    <row r="46" spans="1:12" x14ac:dyDescent="0.25">
      <c r="A46">
        <v>130</v>
      </c>
      <c r="B46">
        <v>120</v>
      </c>
      <c r="D46">
        <v>264</v>
      </c>
      <c r="E46">
        <v>188</v>
      </c>
      <c r="G46">
        <v>143</v>
      </c>
      <c r="H46">
        <v>139</v>
      </c>
    </row>
    <row r="47" spans="1:12" x14ac:dyDescent="0.25">
      <c r="A47">
        <v>140</v>
      </c>
      <c r="B47">
        <v>140</v>
      </c>
      <c r="D47">
        <v>321</v>
      </c>
      <c r="E47">
        <v>177</v>
      </c>
      <c r="G47">
        <v>182</v>
      </c>
      <c r="H47">
        <v>162</v>
      </c>
    </row>
    <row r="48" spans="1:12" x14ac:dyDescent="0.25">
      <c r="A48">
        <v>120</v>
      </c>
      <c r="B48">
        <v>128</v>
      </c>
      <c r="D48">
        <v>325</v>
      </c>
      <c r="E48">
        <v>229</v>
      </c>
      <c r="G48">
        <v>172</v>
      </c>
      <c r="H48">
        <v>150</v>
      </c>
      <c r="J48" s="8" t="s">
        <v>33</v>
      </c>
      <c r="K48" s="6" t="s">
        <v>19</v>
      </c>
    </row>
    <row r="49" spans="1:12" x14ac:dyDescent="0.25">
      <c r="A49">
        <v>140</v>
      </c>
      <c r="B49">
        <v>120</v>
      </c>
      <c r="D49">
        <v>235</v>
      </c>
      <c r="E49">
        <v>260</v>
      </c>
      <c r="G49">
        <v>180</v>
      </c>
      <c r="H49">
        <v>140</v>
      </c>
      <c r="J49" s="8" t="s">
        <v>32</v>
      </c>
      <c r="K49" s="6" t="s">
        <v>19</v>
      </c>
    </row>
    <row r="50" spans="1:12" ht="60" x14ac:dyDescent="0.25">
      <c r="A50">
        <v>138</v>
      </c>
      <c r="B50">
        <v>118</v>
      </c>
      <c r="D50">
        <v>257</v>
      </c>
      <c r="E50">
        <v>219</v>
      </c>
      <c r="G50">
        <v>156</v>
      </c>
      <c r="H50">
        <v>140</v>
      </c>
      <c r="J50" s="24" t="s">
        <v>56</v>
      </c>
    </row>
    <row r="51" spans="1:12" x14ac:dyDescent="0.25">
      <c r="A51">
        <v>128</v>
      </c>
      <c r="B51">
        <v>145</v>
      </c>
      <c r="D51">
        <v>216</v>
      </c>
      <c r="E51">
        <v>307</v>
      </c>
      <c r="G51">
        <v>115</v>
      </c>
      <c r="H51">
        <v>146</v>
      </c>
      <c r="J51" s="8" t="s">
        <v>37</v>
      </c>
      <c r="K51" s="8" t="s">
        <v>18</v>
      </c>
      <c r="L51" s="6"/>
    </row>
    <row r="52" spans="1:12" x14ac:dyDescent="0.25">
      <c r="A52">
        <v>138</v>
      </c>
      <c r="B52">
        <v>125</v>
      </c>
      <c r="D52">
        <v>234</v>
      </c>
      <c r="E52">
        <v>249</v>
      </c>
      <c r="G52">
        <v>160</v>
      </c>
      <c r="H52">
        <v>144</v>
      </c>
      <c r="J52" s="8" t="s">
        <v>50</v>
      </c>
      <c r="K52" s="6" t="s">
        <v>31</v>
      </c>
      <c r="L52" s="6" t="s">
        <v>90</v>
      </c>
    </row>
    <row r="53" spans="1:12" x14ac:dyDescent="0.25">
      <c r="A53">
        <v>130</v>
      </c>
      <c r="B53">
        <v>132</v>
      </c>
      <c r="D53">
        <v>256</v>
      </c>
      <c r="E53">
        <v>341</v>
      </c>
      <c r="G53">
        <v>149</v>
      </c>
      <c r="H53">
        <v>136</v>
      </c>
      <c r="J53" s="5" t="s">
        <v>38</v>
      </c>
      <c r="K53" s="29">
        <v>0.77710843373493976</v>
      </c>
      <c r="L53" s="29">
        <v>0.22289156626506024</v>
      </c>
    </row>
    <row r="54" spans="1:12" x14ac:dyDescent="0.25">
      <c r="A54">
        <v>120</v>
      </c>
      <c r="B54">
        <v>130</v>
      </c>
      <c r="D54">
        <v>302</v>
      </c>
      <c r="E54">
        <v>263</v>
      </c>
      <c r="G54">
        <v>151</v>
      </c>
      <c r="H54">
        <v>97</v>
      </c>
      <c r="J54" s="5" t="s">
        <v>51</v>
      </c>
      <c r="K54" s="29">
        <v>0.33333333333333331</v>
      </c>
      <c r="L54" s="29">
        <v>0.66666666666666663</v>
      </c>
    </row>
    <row r="55" spans="1:12" x14ac:dyDescent="0.25">
      <c r="A55">
        <v>130</v>
      </c>
      <c r="B55">
        <v>130</v>
      </c>
      <c r="D55">
        <v>231</v>
      </c>
      <c r="E55">
        <v>330</v>
      </c>
      <c r="G55">
        <v>146</v>
      </c>
      <c r="H55">
        <v>132</v>
      </c>
      <c r="J55" s="5" t="s">
        <v>52</v>
      </c>
      <c r="K55" s="29">
        <v>0.23931623931623933</v>
      </c>
      <c r="L55" s="29">
        <v>0.76068376068376065</v>
      </c>
    </row>
    <row r="56" spans="1:12" x14ac:dyDescent="0.25">
      <c r="A56">
        <v>108</v>
      </c>
      <c r="B56">
        <v>135</v>
      </c>
      <c r="D56">
        <v>141</v>
      </c>
      <c r="E56">
        <v>254</v>
      </c>
      <c r="G56">
        <v>175</v>
      </c>
      <c r="H56">
        <v>127</v>
      </c>
      <c r="J56" s="5" t="s">
        <v>13</v>
      </c>
      <c r="K56" s="29">
        <v>0.5415282392026578</v>
      </c>
      <c r="L56" s="29">
        <v>0.4584717607973422</v>
      </c>
    </row>
    <row r="57" spans="1:12" x14ac:dyDescent="0.25">
      <c r="A57">
        <v>135</v>
      </c>
      <c r="B57">
        <v>130</v>
      </c>
      <c r="D57">
        <v>252</v>
      </c>
      <c r="E57">
        <v>256</v>
      </c>
      <c r="G57">
        <v>172</v>
      </c>
      <c r="H57">
        <v>150</v>
      </c>
      <c r="J57" s="3" t="s">
        <v>53</v>
      </c>
    </row>
    <row r="58" spans="1:12" x14ac:dyDescent="0.25">
      <c r="A58">
        <v>134</v>
      </c>
      <c r="B58">
        <v>150</v>
      </c>
      <c r="D58">
        <v>201</v>
      </c>
      <c r="E58">
        <v>407</v>
      </c>
      <c r="G58">
        <v>158</v>
      </c>
      <c r="H58">
        <v>154</v>
      </c>
    </row>
    <row r="59" spans="1:12" x14ac:dyDescent="0.25">
      <c r="A59">
        <v>122</v>
      </c>
      <c r="B59">
        <v>140</v>
      </c>
      <c r="D59">
        <v>222</v>
      </c>
      <c r="E59">
        <v>217</v>
      </c>
      <c r="G59">
        <v>186</v>
      </c>
      <c r="H59">
        <v>111</v>
      </c>
    </row>
    <row r="60" spans="1:12" x14ac:dyDescent="0.25">
      <c r="A60">
        <v>115</v>
      </c>
      <c r="B60">
        <v>138</v>
      </c>
      <c r="D60">
        <v>260</v>
      </c>
      <c r="E60">
        <v>282</v>
      </c>
      <c r="G60">
        <v>185</v>
      </c>
      <c r="H60">
        <v>174</v>
      </c>
    </row>
    <row r="61" spans="1:12" x14ac:dyDescent="0.25">
      <c r="A61">
        <v>118</v>
      </c>
      <c r="B61">
        <v>200</v>
      </c>
      <c r="D61">
        <v>182</v>
      </c>
      <c r="E61">
        <v>288</v>
      </c>
      <c r="G61">
        <v>174</v>
      </c>
      <c r="H61">
        <v>133</v>
      </c>
    </row>
    <row r="62" spans="1:12" x14ac:dyDescent="0.25">
      <c r="A62">
        <v>128</v>
      </c>
      <c r="B62">
        <v>110</v>
      </c>
      <c r="D62">
        <v>303</v>
      </c>
      <c r="E62">
        <v>239</v>
      </c>
      <c r="G62">
        <v>159</v>
      </c>
      <c r="H62">
        <v>126</v>
      </c>
    </row>
    <row r="63" spans="1:12" x14ac:dyDescent="0.25">
      <c r="A63">
        <v>110</v>
      </c>
      <c r="B63">
        <v>145</v>
      </c>
      <c r="D63">
        <v>265</v>
      </c>
      <c r="E63">
        <v>174</v>
      </c>
      <c r="G63">
        <v>130</v>
      </c>
      <c r="H63">
        <v>125</v>
      </c>
    </row>
    <row r="64" spans="1:12" x14ac:dyDescent="0.25">
      <c r="A64">
        <v>108</v>
      </c>
      <c r="B64">
        <v>120</v>
      </c>
      <c r="D64">
        <v>309</v>
      </c>
      <c r="E64">
        <v>281</v>
      </c>
      <c r="G64">
        <v>156</v>
      </c>
      <c r="H64">
        <v>103</v>
      </c>
    </row>
    <row r="65" spans="1:8" x14ac:dyDescent="0.25">
      <c r="A65">
        <v>118</v>
      </c>
      <c r="B65">
        <v>120</v>
      </c>
      <c r="D65">
        <v>186</v>
      </c>
      <c r="E65">
        <v>198</v>
      </c>
      <c r="G65">
        <v>190</v>
      </c>
      <c r="H65">
        <v>130</v>
      </c>
    </row>
    <row r="66" spans="1:8" x14ac:dyDescent="0.25">
      <c r="A66">
        <v>135</v>
      </c>
      <c r="B66">
        <v>170</v>
      </c>
      <c r="D66">
        <v>203</v>
      </c>
      <c r="E66">
        <v>288</v>
      </c>
      <c r="G66">
        <v>132</v>
      </c>
      <c r="H66">
        <v>159</v>
      </c>
    </row>
    <row r="67" spans="1:8" x14ac:dyDescent="0.25">
      <c r="A67">
        <v>140</v>
      </c>
      <c r="B67">
        <v>125</v>
      </c>
      <c r="D67">
        <v>211</v>
      </c>
      <c r="E67">
        <v>309</v>
      </c>
      <c r="G67">
        <v>165</v>
      </c>
      <c r="H67">
        <v>131</v>
      </c>
    </row>
    <row r="68" spans="1:8" x14ac:dyDescent="0.25">
      <c r="A68">
        <v>138</v>
      </c>
      <c r="B68">
        <v>108</v>
      </c>
      <c r="D68">
        <v>183</v>
      </c>
      <c r="E68">
        <v>243</v>
      </c>
      <c r="G68">
        <v>182</v>
      </c>
      <c r="H68">
        <v>152</v>
      </c>
    </row>
    <row r="69" spans="1:8" x14ac:dyDescent="0.25">
      <c r="A69">
        <v>100</v>
      </c>
      <c r="B69">
        <v>165</v>
      </c>
      <c r="D69">
        <v>222</v>
      </c>
      <c r="E69">
        <v>289</v>
      </c>
      <c r="G69">
        <v>143</v>
      </c>
      <c r="H69">
        <v>124</v>
      </c>
    </row>
    <row r="70" spans="1:8" x14ac:dyDescent="0.25">
      <c r="A70">
        <v>130</v>
      </c>
      <c r="B70">
        <v>160</v>
      </c>
      <c r="D70">
        <v>234</v>
      </c>
      <c r="E70">
        <v>289</v>
      </c>
      <c r="G70">
        <v>175</v>
      </c>
      <c r="H70">
        <v>145</v>
      </c>
    </row>
    <row r="71" spans="1:8" x14ac:dyDescent="0.25">
      <c r="A71">
        <v>120</v>
      </c>
      <c r="B71">
        <v>120</v>
      </c>
      <c r="D71">
        <v>220</v>
      </c>
      <c r="E71">
        <v>246</v>
      </c>
      <c r="G71">
        <v>170</v>
      </c>
      <c r="H71">
        <v>96</v>
      </c>
    </row>
    <row r="72" spans="1:8" x14ac:dyDescent="0.25">
      <c r="A72">
        <v>124</v>
      </c>
      <c r="B72">
        <v>130</v>
      </c>
      <c r="D72">
        <v>209</v>
      </c>
      <c r="E72">
        <v>322</v>
      </c>
      <c r="G72">
        <v>163</v>
      </c>
      <c r="H72">
        <v>109</v>
      </c>
    </row>
    <row r="73" spans="1:8" x14ac:dyDescent="0.25">
      <c r="A73">
        <v>120</v>
      </c>
      <c r="B73">
        <v>140</v>
      </c>
      <c r="D73">
        <v>258</v>
      </c>
      <c r="E73">
        <v>299</v>
      </c>
      <c r="G73">
        <v>147</v>
      </c>
      <c r="H73">
        <v>173</v>
      </c>
    </row>
    <row r="74" spans="1:8" x14ac:dyDescent="0.25">
      <c r="A74">
        <v>94</v>
      </c>
      <c r="B74">
        <v>125</v>
      </c>
      <c r="D74">
        <v>227</v>
      </c>
      <c r="E74">
        <v>300</v>
      </c>
      <c r="G74">
        <v>154</v>
      </c>
      <c r="H74">
        <v>171</v>
      </c>
    </row>
    <row r="75" spans="1:8" x14ac:dyDescent="0.25">
      <c r="A75">
        <v>130</v>
      </c>
      <c r="B75">
        <v>140</v>
      </c>
      <c r="D75">
        <v>204</v>
      </c>
      <c r="E75">
        <v>293</v>
      </c>
      <c r="G75">
        <v>202</v>
      </c>
      <c r="H75">
        <v>170</v>
      </c>
    </row>
    <row r="76" spans="1:8" x14ac:dyDescent="0.25">
      <c r="A76">
        <v>140</v>
      </c>
      <c r="B76">
        <v>125</v>
      </c>
      <c r="D76">
        <v>261</v>
      </c>
      <c r="E76">
        <v>304</v>
      </c>
      <c r="G76">
        <v>186</v>
      </c>
      <c r="H76">
        <v>162</v>
      </c>
    </row>
    <row r="77" spans="1:8" x14ac:dyDescent="0.25">
      <c r="A77">
        <v>122</v>
      </c>
      <c r="B77">
        <v>126</v>
      </c>
      <c r="D77">
        <v>213</v>
      </c>
      <c r="E77">
        <v>282</v>
      </c>
      <c r="G77">
        <v>165</v>
      </c>
      <c r="H77">
        <v>156</v>
      </c>
    </row>
    <row r="78" spans="1:8" x14ac:dyDescent="0.25">
      <c r="A78">
        <v>135</v>
      </c>
      <c r="B78">
        <v>160</v>
      </c>
      <c r="D78">
        <v>250</v>
      </c>
      <c r="E78">
        <v>269</v>
      </c>
      <c r="G78">
        <v>161</v>
      </c>
      <c r="H78">
        <v>112</v>
      </c>
    </row>
    <row r="79" spans="1:8" x14ac:dyDescent="0.25">
      <c r="A79">
        <v>125</v>
      </c>
      <c r="B79">
        <v>174</v>
      </c>
      <c r="D79">
        <v>245</v>
      </c>
      <c r="E79">
        <v>249</v>
      </c>
      <c r="G79">
        <v>166</v>
      </c>
      <c r="H79">
        <v>143</v>
      </c>
    </row>
    <row r="80" spans="1:8" x14ac:dyDescent="0.25">
      <c r="A80">
        <v>140</v>
      </c>
      <c r="B80">
        <v>145</v>
      </c>
      <c r="D80">
        <v>221</v>
      </c>
      <c r="E80">
        <v>212</v>
      </c>
      <c r="G80">
        <v>164</v>
      </c>
      <c r="H80">
        <v>132</v>
      </c>
    </row>
    <row r="81" spans="1:8" x14ac:dyDescent="0.25">
      <c r="A81">
        <v>128</v>
      </c>
      <c r="B81">
        <v>152</v>
      </c>
      <c r="D81">
        <v>205</v>
      </c>
      <c r="E81">
        <v>274</v>
      </c>
      <c r="G81">
        <v>184</v>
      </c>
      <c r="H81">
        <v>88</v>
      </c>
    </row>
    <row r="82" spans="1:8" x14ac:dyDescent="0.25">
      <c r="A82">
        <v>105</v>
      </c>
      <c r="B82">
        <v>132</v>
      </c>
      <c r="D82">
        <v>240</v>
      </c>
      <c r="E82">
        <v>184</v>
      </c>
      <c r="G82">
        <v>154</v>
      </c>
      <c r="H82">
        <v>105</v>
      </c>
    </row>
    <row r="83" spans="1:8" x14ac:dyDescent="0.25">
      <c r="A83">
        <v>112</v>
      </c>
      <c r="B83">
        <v>124</v>
      </c>
      <c r="D83">
        <v>250</v>
      </c>
      <c r="E83">
        <v>274</v>
      </c>
      <c r="G83">
        <v>179</v>
      </c>
      <c r="H83">
        <v>166</v>
      </c>
    </row>
    <row r="84" spans="1:8" x14ac:dyDescent="0.25">
      <c r="A84">
        <v>128</v>
      </c>
      <c r="B84">
        <v>134</v>
      </c>
      <c r="D84">
        <v>308</v>
      </c>
      <c r="E84">
        <v>409</v>
      </c>
      <c r="G84">
        <v>170</v>
      </c>
      <c r="H84">
        <v>150</v>
      </c>
    </row>
    <row r="85" spans="1:8" x14ac:dyDescent="0.25">
      <c r="A85">
        <v>102</v>
      </c>
      <c r="B85">
        <v>158</v>
      </c>
      <c r="D85">
        <v>318</v>
      </c>
      <c r="E85">
        <v>305</v>
      </c>
      <c r="G85">
        <v>160</v>
      </c>
      <c r="H85">
        <v>161</v>
      </c>
    </row>
    <row r="86" spans="1:8" x14ac:dyDescent="0.25">
      <c r="A86">
        <v>152</v>
      </c>
      <c r="B86">
        <v>160</v>
      </c>
      <c r="D86">
        <v>298</v>
      </c>
      <c r="E86">
        <v>246</v>
      </c>
      <c r="G86">
        <v>178</v>
      </c>
      <c r="H86">
        <v>120</v>
      </c>
    </row>
    <row r="87" spans="1:8" x14ac:dyDescent="0.25">
      <c r="A87">
        <v>102</v>
      </c>
      <c r="B87">
        <v>192</v>
      </c>
      <c r="D87">
        <v>265</v>
      </c>
      <c r="E87">
        <v>283</v>
      </c>
      <c r="G87">
        <v>122</v>
      </c>
      <c r="H87">
        <v>195</v>
      </c>
    </row>
    <row r="88" spans="1:8" x14ac:dyDescent="0.25">
      <c r="A88">
        <v>115</v>
      </c>
      <c r="B88">
        <v>140</v>
      </c>
      <c r="D88">
        <v>564</v>
      </c>
      <c r="E88">
        <v>254</v>
      </c>
      <c r="G88">
        <v>160</v>
      </c>
      <c r="H88">
        <v>146</v>
      </c>
    </row>
    <row r="89" spans="1:8" x14ac:dyDescent="0.25">
      <c r="A89">
        <v>118</v>
      </c>
      <c r="B89">
        <v>140</v>
      </c>
      <c r="D89">
        <v>277</v>
      </c>
      <c r="E89">
        <v>298</v>
      </c>
      <c r="G89">
        <v>151</v>
      </c>
      <c r="H89">
        <v>122</v>
      </c>
    </row>
    <row r="90" spans="1:8" x14ac:dyDescent="0.25">
      <c r="A90">
        <v>101</v>
      </c>
      <c r="B90">
        <v>132</v>
      </c>
      <c r="D90">
        <v>197</v>
      </c>
      <c r="E90">
        <v>247</v>
      </c>
      <c r="G90">
        <v>156</v>
      </c>
      <c r="H90">
        <v>143</v>
      </c>
    </row>
    <row r="91" spans="1:8" x14ac:dyDescent="0.25">
      <c r="A91">
        <v>110</v>
      </c>
      <c r="B91">
        <v>138</v>
      </c>
      <c r="D91">
        <v>214</v>
      </c>
      <c r="E91">
        <v>294</v>
      </c>
      <c r="G91">
        <v>158</v>
      </c>
      <c r="H91">
        <v>106</v>
      </c>
    </row>
    <row r="92" spans="1:8" x14ac:dyDescent="0.25">
      <c r="A92">
        <v>100</v>
      </c>
      <c r="B92">
        <v>100</v>
      </c>
      <c r="D92">
        <v>248</v>
      </c>
      <c r="E92">
        <v>299</v>
      </c>
      <c r="G92">
        <v>122</v>
      </c>
      <c r="H92">
        <v>125</v>
      </c>
    </row>
    <row r="93" spans="1:8" x14ac:dyDescent="0.25">
      <c r="A93">
        <v>124</v>
      </c>
      <c r="B93">
        <v>160</v>
      </c>
      <c r="D93">
        <v>255</v>
      </c>
      <c r="E93">
        <v>273</v>
      </c>
      <c r="G93">
        <v>175</v>
      </c>
      <c r="H93">
        <v>125</v>
      </c>
    </row>
    <row r="94" spans="1:8" x14ac:dyDescent="0.25">
      <c r="A94">
        <v>132</v>
      </c>
      <c r="B94">
        <v>142</v>
      </c>
      <c r="D94">
        <v>207</v>
      </c>
      <c r="E94">
        <v>309</v>
      </c>
      <c r="G94">
        <v>168</v>
      </c>
      <c r="H94">
        <v>147</v>
      </c>
    </row>
    <row r="95" spans="1:8" x14ac:dyDescent="0.25">
      <c r="A95">
        <v>138</v>
      </c>
      <c r="B95">
        <v>128</v>
      </c>
      <c r="D95">
        <v>223</v>
      </c>
      <c r="E95">
        <v>259</v>
      </c>
      <c r="G95">
        <v>169</v>
      </c>
      <c r="H95">
        <v>130</v>
      </c>
    </row>
    <row r="96" spans="1:8" x14ac:dyDescent="0.25">
      <c r="A96">
        <v>132</v>
      </c>
      <c r="B96">
        <v>144</v>
      </c>
      <c r="D96">
        <v>288</v>
      </c>
      <c r="E96">
        <v>200</v>
      </c>
      <c r="G96">
        <v>159</v>
      </c>
      <c r="H96">
        <v>126</v>
      </c>
    </row>
    <row r="97" spans="1:8" x14ac:dyDescent="0.25">
      <c r="A97">
        <v>112</v>
      </c>
      <c r="B97">
        <v>150</v>
      </c>
      <c r="D97">
        <v>160</v>
      </c>
      <c r="E97">
        <v>244</v>
      </c>
      <c r="G97">
        <v>138</v>
      </c>
      <c r="H97">
        <v>154</v>
      </c>
    </row>
    <row r="98" spans="1:8" x14ac:dyDescent="0.25">
      <c r="A98">
        <v>142</v>
      </c>
      <c r="B98">
        <v>120</v>
      </c>
      <c r="D98">
        <v>226</v>
      </c>
      <c r="E98">
        <v>231</v>
      </c>
      <c r="G98">
        <v>111</v>
      </c>
      <c r="H98">
        <v>182</v>
      </c>
    </row>
    <row r="99" spans="1:8" x14ac:dyDescent="0.25">
      <c r="A99">
        <v>140</v>
      </c>
      <c r="B99">
        <v>178</v>
      </c>
      <c r="D99">
        <v>394</v>
      </c>
      <c r="E99">
        <v>228</v>
      </c>
      <c r="G99">
        <v>157</v>
      </c>
      <c r="H99">
        <v>165</v>
      </c>
    </row>
    <row r="100" spans="1:8" x14ac:dyDescent="0.25">
      <c r="A100">
        <v>108</v>
      </c>
      <c r="B100">
        <v>112</v>
      </c>
      <c r="D100">
        <v>233</v>
      </c>
      <c r="E100">
        <v>230</v>
      </c>
      <c r="G100">
        <v>147</v>
      </c>
      <c r="H100">
        <v>160</v>
      </c>
    </row>
    <row r="101" spans="1:8" x14ac:dyDescent="0.25">
      <c r="A101">
        <v>130</v>
      </c>
      <c r="B101">
        <v>123</v>
      </c>
      <c r="D101">
        <v>315</v>
      </c>
      <c r="E101">
        <v>282</v>
      </c>
      <c r="G101">
        <v>162</v>
      </c>
      <c r="H101">
        <v>95</v>
      </c>
    </row>
    <row r="102" spans="1:8" x14ac:dyDescent="0.25">
      <c r="A102">
        <v>130</v>
      </c>
      <c r="B102">
        <v>108</v>
      </c>
      <c r="D102">
        <v>246</v>
      </c>
      <c r="E102">
        <v>269</v>
      </c>
      <c r="G102">
        <v>173</v>
      </c>
      <c r="H102">
        <v>169</v>
      </c>
    </row>
    <row r="103" spans="1:8" x14ac:dyDescent="0.25">
      <c r="A103">
        <v>148</v>
      </c>
      <c r="B103">
        <v>110</v>
      </c>
      <c r="D103">
        <v>244</v>
      </c>
      <c r="E103">
        <v>206</v>
      </c>
      <c r="G103">
        <v>178</v>
      </c>
      <c r="H103">
        <v>108</v>
      </c>
    </row>
    <row r="104" spans="1:8" x14ac:dyDescent="0.25">
      <c r="A104">
        <v>178</v>
      </c>
      <c r="B104">
        <v>112</v>
      </c>
      <c r="D104">
        <v>270</v>
      </c>
      <c r="E104">
        <v>212</v>
      </c>
      <c r="G104">
        <v>145</v>
      </c>
      <c r="H104">
        <v>132</v>
      </c>
    </row>
    <row r="105" spans="1:8" x14ac:dyDescent="0.25">
      <c r="A105">
        <v>140</v>
      </c>
      <c r="B105">
        <v>180</v>
      </c>
      <c r="D105">
        <v>195</v>
      </c>
      <c r="E105">
        <v>327</v>
      </c>
      <c r="G105">
        <v>179</v>
      </c>
      <c r="H105">
        <v>117</v>
      </c>
    </row>
    <row r="106" spans="1:8" x14ac:dyDescent="0.25">
      <c r="A106">
        <v>120</v>
      </c>
      <c r="B106">
        <v>118</v>
      </c>
      <c r="D106">
        <v>240</v>
      </c>
      <c r="E106">
        <v>149</v>
      </c>
      <c r="G106">
        <v>194</v>
      </c>
      <c r="H106">
        <v>126</v>
      </c>
    </row>
    <row r="107" spans="1:8" x14ac:dyDescent="0.25">
      <c r="A107">
        <v>129</v>
      </c>
      <c r="B107">
        <v>122</v>
      </c>
      <c r="D107">
        <v>196</v>
      </c>
      <c r="E107">
        <v>286</v>
      </c>
      <c r="G107">
        <v>163</v>
      </c>
      <c r="H107">
        <v>116</v>
      </c>
    </row>
    <row r="108" spans="1:8" x14ac:dyDescent="0.25">
      <c r="A108">
        <v>120</v>
      </c>
      <c r="B108">
        <v>130</v>
      </c>
      <c r="D108">
        <v>211</v>
      </c>
      <c r="E108">
        <v>283</v>
      </c>
      <c r="G108">
        <v>115</v>
      </c>
      <c r="H108">
        <v>103</v>
      </c>
    </row>
    <row r="109" spans="1:8" x14ac:dyDescent="0.25">
      <c r="A109">
        <v>160</v>
      </c>
      <c r="B109">
        <v>120</v>
      </c>
      <c r="D109">
        <v>234</v>
      </c>
      <c r="E109">
        <v>249</v>
      </c>
      <c r="G109">
        <v>131</v>
      </c>
      <c r="H109">
        <v>144</v>
      </c>
    </row>
    <row r="110" spans="1:8" x14ac:dyDescent="0.25">
      <c r="A110">
        <v>138</v>
      </c>
      <c r="B110">
        <v>134</v>
      </c>
      <c r="D110">
        <v>236</v>
      </c>
      <c r="E110">
        <v>234</v>
      </c>
      <c r="G110">
        <v>152</v>
      </c>
      <c r="H110">
        <v>145</v>
      </c>
    </row>
    <row r="111" spans="1:8" x14ac:dyDescent="0.25">
      <c r="A111">
        <v>120</v>
      </c>
      <c r="B111">
        <v>120</v>
      </c>
      <c r="D111">
        <v>244</v>
      </c>
      <c r="E111">
        <v>237</v>
      </c>
      <c r="G111">
        <v>162</v>
      </c>
      <c r="H111">
        <v>71</v>
      </c>
    </row>
    <row r="112" spans="1:8" x14ac:dyDescent="0.25">
      <c r="A112">
        <v>110</v>
      </c>
      <c r="B112">
        <v>100</v>
      </c>
      <c r="D112">
        <v>254</v>
      </c>
      <c r="E112">
        <v>234</v>
      </c>
      <c r="G112">
        <v>159</v>
      </c>
      <c r="H112">
        <v>156</v>
      </c>
    </row>
    <row r="113" spans="1:8" x14ac:dyDescent="0.25">
      <c r="A113">
        <v>180</v>
      </c>
      <c r="B113">
        <v>110</v>
      </c>
      <c r="D113">
        <v>325</v>
      </c>
      <c r="E113">
        <v>275</v>
      </c>
      <c r="G113">
        <v>154</v>
      </c>
      <c r="H113">
        <v>118</v>
      </c>
    </row>
    <row r="114" spans="1:8" x14ac:dyDescent="0.25">
      <c r="A114">
        <v>150</v>
      </c>
      <c r="B114">
        <v>125</v>
      </c>
      <c r="D114">
        <v>126</v>
      </c>
      <c r="E114">
        <v>212</v>
      </c>
      <c r="G114">
        <v>173</v>
      </c>
      <c r="H114">
        <v>168</v>
      </c>
    </row>
    <row r="115" spans="1:8" x14ac:dyDescent="0.25">
      <c r="A115">
        <v>140</v>
      </c>
      <c r="B115">
        <v>146</v>
      </c>
      <c r="D115">
        <v>313</v>
      </c>
      <c r="E115">
        <v>218</v>
      </c>
      <c r="G115">
        <v>133</v>
      </c>
      <c r="H115">
        <v>105</v>
      </c>
    </row>
    <row r="116" spans="1:8" x14ac:dyDescent="0.25">
      <c r="A116">
        <v>110</v>
      </c>
      <c r="B116">
        <v>124</v>
      </c>
      <c r="D116">
        <v>211</v>
      </c>
      <c r="E116">
        <v>261</v>
      </c>
      <c r="G116">
        <v>161</v>
      </c>
      <c r="H116">
        <v>141</v>
      </c>
    </row>
    <row r="117" spans="1:8" x14ac:dyDescent="0.25">
      <c r="A117">
        <v>130</v>
      </c>
      <c r="B117">
        <v>136</v>
      </c>
      <c r="D117">
        <v>262</v>
      </c>
      <c r="E117">
        <v>319</v>
      </c>
      <c r="G117">
        <v>155</v>
      </c>
      <c r="H117">
        <v>152</v>
      </c>
    </row>
    <row r="118" spans="1:8" x14ac:dyDescent="0.25">
      <c r="A118">
        <v>120</v>
      </c>
      <c r="B118">
        <v>138</v>
      </c>
      <c r="D118">
        <v>215</v>
      </c>
      <c r="E118">
        <v>166</v>
      </c>
      <c r="G118">
        <v>170</v>
      </c>
      <c r="H118">
        <v>125</v>
      </c>
    </row>
    <row r="119" spans="1:8" x14ac:dyDescent="0.25">
      <c r="A119">
        <v>130</v>
      </c>
      <c r="B119">
        <v>136</v>
      </c>
      <c r="D119">
        <v>214</v>
      </c>
      <c r="E119">
        <v>315</v>
      </c>
      <c r="G119">
        <v>168</v>
      </c>
      <c r="H119">
        <v>125</v>
      </c>
    </row>
    <row r="120" spans="1:8" x14ac:dyDescent="0.25">
      <c r="A120">
        <v>120</v>
      </c>
      <c r="B120">
        <v>128</v>
      </c>
      <c r="D120">
        <v>193</v>
      </c>
      <c r="E120">
        <v>204</v>
      </c>
      <c r="G120">
        <v>162</v>
      </c>
      <c r="H120">
        <v>156</v>
      </c>
    </row>
    <row r="121" spans="1:8" x14ac:dyDescent="0.25">
      <c r="A121">
        <v>105</v>
      </c>
      <c r="B121">
        <v>126</v>
      </c>
      <c r="D121">
        <v>204</v>
      </c>
      <c r="E121">
        <v>218</v>
      </c>
      <c r="G121">
        <v>172</v>
      </c>
      <c r="H121">
        <v>134</v>
      </c>
    </row>
    <row r="122" spans="1:8" x14ac:dyDescent="0.25">
      <c r="A122">
        <v>138</v>
      </c>
      <c r="B122">
        <v>152</v>
      </c>
      <c r="D122">
        <v>243</v>
      </c>
      <c r="E122">
        <v>223</v>
      </c>
      <c r="G122">
        <v>152</v>
      </c>
      <c r="H122">
        <v>181</v>
      </c>
    </row>
    <row r="123" spans="1:8" x14ac:dyDescent="0.25">
      <c r="A123">
        <v>130</v>
      </c>
      <c r="B123">
        <v>140</v>
      </c>
      <c r="D123">
        <v>303</v>
      </c>
      <c r="E123">
        <v>207</v>
      </c>
      <c r="G123">
        <v>122</v>
      </c>
      <c r="H123">
        <v>138</v>
      </c>
    </row>
    <row r="124" spans="1:8" x14ac:dyDescent="0.25">
      <c r="A124">
        <v>138</v>
      </c>
      <c r="B124">
        <v>140</v>
      </c>
      <c r="D124">
        <v>271</v>
      </c>
      <c r="E124">
        <v>311</v>
      </c>
      <c r="G124">
        <v>182</v>
      </c>
      <c r="H124">
        <v>120</v>
      </c>
    </row>
    <row r="125" spans="1:8" x14ac:dyDescent="0.25">
      <c r="A125">
        <v>112</v>
      </c>
      <c r="B125">
        <v>134</v>
      </c>
      <c r="D125">
        <v>268</v>
      </c>
      <c r="E125">
        <v>204</v>
      </c>
      <c r="G125">
        <v>172</v>
      </c>
      <c r="H125">
        <v>162</v>
      </c>
    </row>
    <row r="126" spans="1:8" x14ac:dyDescent="0.25">
      <c r="A126">
        <v>108</v>
      </c>
      <c r="B126">
        <v>154</v>
      </c>
      <c r="D126">
        <v>267</v>
      </c>
      <c r="E126">
        <v>232</v>
      </c>
      <c r="G126">
        <v>167</v>
      </c>
      <c r="H126">
        <v>164</v>
      </c>
    </row>
    <row r="127" spans="1:8" x14ac:dyDescent="0.25">
      <c r="A127">
        <v>94</v>
      </c>
      <c r="B127">
        <v>110</v>
      </c>
      <c r="D127">
        <v>199</v>
      </c>
      <c r="E127">
        <v>335</v>
      </c>
      <c r="G127">
        <v>179</v>
      </c>
      <c r="H127">
        <v>143</v>
      </c>
    </row>
    <row r="128" spans="1:8" x14ac:dyDescent="0.25">
      <c r="A128">
        <v>118</v>
      </c>
      <c r="B128">
        <v>128</v>
      </c>
      <c r="D128">
        <v>210</v>
      </c>
      <c r="E128">
        <v>205</v>
      </c>
      <c r="G128">
        <v>192</v>
      </c>
      <c r="H128">
        <v>130</v>
      </c>
    </row>
    <row r="129" spans="1:8" x14ac:dyDescent="0.25">
      <c r="A129">
        <v>112</v>
      </c>
      <c r="B129">
        <v>148</v>
      </c>
      <c r="D129">
        <v>204</v>
      </c>
      <c r="E129">
        <v>203</v>
      </c>
      <c r="G129">
        <v>143</v>
      </c>
      <c r="H129">
        <v>161</v>
      </c>
    </row>
    <row r="130" spans="1:8" x14ac:dyDescent="0.25">
      <c r="A130">
        <v>152</v>
      </c>
      <c r="B130">
        <v>114</v>
      </c>
      <c r="D130">
        <v>277</v>
      </c>
      <c r="E130">
        <v>318</v>
      </c>
      <c r="G130">
        <v>172</v>
      </c>
      <c r="H130">
        <v>140</v>
      </c>
    </row>
    <row r="131" spans="1:8" x14ac:dyDescent="0.25">
      <c r="A131">
        <v>136</v>
      </c>
      <c r="B131">
        <v>170</v>
      </c>
      <c r="D131">
        <v>196</v>
      </c>
      <c r="E131">
        <v>225</v>
      </c>
      <c r="G131">
        <v>169</v>
      </c>
      <c r="H131">
        <v>146</v>
      </c>
    </row>
    <row r="132" spans="1:8" x14ac:dyDescent="0.25">
      <c r="A132">
        <v>120</v>
      </c>
      <c r="B132">
        <v>152</v>
      </c>
      <c r="D132">
        <v>269</v>
      </c>
      <c r="E132">
        <v>212</v>
      </c>
      <c r="G132">
        <v>121</v>
      </c>
      <c r="H132">
        <v>150</v>
      </c>
    </row>
    <row r="133" spans="1:8" x14ac:dyDescent="0.25">
      <c r="A133">
        <v>160</v>
      </c>
      <c r="B133">
        <v>120</v>
      </c>
      <c r="D133">
        <v>201</v>
      </c>
      <c r="E133">
        <v>169</v>
      </c>
      <c r="G133">
        <v>163</v>
      </c>
      <c r="H133">
        <v>144</v>
      </c>
    </row>
    <row r="134" spans="1:8" x14ac:dyDescent="0.25">
      <c r="A134">
        <v>134</v>
      </c>
      <c r="B134">
        <v>140</v>
      </c>
      <c r="D134">
        <v>271</v>
      </c>
      <c r="E134">
        <v>187</v>
      </c>
      <c r="G134">
        <v>162</v>
      </c>
      <c r="H134">
        <v>144</v>
      </c>
    </row>
    <row r="135" spans="1:8" x14ac:dyDescent="0.25">
      <c r="A135">
        <v>120</v>
      </c>
      <c r="B135">
        <v>124</v>
      </c>
      <c r="D135">
        <v>295</v>
      </c>
      <c r="E135">
        <v>197</v>
      </c>
      <c r="G135">
        <v>162</v>
      </c>
      <c r="H135">
        <v>136</v>
      </c>
    </row>
    <row r="136" spans="1:8" x14ac:dyDescent="0.25">
      <c r="A136">
        <v>110</v>
      </c>
      <c r="B136">
        <v>164</v>
      </c>
      <c r="D136">
        <v>235</v>
      </c>
      <c r="E136">
        <v>176</v>
      </c>
      <c r="G136">
        <v>153</v>
      </c>
      <c r="H136">
        <v>90</v>
      </c>
    </row>
    <row r="137" spans="1:8" x14ac:dyDescent="0.25">
      <c r="A137">
        <v>126</v>
      </c>
      <c r="B137">
        <v>140</v>
      </c>
      <c r="D137">
        <v>306</v>
      </c>
      <c r="E137">
        <v>241</v>
      </c>
      <c r="G137">
        <v>163</v>
      </c>
      <c r="H137">
        <v>123</v>
      </c>
    </row>
    <row r="138" spans="1:8" x14ac:dyDescent="0.25">
      <c r="A138">
        <v>130</v>
      </c>
      <c r="B138">
        <v>110</v>
      </c>
      <c r="D138">
        <v>269</v>
      </c>
      <c r="E138">
        <v>264</v>
      </c>
      <c r="G138">
        <v>163</v>
      </c>
      <c r="H138">
        <v>132</v>
      </c>
    </row>
    <row r="139" spans="1:8" x14ac:dyDescent="0.25">
      <c r="A139">
        <v>120</v>
      </c>
      <c r="B139">
        <v>144</v>
      </c>
      <c r="D139">
        <v>178</v>
      </c>
      <c r="E139">
        <v>193</v>
      </c>
      <c r="G139">
        <v>96</v>
      </c>
      <c r="H139">
        <v>141</v>
      </c>
    </row>
    <row r="140" spans="1:8" x14ac:dyDescent="0.25">
      <c r="A140">
        <v>128</v>
      </c>
      <c r="B140">
        <v>130</v>
      </c>
      <c r="D140">
        <v>208</v>
      </c>
      <c r="E140">
        <v>131</v>
      </c>
      <c r="G140">
        <v>140</v>
      </c>
      <c r="H140">
        <v>115</v>
      </c>
    </row>
    <row r="141" spans="1:8" x14ac:dyDescent="0.25">
      <c r="A141">
        <v>110</v>
      </c>
      <c r="B141">
        <v>130</v>
      </c>
      <c r="D141">
        <v>201</v>
      </c>
      <c r="E141">
        <v>236</v>
      </c>
      <c r="G141">
        <v>126</v>
      </c>
      <c r="H141">
        <v>174</v>
      </c>
    </row>
    <row r="142" spans="1:8" x14ac:dyDescent="0.25">
      <c r="A142">
        <v>128</v>
      </c>
      <c r="D142">
        <v>263</v>
      </c>
      <c r="G142">
        <v>105</v>
      </c>
    </row>
    <row r="143" spans="1:8" x14ac:dyDescent="0.25">
      <c r="A143">
        <v>120</v>
      </c>
      <c r="D143">
        <v>295</v>
      </c>
      <c r="G143">
        <v>157</v>
      </c>
    </row>
    <row r="144" spans="1:8" x14ac:dyDescent="0.25">
      <c r="A144">
        <v>115</v>
      </c>
      <c r="D144">
        <v>303</v>
      </c>
      <c r="G144">
        <v>181</v>
      </c>
    </row>
    <row r="145" spans="1:7" x14ac:dyDescent="0.25">
      <c r="A145">
        <v>120</v>
      </c>
      <c r="D145">
        <v>209</v>
      </c>
      <c r="G145">
        <v>173</v>
      </c>
    </row>
    <row r="146" spans="1:7" x14ac:dyDescent="0.25">
      <c r="A146">
        <v>106</v>
      </c>
      <c r="D146">
        <v>223</v>
      </c>
      <c r="G146">
        <v>142</v>
      </c>
    </row>
    <row r="147" spans="1:7" x14ac:dyDescent="0.25">
      <c r="A147">
        <v>140</v>
      </c>
      <c r="D147">
        <v>197</v>
      </c>
      <c r="G147">
        <v>116</v>
      </c>
    </row>
    <row r="148" spans="1:7" x14ac:dyDescent="0.25">
      <c r="A148">
        <v>156</v>
      </c>
      <c r="D148">
        <v>245</v>
      </c>
      <c r="G148">
        <v>143</v>
      </c>
    </row>
    <row r="149" spans="1:7" x14ac:dyDescent="0.25">
      <c r="A149">
        <v>118</v>
      </c>
      <c r="D149">
        <v>242</v>
      </c>
      <c r="G149">
        <v>149</v>
      </c>
    </row>
    <row r="150" spans="1:7" x14ac:dyDescent="0.25">
      <c r="A150">
        <v>150</v>
      </c>
      <c r="D150">
        <v>240</v>
      </c>
      <c r="G150">
        <v>171</v>
      </c>
    </row>
    <row r="151" spans="1:7" x14ac:dyDescent="0.25">
      <c r="A151">
        <v>120</v>
      </c>
      <c r="D151">
        <v>226</v>
      </c>
      <c r="G151">
        <v>169</v>
      </c>
    </row>
    <row r="152" spans="1:7" x14ac:dyDescent="0.25">
      <c r="A152">
        <v>130</v>
      </c>
      <c r="D152">
        <v>180</v>
      </c>
      <c r="G152">
        <v>150</v>
      </c>
    </row>
    <row r="153" spans="1:7" x14ac:dyDescent="0.25">
      <c r="A153">
        <v>160</v>
      </c>
      <c r="D153">
        <v>228</v>
      </c>
      <c r="G153">
        <v>138</v>
      </c>
    </row>
    <row r="154" spans="1:7" x14ac:dyDescent="0.25">
      <c r="A154">
        <v>112</v>
      </c>
      <c r="D154">
        <v>149</v>
      </c>
      <c r="G154">
        <v>125</v>
      </c>
    </row>
    <row r="155" spans="1:7" x14ac:dyDescent="0.25">
      <c r="A155">
        <v>170</v>
      </c>
      <c r="D155">
        <v>227</v>
      </c>
      <c r="G155">
        <v>155</v>
      </c>
    </row>
    <row r="156" spans="1:7" x14ac:dyDescent="0.25">
      <c r="A156">
        <v>146</v>
      </c>
      <c r="D156">
        <v>278</v>
      </c>
      <c r="G156">
        <v>152</v>
      </c>
    </row>
    <row r="157" spans="1:7" x14ac:dyDescent="0.25">
      <c r="A157">
        <v>138</v>
      </c>
      <c r="D157">
        <v>220</v>
      </c>
      <c r="G157">
        <v>152</v>
      </c>
    </row>
    <row r="158" spans="1:7" x14ac:dyDescent="0.25">
      <c r="A158">
        <v>130</v>
      </c>
      <c r="D158">
        <v>197</v>
      </c>
      <c r="G158">
        <v>131</v>
      </c>
    </row>
    <row r="159" spans="1:7" x14ac:dyDescent="0.25">
      <c r="A159">
        <v>130</v>
      </c>
      <c r="D159">
        <v>253</v>
      </c>
      <c r="G159">
        <v>179</v>
      </c>
    </row>
    <row r="160" spans="1:7" x14ac:dyDescent="0.25">
      <c r="A160">
        <v>122</v>
      </c>
      <c r="D160">
        <v>192</v>
      </c>
      <c r="G160">
        <v>174</v>
      </c>
    </row>
    <row r="161" spans="1:7" x14ac:dyDescent="0.25">
      <c r="A161">
        <v>125</v>
      </c>
      <c r="D161">
        <v>220</v>
      </c>
      <c r="G161">
        <v>144</v>
      </c>
    </row>
    <row r="162" spans="1:7" x14ac:dyDescent="0.25">
      <c r="A162">
        <v>130</v>
      </c>
      <c r="D162">
        <v>221</v>
      </c>
      <c r="G162">
        <v>163</v>
      </c>
    </row>
    <row r="163" spans="1:7" x14ac:dyDescent="0.25">
      <c r="A163">
        <v>120</v>
      </c>
      <c r="D163">
        <v>240</v>
      </c>
      <c r="G163">
        <v>169</v>
      </c>
    </row>
    <row r="164" spans="1:7" x14ac:dyDescent="0.25">
      <c r="A164">
        <v>132</v>
      </c>
      <c r="D164">
        <v>342</v>
      </c>
      <c r="G164">
        <v>166</v>
      </c>
    </row>
    <row r="165" spans="1:7" x14ac:dyDescent="0.25">
      <c r="A165">
        <v>120</v>
      </c>
      <c r="D165">
        <v>157</v>
      </c>
      <c r="G165">
        <v>182</v>
      </c>
    </row>
    <row r="166" spans="1:7" x14ac:dyDescent="0.25">
      <c r="A166">
        <v>138</v>
      </c>
      <c r="D166">
        <v>175</v>
      </c>
      <c r="G166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4CE5-C5F9-4648-A0BD-298CD4AB5712}">
  <dimension ref="A20"/>
  <sheetViews>
    <sheetView topLeftCell="A25" zoomScale="90" zoomScaleNormal="90" workbookViewId="0">
      <selection activeCell="AC8" sqref="AC8"/>
    </sheetView>
  </sheetViews>
  <sheetFormatPr defaultRowHeight="15" x14ac:dyDescent="0.25"/>
  <sheetData>
    <row r="20" spans="1:1" x14ac:dyDescent="0.25">
      <c r="A20" s="13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D4E9-5548-49EC-954D-F1E69B3E41B6}">
  <dimension ref="A1:Z42"/>
  <sheetViews>
    <sheetView showGridLines="0" showRowColHeaders="0" tabSelected="1" zoomScale="80" zoomScaleNormal="80" workbookViewId="0">
      <selection activeCell="AF12" sqref="AF12"/>
    </sheetView>
  </sheetViews>
  <sheetFormatPr defaultRowHeight="15" x14ac:dyDescent="0.25"/>
  <sheetData>
    <row r="1" spans="1:26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32"/>
      <c r="Z1" s="33"/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32"/>
      <c r="Z2" s="33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32"/>
      <c r="Z3" s="33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32"/>
      <c r="Z4" s="33"/>
    </row>
    <row r="5" spans="1:2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32"/>
      <c r="Z5" s="33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32"/>
      <c r="Z6" s="33"/>
    </row>
    <row r="7" spans="1:2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33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33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33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33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33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33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33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33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33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33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33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33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33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33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33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33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33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33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33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33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33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33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33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33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33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33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33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33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33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33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33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33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33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33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33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3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cleveland_data</vt:lpstr>
      <vt:lpstr>analysis</vt:lpstr>
      <vt:lpstr>chart_data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Dante Ocho</cp:lastModifiedBy>
  <cp:lastPrinted>2026-08-24T16:42:15Z</cp:lastPrinted>
  <dcterms:created xsi:type="dcterms:W3CDTF">2026-08-17T13:03:20Z</dcterms:created>
  <dcterms:modified xsi:type="dcterms:W3CDTF">2026-09-20T12:35:32Z</dcterms:modified>
</cp:coreProperties>
</file>