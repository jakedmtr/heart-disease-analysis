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Ex2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e\Excel\heart_disease_analysis\"/>
    </mc:Choice>
  </mc:AlternateContent>
  <xr:revisionPtr revIDLastSave="0" documentId="13_ncr:1_{73FC1276-0102-4FF9-ACC0-FBDEADA617C8}" xr6:coauthVersionLast="45" xr6:coauthVersionMax="45" xr10:uidLastSave="{00000000-0000-0000-0000-000000000000}"/>
  <bookViews>
    <workbookView xWindow="-120" yWindow="-120" windowWidth="38640" windowHeight="21120" tabRatio="764" xr2:uid="{00000000-000D-0000-FFFF-FFFF00000000}"/>
  </bookViews>
  <sheets>
    <sheet name="summary" sheetId="11" r:id="rId1"/>
    <sheet name="pivot" sheetId="20" r:id="rId2"/>
    <sheet name="data_quality" sheetId="21" r:id="rId3"/>
    <sheet name="categorical_analysis" sheetId="17" r:id="rId4"/>
    <sheet name="all_patients" sheetId="1" r:id="rId5"/>
    <sheet name="diseased_patients" sheetId="5" r:id="rId6"/>
    <sheet name="non_diseased_patients" sheetId="14" r:id="rId7"/>
    <sheet name="diseased-males" sheetId="8" r:id="rId8"/>
    <sheet name="diseased-females" sheetId="9" r:id="rId9"/>
    <sheet name="non-diseased_males" sheetId="12" r:id="rId10"/>
    <sheet name="non-diseased_females" sheetId="13" r:id="rId11"/>
  </sheets>
  <definedNames>
    <definedName name="_xlnm._FilterDatabase" localSheetId="5" hidden="1">diseased_patients!$C$1:$C$165</definedName>
    <definedName name="_xlnm._FilterDatabase" localSheetId="6" hidden="1">non_diseased_patients!$B$1:$B$500</definedName>
    <definedName name="_xlchart.v1.0" hidden="1">'diseased-males'!$A$1</definedName>
    <definedName name="_xlchart.v1.1" hidden="1">'diseased-males'!$A$2:$A$93</definedName>
    <definedName name="_xlchart.v1.2" hidden="1">'diseased-females'!$A$1</definedName>
    <definedName name="_xlchart.v1.3" hidden="1">'diseased-females'!$A$2:$A$73</definedName>
  </definedNames>
  <calcPr calcId="181029"/>
  <pivotCaches>
    <pivotCache cacheId="42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5" i="17" l="1"/>
  <c r="C5" i="17" s="1"/>
  <c r="B4" i="17"/>
  <c r="C4" i="17" s="1"/>
  <c r="B4" i="11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2" i="12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" i="13"/>
  <c r="B100" i="17" l="1"/>
  <c r="B99" i="17"/>
  <c r="B98" i="17"/>
  <c r="O2" i="5" l="1"/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17" i="11"/>
  <c r="B18" i="11"/>
  <c r="B19" i="11"/>
  <c r="B20" i="11"/>
  <c r="C100" i="17" l="1"/>
  <c r="C99" i="17"/>
  <c r="C98" i="17"/>
  <c r="B85" i="17"/>
  <c r="C87" i="17"/>
  <c r="C86" i="17"/>
  <c r="B87" i="17"/>
  <c r="B86" i="17"/>
  <c r="C85" i="17"/>
  <c r="C75" i="17"/>
  <c r="C74" i="17"/>
  <c r="B74" i="17"/>
  <c r="B75" i="17"/>
  <c r="B62" i="17"/>
  <c r="C64" i="17"/>
  <c r="C63" i="17"/>
  <c r="C62" i="17"/>
  <c r="B64" i="17"/>
  <c r="B63" i="17"/>
  <c r="C16" i="17"/>
  <c r="C15" i="17"/>
  <c r="B16" i="17"/>
  <c r="B15" i="17"/>
  <c r="C31" i="17"/>
  <c r="B31" i="17"/>
  <c r="C30" i="17"/>
  <c r="B30" i="17"/>
  <c r="C29" i="17"/>
  <c r="B29" i="17"/>
  <c r="C28" i="17"/>
  <c r="B28" i="17"/>
  <c r="C27" i="17"/>
  <c r="B27" i="17"/>
  <c r="C26" i="17"/>
  <c r="B26" i="17"/>
  <c r="C51" i="17"/>
  <c r="C50" i="17"/>
  <c r="B51" i="17"/>
  <c r="B50" i="17"/>
  <c r="C40" i="17"/>
  <c r="C39" i="17"/>
  <c r="C38" i="17"/>
  <c r="C37" i="17"/>
  <c r="B40" i="17"/>
  <c r="B39" i="17"/>
  <c r="B38" i="17"/>
  <c r="B37" i="17"/>
  <c r="D37" i="17" s="1"/>
  <c r="D26" i="17" l="1"/>
  <c r="D28" i="17"/>
  <c r="D85" i="17"/>
  <c r="D74" i="17"/>
  <c r="D75" i="17"/>
  <c r="D100" i="17"/>
  <c r="D99" i="17"/>
  <c r="D98" i="17"/>
  <c r="D87" i="17"/>
  <c r="D86" i="17"/>
  <c r="D30" i="17"/>
  <c r="D63" i="17"/>
  <c r="D64" i="17"/>
  <c r="D62" i="17"/>
  <c r="D15" i="17"/>
  <c r="D16" i="17"/>
  <c r="D27" i="17"/>
  <c r="D29" i="17"/>
  <c r="D31" i="17"/>
  <c r="D51" i="17"/>
  <c r="D39" i="17"/>
  <c r="D38" i="17"/>
  <c r="D40" i="17"/>
  <c r="D50" i="17"/>
  <c r="Q6" i="13"/>
  <c r="P6" i="13"/>
  <c r="O6" i="13"/>
  <c r="N6" i="13"/>
  <c r="G9" i="11" s="1"/>
  <c r="Q5" i="13"/>
  <c r="P5" i="13"/>
  <c r="O5" i="13"/>
  <c r="N5" i="13"/>
  <c r="G8" i="11" s="1"/>
  <c r="Q4" i="13"/>
  <c r="P4" i="13"/>
  <c r="O4" i="13"/>
  <c r="N4" i="13"/>
  <c r="G7" i="11" s="1"/>
  <c r="Q3" i="13"/>
  <c r="P3" i="13"/>
  <c r="O3" i="13"/>
  <c r="N3" i="13"/>
  <c r="G6" i="11" s="1"/>
  <c r="Q6" i="12"/>
  <c r="P6" i="12"/>
  <c r="O6" i="12"/>
  <c r="N6" i="12"/>
  <c r="G5" i="11" s="1"/>
  <c r="Q5" i="12"/>
  <c r="P5" i="12"/>
  <c r="O5" i="12"/>
  <c r="N5" i="12"/>
  <c r="G4" i="11" s="1"/>
  <c r="Q4" i="12"/>
  <c r="P4" i="12"/>
  <c r="O4" i="12"/>
  <c r="N4" i="12"/>
  <c r="G3" i="11" s="1"/>
  <c r="Q3" i="12"/>
  <c r="P3" i="12"/>
  <c r="O3" i="12"/>
  <c r="N3" i="12"/>
  <c r="G2" i="11" s="1"/>
  <c r="N2" i="14"/>
  <c r="M2" i="14"/>
  <c r="N22" i="9"/>
  <c r="F6" i="11" s="1"/>
  <c r="Q25" i="9"/>
  <c r="P25" i="9"/>
  <c r="O25" i="9"/>
  <c r="N25" i="9"/>
  <c r="F9" i="11" s="1"/>
  <c r="Q24" i="9"/>
  <c r="P24" i="9"/>
  <c r="O24" i="9"/>
  <c r="N24" i="9"/>
  <c r="F8" i="11" s="1"/>
  <c r="Q23" i="9"/>
  <c r="P23" i="9"/>
  <c r="O23" i="9"/>
  <c r="N23" i="9"/>
  <c r="F7" i="11" s="1"/>
  <c r="Q22" i="9"/>
  <c r="P22" i="9"/>
  <c r="O22" i="9"/>
  <c r="Q25" i="8"/>
  <c r="P25" i="8"/>
  <c r="O25" i="8"/>
  <c r="N25" i="8"/>
  <c r="F5" i="11" s="1"/>
  <c r="H5" i="11" s="1"/>
  <c r="Q24" i="8"/>
  <c r="P24" i="8"/>
  <c r="O24" i="8"/>
  <c r="N24" i="8"/>
  <c r="F4" i="11" s="1"/>
  <c r="H4" i="11" s="1"/>
  <c r="Q23" i="8"/>
  <c r="P23" i="8"/>
  <c r="O23" i="8"/>
  <c r="N23" i="8"/>
  <c r="F3" i="11" s="1"/>
  <c r="H3" i="11" s="1"/>
  <c r="Q22" i="8"/>
  <c r="P22" i="8"/>
  <c r="O22" i="8"/>
  <c r="N22" i="8"/>
  <c r="F2" i="11" s="1"/>
  <c r="H2" i="11" s="1"/>
  <c r="B5" i="11"/>
  <c r="B7" i="11"/>
  <c r="N2" i="5"/>
  <c r="B8" i="11" s="1"/>
  <c r="H8" i="11" l="1"/>
  <c r="H9" i="11"/>
  <c r="H7" i="11"/>
  <c r="H6" i="11"/>
  <c r="B11" i="11"/>
  <c r="B6" i="11"/>
  <c r="B12" i="11" s="1"/>
  <c r="B9" i="11"/>
  <c r="B13" i="11" s="1"/>
  <c r="B10" i="11" l="1"/>
  <c r="B14" i="11" s="1"/>
</calcChain>
</file>

<file path=xl/sharedStrings.xml><?xml version="1.0" encoding="utf-8"?>
<sst xmlns="http://schemas.openxmlformats.org/spreadsheetml/2006/main" count="272" uniqueCount="125">
  <si>
    <t>age</t>
  </si>
  <si>
    <t>sex</t>
  </si>
  <si>
    <t>chol</t>
  </si>
  <si>
    <t>fbs</t>
  </si>
  <si>
    <t>restecg</t>
  </si>
  <si>
    <t>exang</t>
  </si>
  <si>
    <t>slope</t>
  </si>
  <si>
    <t>thal</t>
  </si>
  <si>
    <t>target</t>
  </si>
  <si>
    <t>restbps</t>
  </si>
  <si>
    <t>cpt</t>
  </si>
  <si>
    <t>maxhr</t>
  </si>
  <si>
    <t>Has heart disease</t>
  </si>
  <si>
    <t>Doesn't have heart disease</t>
  </si>
  <si>
    <t>Male patients</t>
  </si>
  <si>
    <t>Female patients</t>
  </si>
  <si>
    <t>Male patients with heart disease</t>
  </si>
  <si>
    <t>Female patients with heart disease</t>
  </si>
  <si>
    <t>Proportion of male patients with heart disease</t>
  </si>
  <si>
    <t>Proportion of female patients with heart disease</t>
  </si>
  <si>
    <t>Data</t>
  </si>
  <si>
    <t>Amount</t>
  </si>
  <si>
    <t>Total number of patients</t>
  </si>
  <si>
    <t>Variable</t>
  </si>
  <si>
    <t>Mean</t>
  </si>
  <si>
    <t>SD</t>
  </si>
  <si>
    <t>Min</t>
  </si>
  <si>
    <t>Max</t>
  </si>
  <si>
    <t>Age</t>
  </si>
  <si>
    <t>Resting BP</t>
  </si>
  <si>
    <t>Cholesterol</t>
  </si>
  <si>
    <t>Max HR</t>
  </si>
  <si>
    <t>Male patients without heart disease</t>
  </si>
  <si>
    <t>Female patients without heart disease</t>
  </si>
  <si>
    <t>Proportion of male patients without heart disease</t>
  </si>
  <si>
    <t>Proportion of female patients without heart disease</t>
  </si>
  <si>
    <t>females</t>
  </si>
  <si>
    <t>males</t>
  </si>
  <si>
    <t>Disease</t>
  </si>
  <si>
    <t>Difference</t>
  </si>
  <si>
    <t>Avg. Age</t>
  </si>
  <si>
    <t>Avg. Cholesterol</t>
  </si>
  <si>
    <t>Avg. Resting BP</t>
  </si>
  <si>
    <t>Avg. Max HR</t>
  </si>
  <si>
    <t>Male</t>
  </si>
  <si>
    <t>Female</t>
  </si>
  <si>
    <t>Sex</t>
  </si>
  <si>
    <t>No Disease</t>
  </si>
  <si>
    <t>Prevalance</t>
  </si>
  <si>
    <t>Age Group</t>
  </si>
  <si>
    <t>Total Patients</t>
  </si>
  <si>
    <t>20-29</t>
  </si>
  <si>
    <t>30-39</t>
  </si>
  <si>
    <t>40-49</t>
  </si>
  <si>
    <t>50-59</t>
  </si>
  <si>
    <t>60-69</t>
  </si>
  <si>
    <t>70+</t>
  </si>
  <si>
    <t>Diseased</t>
  </si>
  <si>
    <t>Chest Pain Type</t>
  </si>
  <si>
    <t>Typical Angina</t>
  </si>
  <si>
    <t>Atypical Angina</t>
  </si>
  <si>
    <t>Non-anginal</t>
  </si>
  <si>
    <t>Asymptomatic</t>
  </si>
  <si>
    <t>Patients</t>
  </si>
  <si>
    <t>&gt;120 mg/dl</t>
  </si>
  <si>
    <t>&lt;=120 mg/dl</t>
  </si>
  <si>
    <t>Fasting Blood Sugar</t>
  </si>
  <si>
    <t>Normal</t>
  </si>
  <si>
    <t>ST-T wave abnormality</t>
  </si>
  <si>
    <t>Left ventricular hypertrophy</t>
  </si>
  <si>
    <t>ECG Results Type</t>
  </si>
  <si>
    <t>Heart Disease Prevalance by Sex</t>
  </si>
  <si>
    <t>Heart Disease Prevalance By Age</t>
  </si>
  <si>
    <t>Heart Disease Prevalance by Chest Pain Type</t>
  </si>
  <si>
    <t>Heart Disease Prevalance by Fasting Blood Sugar</t>
  </si>
  <si>
    <t>Heart Disease Prevalance by Resting ECG</t>
  </si>
  <si>
    <t>Heart Disease Prevalance by Exercise Induced Angina</t>
  </si>
  <si>
    <t>Yes</t>
  </si>
  <si>
    <t>No</t>
  </si>
  <si>
    <t>Sufferer</t>
  </si>
  <si>
    <t>One would think that the opposite is the case…</t>
  </si>
  <si>
    <t>&lt;--- Questionable results</t>
  </si>
  <si>
    <t>Slope Type</t>
  </si>
  <si>
    <t>Upsloping</t>
  </si>
  <si>
    <t>Flat</t>
  </si>
  <si>
    <t>Downsloping</t>
  </si>
  <si>
    <t>Thalassemia Type</t>
  </si>
  <si>
    <t>Fixed Defect</t>
  </si>
  <si>
    <t>Reversable Defect</t>
  </si>
  <si>
    <t>Heart Disease Prevalance by Thalassemia Type</t>
  </si>
  <si>
    <t>Heart Disease Prevalance by ST Slope Type</t>
  </si>
  <si>
    <t>Correlation</t>
  </si>
  <si>
    <t>Age vs. Max HR</t>
  </si>
  <si>
    <t>Correlation Coefficient</t>
  </si>
  <si>
    <t>Age vs. Cholesterol</t>
  </si>
  <si>
    <t>Age vs. Resting BP</t>
  </si>
  <si>
    <t>Resting BP vs. Cholesterol</t>
  </si>
  <si>
    <t>Row Labels</t>
  </si>
  <si>
    <t>Grand Total</t>
  </si>
  <si>
    <t>(All)</t>
  </si>
  <si>
    <t>No. of Patients</t>
  </si>
  <si>
    <t>% of total</t>
  </si>
  <si>
    <t>Has disease?</t>
  </si>
  <si>
    <t>Average chol</t>
  </si>
  <si>
    <t>Average maxhr</t>
  </si>
  <si>
    <t>Average restbps</t>
  </si>
  <si>
    <t>Average age</t>
  </si>
  <si>
    <t>agegroup</t>
  </si>
  <si>
    <t>Total Diseased</t>
  </si>
  <si>
    <t>Diseased Females</t>
  </si>
  <si>
    <t>Diseased Males</t>
  </si>
  <si>
    <t>Count of Diseased</t>
  </si>
  <si>
    <t>Check</t>
  </si>
  <si>
    <t>Result</t>
  </si>
  <si>
    <t>Number of records</t>
  </si>
  <si>
    <t>Duplicate records</t>
  </si>
  <si>
    <t>Missing values</t>
  </si>
  <si>
    <t>Invalid age values</t>
  </si>
  <si>
    <t>Invalid cholesterol values</t>
  </si>
  <si>
    <t>Invalid caterogical values</t>
  </si>
  <si>
    <t>Numeric columns stored as text</t>
  </si>
  <si>
    <t>Cleaning perfomed</t>
  </si>
  <si>
    <t>General Heart Disease Prevalance</t>
  </si>
  <si>
    <t>Status</t>
  </si>
  <si>
    <t>Has heart diease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</si>
</sst>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0" xfId="0" applyBorder="1"/>
    <xf numFmtId="0" fontId="0" fillId="33" borderId="10" xfId="0" applyFill="1" applyBorder="1"/>
    <xf numFmtId="2" fontId="0" fillId="0" borderId="0" xfId="0" applyNumberFormat="1"/>
    <xf numFmtId="0" fontId="0" fillId="35" borderId="10" xfId="0" applyFill="1" applyBorder="1"/>
    <xf numFmtId="0" fontId="0" fillId="36" borderId="10" xfId="0" applyFill="1" applyBorder="1"/>
    <xf numFmtId="2" fontId="0" fillId="0" borderId="10" xfId="0" applyNumberFormat="1" applyBorder="1"/>
    <xf numFmtId="0" fontId="0" fillId="0" borderId="0" xfId="0" applyFont="1"/>
    <xf numFmtId="164" fontId="0" fillId="0" borderId="10" xfId="0" applyNumberFormat="1" applyBorder="1"/>
    <xf numFmtId="0" fontId="0" fillId="33" borderId="10" xfId="0" applyFill="1" applyBorder="1" applyAlignment="1">
      <alignment horizontal="center" vertical="center"/>
    </xf>
    <xf numFmtId="164" fontId="0" fillId="0" borderId="10" xfId="42" applyNumberFormat="1" applyFont="1" applyBorder="1"/>
    <xf numFmtId="0" fontId="0" fillId="0" borderId="0" xfId="0" applyBorder="1"/>
    <xf numFmtId="165" fontId="0" fillId="0" borderId="10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20" fillId="33" borderId="1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33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8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1" fontId="20" fillId="33" borderId="11" xfId="0" applyNumberFormat="1" applyFont="1" applyFill="1" applyBorder="1"/>
    <xf numFmtId="1" fontId="0" fillId="0" borderId="0" xfId="0" applyNumberFormat="1"/>
    <xf numFmtId="1" fontId="19" fillId="33" borderId="11" xfId="0" applyNumberFormat="1" applyFont="1" applyFill="1" applyBorder="1"/>
    <xf numFmtId="1" fontId="0" fillId="0" borderId="12" xfId="0" applyNumberFormat="1" applyFont="1" applyBorder="1"/>
    <xf numFmtId="1" fontId="0" fillId="34" borderId="12" xfId="0" applyNumberFormat="1" applyFont="1" applyFill="1" applyBorder="1"/>
    <xf numFmtId="1" fontId="16" fillId="33" borderId="10" xfId="0" applyNumberFormat="1" applyFont="1" applyFill="1" applyBorder="1"/>
    <xf numFmtId="1" fontId="0" fillId="34" borderId="13" xfId="0" applyNumberFormat="1" applyFont="1" applyFill="1" applyBorder="1"/>
    <xf numFmtId="1" fontId="0" fillId="0" borderId="13" xfId="0" applyNumberFormat="1" applyFont="1" applyBorder="1"/>
    <xf numFmtId="1" fontId="0" fillId="0" borderId="10" xfId="0" applyNumberFormat="1" applyBorder="1"/>
    <xf numFmtId="1" fontId="13" fillId="33" borderId="11" xfId="0" applyNumberFormat="1" applyFont="1" applyFill="1" applyBorder="1"/>
    <xf numFmtId="1" fontId="0" fillId="0" borderId="10" xfId="0" quotePrefix="1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72">
    <dxf>
      <fill>
        <patternFill>
          <bgColor theme="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indexed="64"/>
        </bottom>
      </border>
    </dxf>
    <dxf>
      <numFmt numFmtId="0" formatCode="General"/>
      <alignment horizontal="right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164" formatCode="0.0%"/>
    </dxf>
    <dxf>
      <numFmt numFmtId="2" formatCode="0.00"/>
    </dxf>
    <dxf>
      <numFmt numFmtId="166" formatCode="0.0"/>
    </dxf>
    <dxf>
      <numFmt numFmtId="166" formatCode="0.0"/>
    </dxf>
  </dxfs>
  <tableStyles count="0" defaultTableStyle="TableStyleMedium2" defaultPivotStyle="PivotStyleLight16"/>
  <colors>
    <mruColors>
      <color rgb="FF66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Averages for Diseased vs. Non-diseased Male Patients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summary!$G$1</c:f>
              <c:strCache>
                <c:ptCount val="1"/>
                <c:pt idx="0">
                  <c:v>No Disease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summary!$E$2:$E$5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summary!$G$2:$G$5</c:f>
              <c:numCache>
                <c:formatCode>0.00</c:formatCode>
                <c:ptCount val="4"/>
                <c:pt idx="0">
                  <c:v>56.087719298245617</c:v>
                </c:pt>
                <c:pt idx="1">
                  <c:v>131.92982456140351</c:v>
                </c:pt>
                <c:pt idx="2">
                  <c:v>246.06140350877192</c:v>
                </c:pt>
                <c:pt idx="3">
                  <c:v>138.40350877192984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95-404B-B3DF-63A0D7BC1D5E}"/>
            </c:ext>
          </c:extLst>
        </c:ser>
        <c:ser>
          <c:idx val="0"/>
          <c:order val="1"/>
          <c:tx>
            <c:strRef>
              <c:f>summary!$F$1</c:f>
              <c:strCache>
                <c:ptCount val="1"/>
                <c:pt idx="0">
                  <c:v>Disease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summary!$E$2:$E$5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summary!$F$2:$F$5</c:f>
              <c:numCache>
                <c:formatCode>0.00</c:formatCode>
                <c:ptCount val="4"/>
                <c:pt idx="0">
                  <c:v>51.043478260869563</c:v>
                </c:pt>
                <c:pt idx="1">
                  <c:v>129.65217391304347</c:v>
                </c:pt>
                <c:pt idx="2">
                  <c:v>231.59782608695653</c:v>
                </c:pt>
                <c:pt idx="3">
                  <c:v>161.78260869565219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5-404B-B3DF-63A0D7BC1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9251744"/>
        <c:axId val="459248136"/>
      </c:barChart>
      <c:catAx>
        <c:axId val="459251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248136"/>
        <c:crosses val="autoZero"/>
        <c:auto val="1"/>
        <c:lblAlgn val="ctr"/>
        <c:lblOffset val="100"/>
        <c:noMultiLvlLbl val="0"/>
      </c:catAx>
      <c:valAx>
        <c:axId val="459248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25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Averages for Diseased vs. Non-diseased Female Patients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summary!$G$1</c:f>
              <c:strCache>
                <c:ptCount val="1"/>
                <c:pt idx="0">
                  <c:v>No Disease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summary!$E$6:$E$9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summary!$G$6:$G$9</c:f>
              <c:numCache>
                <c:formatCode>0.00</c:formatCode>
                <c:ptCount val="4"/>
                <c:pt idx="0">
                  <c:v>59.041666666666664</c:v>
                </c:pt>
                <c:pt idx="1">
                  <c:v>146.125</c:v>
                </c:pt>
                <c:pt idx="2">
                  <c:v>274.95833333333331</c:v>
                </c:pt>
                <c:pt idx="3">
                  <c:v>142.41666666666666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CB-4BB5-B32A-A4BF0A10CC50}"/>
            </c:ext>
          </c:extLst>
        </c:ser>
        <c:ser>
          <c:idx val="0"/>
          <c:order val="1"/>
          <c:tx>
            <c:strRef>
              <c:f>summary!$F$1</c:f>
              <c:strCache>
                <c:ptCount val="1"/>
                <c:pt idx="0">
                  <c:v>Disease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summary!$E$6:$E$9</c:f>
              <c:strCache>
                <c:ptCount val="4"/>
                <c:pt idx="0">
                  <c:v>Avg. Age</c:v>
                </c:pt>
                <c:pt idx="1">
                  <c:v>Avg. Resting BP</c:v>
                </c:pt>
                <c:pt idx="2">
                  <c:v>Avg. Cholesterol</c:v>
                </c:pt>
                <c:pt idx="3">
                  <c:v>Avg. Max HR</c:v>
                </c:pt>
              </c:strCache>
            </c:strRef>
          </c:cat>
          <c:val>
            <c:numRef>
              <c:f>summary!$F$6:$F$9</c:f>
              <c:numCache>
                <c:formatCode>0.00</c:formatCode>
                <c:ptCount val="4"/>
                <c:pt idx="0">
                  <c:v>54.555555555555557</c:v>
                </c:pt>
                <c:pt idx="1">
                  <c:v>128.73611111111111</c:v>
                </c:pt>
                <c:pt idx="2">
                  <c:v>256.75</c:v>
                </c:pt>
                <c:pt idx="3">
                  <c:v>154.02777777777777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B-4BB5-B32A-A4BF0A10C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9282192"/>
        <c:axId val="659282520"/>
      </c:barChart>
      <c:catAx>
        <c:axId val="659282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282520"/>
        <c:crosses val="autoZero"/>
        <c:auto val="1"/>
        <c:lblAlgn val="ctr"/>
        <c:lblOffset val="100"/>
        <c:noMultiLvlLbl val="0"/>
      </c:catAx>
      <c:valAx>
        <c:axId val="659282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28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Chest Pain Type</a:t>
            </a:r>
          </a:p>
        </c:rich>
      </c:tx>
      <c:layout>
        <c:manualLayout>
          <c:xMode val="edge"/>
          <c:yMode val="edge"/>
          <c:x val="0.24634894322420223"/>
          <c:y val="4.6369623541422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categorical_analysis!$A$37</c:f>
              <c:strCache>
                <c:ptCount val="1"/>
                <c:pt idx="0">
                  <c:v>Typical Angina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categorical_analysis!$D$37</c:f>
              <c:numCache>
                <c:formatCode>0.0%</c:formatCode>
                <c:ptCount val="1"/>
                <c:pt idx="0">
                  <c:v>0.27272727272727271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1-4088-B16A-824457AA4672}"/>
            </c:ext>
          </c:extLst>
        </c:ser>
        <c:ser>
          <c:idx val="1"/>
          <c:order val="1"/>
          <c:tx>
            <c:strRef>
              <c:f>categorical_analysis!$A$38</c:f>
              <c:strCache>
                <c:ptCount val="1"/>
                <c:pt idx="0">
                  <c:v>Atypical Angina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categorical_analysis!$D$38</c:f>
              <c:numCache>
                <c:formatCode>0.0%</c:formatCode>
                <c:ptCount val="1"/>
                <c:pt idx="0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61-4088-B16A-824457AA4672}"/>
            </c:ext>
          </c:extLst>
        </c:ser>
        <c:ser>
          <c:idx val="2"/>
          <c:order val="2"/>
          <c:tx>
            <c:strRef>
              <c:f>categorical_analysis!$A$39</c:f>
              <c:strCache>
                <c:ptCount val="1"/>
                <c:pt idx="0">
                  <c:v>Non-anginal</c:v>
                </c:pt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categorical_analysis!$D$39</c:f>
              <c:numCache>
                <c:formatCode>0.0%</c:formatCode>
                <c:ptCount val="1"/>
                <c:pt idx="0">
                  <c:v>0.79069767441860461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61-4088-B16A-824457AA4672}"/>
            </c:ext>
          </c:extLst>
        </c:ser>
        <c:ser>
          <c:idx val="3"/>
          <c:order val="3"/>
          <c:tx>
            <c:strRef>
              <c:f>categorical_analysis!$A$40</c:f>
              <c:strCache>
                <c:ptCount val="1"/>
                <c:pt idx="0">
                  <c:v>Asymptomatic</c:v>
                </c:pt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categorical_analysis!$D$40</c:f>
              <c:numCache>
                <c:formatCode>0.0%</c:formatCode>
                <c:ptCount val="1"/>
                <c:pt idx="0">
                  <c:v>0.69565217391304346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61-4088-B16A-824457AA46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5872528"/>
        <c:axId val="805871216"/>
      </c:barChart>
      <c:catAx>
        <c:axId val="805872528"/>
        <c:scaling>
          <c:orientation val="minMax"/>
        </c:scaling>
        <c:delete val="1"/>
        <c:axPos val="b"/>
        <c:majorTickMark val="out"/>
        <c:minorTickMark val="none"/>
        <c:tickLblPos val="nextTo"/>
        <c:crossAx val="805871216"/>
        <c:crosses val="autoZero"/>
        <c:auto val="1"/>
        <c:lblAlgn val="ctr"/>
        <c:lblOffset val="100"/>
        <c:noMultiLvlLbl val="0"/>
      </c:catAx>
      <c:valAx>
        <c:axId val="80587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87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Fasting Blood</a:t>
            </a:r>
            <a:r>
              <a:rPr lang="en-GB" baseline="0"/>
              <a:t> Sugar Amount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9C5-4A4B-BBE0-E6C889F9B452}"/>
              </c:ext>
            </c:extLst>
          </c:dPt>
          <c:dPt>
            <c:idx val="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9C5-4A4B-BBE0-E6C889F9B45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categorical_analysis!$A$50:$A$51</c:f>
              <c:strCache>
                <c:ptCount val="2"/>
                <c:pt idx="0">
                  <c:v>&gt;120 mg/dl</c:v>
                </c:pt>
                <c:pt idx="1">
                  <c:v>&lt;=120 mg/dl</c:v>
                </c:pt>
              </c:strCache>
            </c:strRef>
          </c:cat>
          <c:val>
            <c:numRef>
              <c:f>categorical_analysis!$D$50:$D$51</c:f>
              <c:numCache>
                <c:formatCode>0.0%</c:formatCode>
                <c:ptCount val="2"/>
                <c:pt idx="0">
                  <c:v>0.51111111111111107</c:v>
                </c:pt>
                <c:pt idx="1">
                  <c:v>0.98601398601398604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5-4A4B-BBE0-E6C889F9B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3841040"/>
        <c:axId val="453841696"/>
      </c:barChart>
      <c:catAx>
        <c:axId val="45384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841696"/>
        <c:crosses val="autoZero"/>
        <c:auto val="1"/>
        <c:lblAlgn val="ctr"/>
        <c:lblOffset val="100"/>
        <c:noMultiLvlLbl val="0"/>
      </c:catAx>
      <c:valAx>
        <c:axId val="45384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84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1F-461D-AE20-6C185A8AE14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1F-461D-AE20-6C185A8AE14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1F-461D-AE20-6C185A8AE14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1F-461D-AE20-6C185A8AE14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1F-461D-AE20-6C185A8AE14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1F-461D-AE20-6C185A8AE142}"/>
              </c:ext>
            </c:extLst>
          </c:dPt>
          <c:cat>
            <c:strRef>
              <c:f>categorical_analysis!$A$26:$A$31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70+</c:v>
                </c:pt>
              </c:strCache>
            </c:strRef>
          </c:cat>
          <c:val>
            <c:numRef>
              <c:f>categorical_analysis!$D$26:$D$31</c:f>
              <c:numCache>
                <c:formatCode>0.0%</c:formatCode>
                <c:ptCount val="6"/>
                <c:pt idx="0">
                  <c:v>1</c:v>
                </c:pt>
                <c:pt idx="1">
                  <c:v>0.7142857142857143</c:v>
                </c:pt>
                <c:pt idx="2">
                  <c:v>0.69444444444444442</c:v>
                </c:pt>
                <c:pt idx="3">
                  <c:v>0.52</c:v>
                </c:pt>
                <c:pt idx="4">
                  <c:v>0.4</c:v>
                </c:pt>
                <c:pt idx="5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5-489B-9F35-5664BDCFF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9126432"/>
        <c:axId val="459129056"/>
      </c:barChart>
      <c:catAx>
        <c:axId val="45912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29056"/>
        <c:crosses val="autoZero"/>
        <c:auto val="1"/>
        <c:lblAlgn val="ctr"/>
        <c:lblOffset val="100"/>
        <c:noMultiLvlLbl val="0"/>
      </c:catAx>
      <c:valAx>
        <c:axId val="4591290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2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Heart Disease Prevalance by Sex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6CC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3D-4B7C-A8E0-432C02405176}"/>
              </c:ext>
            </c:extLst>
          </c:dPt>
          <c:dPt>
            <c:idx val="1"/>
            <c:invertIfNegative val="0"/>
            <c:bubble3D val="0"/>
            <c:spPr>
              <a:solidFill>
                <a:srgbClr val="FF99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D-4B7C-A8E0-432C0240517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categorical_analysis!$A$15:$A$16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categorical_analysis!$D$15:$D$16</c:f>
              <c:numCache>
                <c:formatCode>0.0%</c:formatCode>
                <c:ptCount val="2"/>
                <c:pt idx="0">
                  <c:v>0.44660194174757284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3D-4B7C-A8E0-432C0240517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59133648"/>
        <c:axId val="459137912"/>
      </c:barChart>
      <c:catAx>
        <c:axId val="45913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37912"/>
        <c:crosses val="autoZero"/>
        <c:auto val="1"/>
        <c:lblAlgn val="ctr"/>
        <c:lblOffset val="100"/>
        <c:noMultiLvlLbl val="0"/>
      </c:catAx>
      <c:valAx>
        <c:axId val="459137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3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Resting ECG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78A-4CB2-8448-8B4106D7090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C9B-4DBE-83B8-5515D197B4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78A-4CB2-8448-8B4106D709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categorical_analysis!$A$62:$A$64</c:f>
              <c:strCache>
                <c:ptCount val="3"/>
                <c:pt idx="0">
                  <c:v>Normal</c:v>
                </c:pt>
                <c:pt idx="1">
                  <c:v>ST-T wave abnormality</c:v>
                </c:pt>
                <c:pt idx="2">
                  <c:v>Left ventricular hypertrophy</c:v>
                </c:pt>
              </c:strCache>
            </c:strRef>
          </c:cat>
          <c:val>
            <c:numRef>
              <c:f>categorical_analysis!$D$62:$D$64</c:f>
              <c:numCache>
                <c:formatCode>0.0%</c:formatCode>
                <c:ptCount val="3"/>
                <c:pt idx="0">
                  <c:v>0.46258503401360546</c:v>
                </c:pt>
                <c:pt idx="1">
                  <c:v>0.62913907284768211</c:v>
                </c:pt>
                <c:pt idx="2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B-4DBE-83B8-5515D197B4F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2575832"/>
        <c:axId val="652578456"/>
      </c:barChart>
      <c:catAx>
        <c:axId val="652575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78456"/>
        <c:crosses val="autoZero"/>
        <c:auto val="1"/>
        <c:lblAlgn val="ctr"/>
        <c:lblOffset val="100"/>
        <c:noMultiLvlLbl val="0"/>
      </c:catAx>
      <c:valAx>
        <c:axId val="652578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75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Exercise Induced Angina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categorical_analysis!$A$74:$A$75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categorical_analysis!$D$74:$D$75</c:f>
              <c:numCache>
                <c:formatCode>0.0%</c:formatCode>
                <c:ptCount val="2"/>
                <c:pt idx="0">
                  <c:v>0.23232323232323232</c:v>
                </c:pt>
                <c:pt idx="1">
                  <c:v>0.69458128078817738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94-4330-A739-E2BFFD26F2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2580096"/>
        <c:axId val="652580752"/>
      </c:barChart>
      <c:catAx>
        <c:axId val="65258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80752"/>
        <c:crosses val="autoZero"/>
        <c:auto val="1"/>
        <c:lblAlgn val="ctr"/>
        <c:lblOffset val="100"/>
        <c:noMultiLvlLbl val="0"/>
      </c:catAx>
      <c:valAx>
        <c:axId val="6525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258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ST Slope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03-4166-BDAC-1998FD920BC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03-4166-BDAC-1998FD920BC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0D-4838-BB8F-306421E6718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categorical_analysis!$A$85:$A$87</c:f>
              <c:strCache>
                <c:ptCount val="3"/>
                <c:pt idx="0">
                  <c:v>Upsloping</c:v>
                </c:pt>
                <c:pt idx="1">
                  <c:v>Flat</c:v>
                </c:pt>
                <c:pt idx="2">
                  <c:v>Downsloping</c:v>
                </c:pt>
              </c:strCache>
            </c:strRef>
          </c:cat>
          <c:val>
            <c:numRef>
              <c:f>categorical_analysis!$D$85:$D$87</c:f>
              <c:numCache>
                <c:formatCode>0.0%</c:formatCode>
                <c:ptCount val="3"/>
                <c:pt idx="0">
                  <c:v>0.42857142857142855</c:v>
                </c:pt>
                <c:pt idx="1">
                  <c:v>0.35</c:v>
                </c:pt>
                <c:pt idx="2">
                  <c:v>0.75177304964539005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D-4838-BB8F-306421E67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3388688"/>
        <c:axId val="813388032"/>
      </c:barChart>
      <c:catAx>
        <c:axId val="81338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88032"/>
        <c:crosses val="autoZero"/>
        <c:auto val="1"/>
        <c:lblAlgn val="ctr"/>
        <c:lblOffset val="100"/>
        <c:noMultiLvlLbl val="0"/>
      </c:catAx>
      <c:valAx>
        <c:axId val="8133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88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 Disease Prevalance by Thalassemia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E8-441C-BD97-F89E913D96D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E8-441C-BD97-F89E913D96D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E15-42F0-9BB5-96383DE6C65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categorical_analysis!$A$98:$A$100</c:f>
              <c:strCache>
                <c:ptCount val="3"/>
                <c:pt idx="0">
                  <c:v>Normal</c:v>
                </c:pt>
                <c:pt idx="1">
                  <c:v>Fixed Defect</c:v>
                </c:pt>
                <c:pt idx="2">
                  <c:v>Reversable Defect</c:v>
                </c:pt>
              </c:strCache>
            </c:strRef>
          </c:cat>
          <c:val>
            <c:numRef>
              <c:f>categorical_analysis!$D$98:$D$100</c:f>
              <c:numCache>
                <c:formatCode>0.0%</c:formatCode>
                <c:ptCount val="3"/>
                <c:pt idx="0">
                  <c:v>0.33333333333333331</c:v>
                </c:pt>
                <c:pt idx="1">
                  <c:v>0.78181818181818186</c:v>
                </c:pt>
                <c:pt idx="2">
                  <c:v>0.23931623931623933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15-42F0-9BB5-96383DE6C6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6216312"/>
        <c:axId val="326213688"/>
      </c:barChart>
      <c:catAx>
        <c:axId val="32621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13688"/>
        <c:crosses val="autoZero"/>
        <c:auto val="1"/>
        <c:lblAlgn val="ctr"/>
        <c:lblOffset val="100"/>
        <c:noMultiLvlLbl val="0"/>
      </c:catAx>
      <c:valAx>
        <c:axId val="326213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16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Heart</a:t>
            </a:r>
            <a:r>
              <a:rPr lang="en-GB" baseline="0"/>
              <a:t> Disease Prevalance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categorical_analysis!$A$4:$A$5</c:f>
              <c:strCache>
                <c:ptCount val="2"/>
                <c:pt idx="0">
                  <c:v>Has heart diease</c:v>
                </c:pt>
                <c:pt idx="1">
                  <c:v>Doesn't have heart disease</c:v>
                </c:pt>
              </c:strCache>
            </c:strRef>
          </c:cat>
          <c:val>
            <c:numRef>
              <c:f>categorical_analysis!$C$4:$C$5</c:f>
              <c:numCache>
                <c:formatCode>0.0%</c:formatCode>
                <c:ptCount val="2"/>
                <c:pt idx="0">
                  <c:v>0.54304635761589404</c:v>
                </c:pt>
                <c:pt idx="1">
                  <c:v>0.45695364238410596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48-4D69-9CA7-F503EC677B8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77003406489087"/>
          <c:y val="0.37919018776499092"/>
          <c:w val="0.30222287373652762"/>
          <c:h val="0.4269267110841913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Male Heart Disease by Age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Male Heart Disease by Age</a:t>
          </a:r>
        </a:p>
      </cx:txPr>
    </cx:title>
    <cx:plotArea>
      <cx:plotAreaRegion>
        <cx:series layoutId="clusteredColumn" uniqueId="{DB855341-751F-4F29-801D-6D74B2F123A1}">
          <cx:tx>
            <cx:txData>
              <cx:f>_xlchart.v1.0</cx:f>
              <cx:v>age</cx:v>
            </cx:txData>
          </cx:tx>
          <cx:dataLabels/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Age Range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Age Range</a:t>
              </a:r>
            </a:p>
          </cx:txPr>
        </cx:title>
        <cx:tickLabels/>
      </cx:axis>
      <cx:axis id="1">
        <cx:valScaling/>
        <cx:title>
          <cx:tx>
            <cx:txData>
              <cx:v>No. of Males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No. of Males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Female Heart Disease by Age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Female Heart Disease by Age</a:t>
          </a:r>
        </a:p>
      </cx:txPr>
    </cx:title>
    <cx:plotArea>
      <cx:plotAreaRegion>
        <cx:series layoutId="clusteredColumn" uniqueId="{F76295A2-64D1-42FD-A920-76438138AE7B}">
          <cx:tx>
            <cx:txData>
              <cx:f>_xlchart.v1.2</cx:f>
              <cx:v>age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Age Range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Age Range</a:t>
              </a:r>
            </a:p>
          </cx:txPr>
        </cx:title>
        <cx:tickLabels/>
      </cx:axis>
      <cx:axis id="1">
        <cx:valScaling/>
        <cx:title>
          <cx:tx>
            <cx:txData>
              <cx:v>No. of Females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No. of Females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10747</xdr:colOff>
      <xdr:row>9</xdr:row>
      <xdr:rowOff>89877</xdr:rowOff>
    </xdr:from>
    <xdr:to>
      <xdr:col>8</xdr:col>
      <xdr:colOff>556847</xdr:colOff>
      <xdr:row>22</xdr:row>
      <xdr:rowOff>159727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B02A39-E15F-47F4-8D70-0E18D5E573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9524</xdr:colOff>
      <xdr:row>23</xdr:row>
      <xdr:rowOff>31750</xdr:rowOff>
    </xdr:from>
    <xdr:to>
      <xdr:col>8</xdr:col>
      <xdr:colOff>556846</xdr:colOff>
      <xdr:row>37</xdr:row>
      <xdr:rowOff>107950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0E1960-8F8B-4D5F-ADA2-033DAB6DD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151279</xdr:colOff>
      <xdr:row>11</xdr:row>
      <xdr:rowOff>84044</xdr:rowOff>
    </xdr:from>
    <xdr:to>
      <xdr:col>3</xdr:col>
      <xdr:colOff>268941</xdr:colOff>
      <xdr:row>16</xdr:row>
      <xdr:rowOff>140074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987C596-1463-4640-834F-C57FB23BAE0E}"/>
            </a:ext>
          </a:extLst>
        </xdr:cNvPr>
        <xdr:cNvSpPr txBox="1"/>
      </xdr:nvSpPr>
      <xdr:spPr>
        <a:xfrm>
          <a:off x="151279" y="2179544"/>
          <a:ext cx="3300133" cy="10085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-</a:t>
          </a:r>
          <a:r>
            <a:rPr lang="en-GB" sz="1100" baseline="0"/>
            <a:t> Removed 723 duplicate records after invesitgation</a:t>
          </a:r>
        </a:p>
        <a:p>
          <a:r>
            <a:rPr lang="en-GB" sz="1100" baseline="0"/>
            <a:t>- Standardised categorical values</a:t>
          </a:r>
        </a:p>
        <a:p>
          <a:r>
            <a:rPr lang="en-GB" sz="1100" baseline="0"/>
            <a:t>- Converted numerical fields to numeric data types</a:t>
          </a:r>
        </a:p>
        <a:p>
          <a:r>
            <a:rPr lang="en-GB" sz="1100" baseline="0"/>
            <a:t>- Investigated missing values</a:t>
          </a:r>
        </a:p>
        <a:p>
          <a:r>
            <a:rPr lang="en-GB" sz="1100" baseline="0"/>
            <a:t>- Investigated potential outliers</a:t>
          </a:r>
        </a:p>
        <a:p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66919</xdr:colOff>
      <xdr:row>34</xdr:row>
      <xdr:rowOff>10746</xdr:rowOff>
    </xdr:from>
    <xdr:to>
      <xdr:col>9</xdr:col>
      <xdr:colOff>565150</xdr:colOff>
      <xdr:row>44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DEE21-9D84-4218-BEDF-F7526504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31750</xdr:colOff>
      <xdr:row>48</xdr:row>
      <xdr:rowOff>19050</xdr:rowOff>
    </xdr:from>
    <xdr:to>
      <xdr:col>9</xdr:col>
      <xdr:colOff>527050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89BF93-E4E2-421F-A05A-A02D63137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57150</xdr:colOff>
      <xdr:row>23</xdr:row>
      <xdr:rowOff>12700</xdr:rowOff>
    </xdr:from>
    <xdr:to>
      <xdr:col>9</xdr:col>
      <xdr:colOff>571500</xdr:colOff>
      <xdr:row>31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523ED0B-EBD4-4DCB-8CDA-344B9B88C5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50800</xdr:colOff>
      <xdr:row>12</xdr:row>
      <xdr:rowOff>25400</xdr:rowOff>
    </xdr:from>
    <xdr:to>
      <xdr:col>9</xdr:col>
      <xdr:colOff>577850</xdr:colOff>
      <xdr:row>20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F5DFE1-4618-4342-AF84-9E88AD764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41275</xdr:colOff>
      <xdr:row>59</xdr:row>
      <xdr:rowOff>25400</xdr:rowOff>
    </xdr:from>
    <xdr:to>
      <xdr:col>9</xdr:col>
      <xdr:colOff>558800</xdr:colOff>
      <xdr:row>68</xdr:row>
      <xdr:rowOff>165100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1FEF53E-EA94-4AF4-8A31-5A896B962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76200</xdr:colOff>
      <xdr:row>71</xdr:row>
      <xdr:rowOff>6350</xdr:rowOff>
    </xdr:from>
    <xdr:to>
      <xdr:col>9</xdr:col>
      <xdr:colOff>584200</xdr:colOff>
      <xdr:row>79</xdr:row>
      <xdr:rowOff>158750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469CD54-783B-4D35-9B04-BE7681E3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50800</xdr:colOff>
      <xdr:row>82</xdr:row>
      <xdr:rowOff>12700</xdr:rowOff>
    </xdr:from>
    <xdr:to>
      <xdr:col>9</xdr:col>
      <xdr:colOff>571500</xdr:colOff>
      <xdr:row>92</xdr:row>
      <xdr:rowOff>158750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175467-0176-4A80-BF15-D61CB892C7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69850</xdr:colOff>
      <xdr:row>95</xdr:row>
      <xdr:rowOff>12700</xdr:rowOff>
    </xdr:from>
    <xdr:to>
      <xdr:col>8</xdr:col>
      <xdr:colOff>584200</xdr:colOff>
      <xdr:row>105</xdr:row>
      <xdr:rowOff>165100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44EA297-36F8-4FAB-8498-62261297D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57150</xdr:colOff>
      <xdr:row>1</xdr:row>
      <xdr:rowOff>25400</xdr:rowOff>
    </xdr:from>
    <xdr:to>
      <xdr:col>9</xdr:col>
      <xdr:colOff>590550</xdr:colOff>
      <xdr:row>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C56B1-1F39-414F-8927-F540739DF2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</xdr:colOff>
      <xdr:row>1</xdr:row>
      <xdr:rowOff>23812</xdr:rowOff>
    </xdr:from>
    <xdr:to>
      <xdr:col>20</xdr:col>
      <xdr:colOff>539750</xdr:colOff>
      <xdr:row>18</xdr:row>
      <xdr:rowOff>119064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296809A-4703-4520-95D5-A6EF0B249C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15225" y="214312"/>
              <a:ext cx="5502275" cy="33337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49212</xdr:colOff>
      <xdr:row>1</xdr:row>
      <xdr:rowOff>31750</xdr:rowOff>
    </xdr:from>
    <xdr:to>
      <xdr:col>20</xdr:col>
      <xdr:colOff>547689</xdr:colOff>
      <xdr:row>18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781C48D-48EA-4E99-B8B0-9AE32BD8EC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07287" y="222250"/>
              <a:ext cx="5518152" cy="3333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ke" refreshedDate="46258.732440162035" createdVersion="6" refreshedVersion="6" minRefreshableVersion="3" recordCount="302" xr:uid="{62B1BDB2-067E-429A-AD49-F373C63E603D}">
  <cacheSource type="worksheet">
    <worksheetSource name="Table1"/>
  </cacheSource>
  <cacheFields count="13">
    <cacheField name="age" numFmtId="1">
      <sharedItems containsSemiMixedTypes="0" containsString="0" containsNumber="1" containsInteger="1" minValue="29" maxValue="77"/>
    </cacheField>
    <cacheField name="agegroup" numFmtId="0">
      <sharedItems count="6">
        <s v="60-69"/>
        <s v="50-59"/>
        <s v="40-49"/>
        <s v="70+"/>
        <s v="30-39"/>
        <s v="20-29"/>
      </sharedItems>
    </cacheField>
    <cacheField name="sex" numFmtId="1">
      <sharedItems containsSemiMixedTypes="0" containsString="0" containsNumber="1" containsInteger="1" minValue="0" maxValue="1" count="2">
        <n v="0"/>
        <n v="1"/>
      </sharedItems>
    </cacheField>
    <cacheField name="cpt" numFmtId="1">
      <sharedItems containsSemiMixedTypes="0" containsString="0" containsNumber="1" containsInteger="1" minValue="0" maxValue="3" count="4">
        <n v="2"/>
        <n v="0"/>
        <n v="1"/>
        <n v="3"/>
      </sharedItems>
    </cacheField>
    <cacheField name="restbps" numFmtId="1">
      <sharedItems containsSemiMixedTypes="0" containsString="0" containsNumber="1" containsInteger="1" minValue="94" maxValue="200"/>
    </cacheField>
    <cacheField name="chol" numFmtId="1">
      <sharedItems containsSemiMixedTypes="0" containsString="0" containsNumber="1" containsInteger="1" minValue="126" maxValue="564"/>
    </cacheField>
    <cacheField name="fbs" numFmtId="1">
      <sharedItems containsSemiMixedTypes="0" containsString="0" containsNumber="1" containsInteger="1" minValue="0" maxValue="1"/>
    </cacheField>
    <cacheField name="restecg" numFmtId="1">
      <sharedItems containsSemiMixedTypes="0" containsString="0" containsNumber="1" containsInteger="1" minValue="0" maxValue="2" count="3">
        <n v="0"/>
        <n v="1"/>
        <n v="2"/>
      </sharedItems>
    </cacheField>
    <cacheField name="maxhr" numFmtId="1">
      <sharedItems containsSemiMixedTypes="0" containsString="0" containsNumber="1" containsInteger="1" minValue="71" maxValue="202"/>
    </cacheField>
    <cacheField name="exang" numFmtId="1">
      <sharedItems containsSemiMixedTypes="0" containsString="0" containsNumber="1" containsInteger="1" minValue="0" maxValue="1"/>
    </cacheField>
    <cacheField name="slope" numFmtId="1">
      <sharedItems containsSemiMixedTypes="0" containsString="0" containsNumber="1" containsInteger="1" minValue="0" maxValue="2"/>
    </cacheField>
    <cacheField name="thal" numFmtId="1">
      <sharedItems containsSemiMixedTypes="0" containsString="0" containsNumber="1" containsInteger="1" minValue="0" maxValue="3"/>
    </cacheField>
    <cacheField name="target" numFmtId="1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2">
  <r>
    <n v="67"/>
    <x v="0"/>
    <x v="0"/>
    <x v="0"/>
    <n v="115"/>
    <n v="564"/>
    <n v="0"/>
    <x v="0"/>
    <n v="160"/>
    <n v="0"/>
    <n v="1"/>
    <n v="3"/>
    <x v="0"/>
  </r>
  <r>
    <n v="65"/>
    <x v="0"/>
    <x v="0"/>
    <x v="0"/>
    <n v="140"/>
    <n v="417"/>
    <n v="1"/>
    <x v="0"/>
    <n v="157"/>
    <n v="0"/>
    <n v="2"/>
    <n v="2"/>
    <x v="0"/>
  </r>
  <r>
    <n v="56"/>
    <x v="1"/>
    <x v="0"/>
    <x v="1"/>
    <n v="134"/>
    <n v="409"/>
    <n v="0"/>
    <x v="0"/>
    <n v="150"/>
    <n v="1"/>
    <n v="1"/>
    <n v="3"/>
    <x v="1"/>
  </r>
  <r>
    <n v="63"/>
    <x v="0"/>
    <x v="0"/>
    <x v="1"/>
    <n v="150"/>
    <n v="407"/>
    <n v="0"/>
    <x v="0"/>
    <n v="154"/>
    <n v="0"/>
    <n v="1"/>
    <n v="3"/>
    <x v="1"/>
  </r>
  <r>
    <n v="62"/>
    <x v="0"/>
    <x v="0"/>
    <x v="1"/>
    <n v="140"/>
    <n v="394"/>
    <n v="0"/>
    <x v="0"/>
    <n v="157"/>
    <n v="0"/>
    <n v="1"/>
    <n v="2"/>
    <x v="0"/>
  </r>
  <r>
    <n v="65"/>
    <x v="0"/>
    <x v="0"/>
    <x v="0"/>
    <n v="160"/>
    <n v="360"/>
    <n v="0"/>
    <x v="0"/>
    <n v="151"/>
    <n v="0"/>
    <n v="2"/>
    <n v="2"/>
    <x v="0"/>
  </r>
  <r>
    <n v="57"/>
    <x v="1"/>
    <x v="0"/>
    <x v="1"/>
    <n v="120"/>
    <n v="354"/>
    <n v="0"/>
    <x v="1"/>
    <n v="163"/>
    <n v="1"/>
    <n v="2"/>
    <n v="2"/>
    <x v="0"/>
  </r>
  <r>
    <n v="55"/>
    <x v="1"/>
    <x v="1"/>
    <x v="1"/>
    <n v="132"/>
    <n v="353"/>
    <n v="0"/>
    <x v="1"/>
    <n v="132"/>
    <n v="1"/>
    <n v="1"/>
    <n v="3"/>
    <x v="1"/>
  </r>
  <r>
    <n v="55"/>
    <x v="1"/>
    <x v="0"/>
    <x v="2"/>
    <n v="132"/>
    <n v="342"/>
    <n v="0"/>
    <x v="1"/>
    <n v="166"/>
    <n v="0"/>
    <n v="2"/>
    <n v="2"/>
    <x v="0"/>
  </r>
  <r>
    <n v="43"/>
    <x v="2"/>
    <x v="0"/>
    <x v="1"/>
    <n v="132"/>
    <n v="341"/>
    <n v="1"/>
    <x v="0"/>
    <n v="136"/>
    <n v="1"/>
    <n v="1"/>
    <n v="3"/>
    <x v="1"/>
  </r>
  <r>
    <n v="58"/>
    <x v="1"/>
    <x v="0"/>
    <x v="0"/>
    <n v="120"/>
    <n v="340"/>
    <n v="0"/>
    <x v="1"/>
    <n v="172"/>
    <n v="0"/>
    <n v="2"/>
    <n v="2"/>
    <x v="0"/>
  </r>
  <r>
    <n v="57"/>
    <x v="1"/>
    <x v="1"/>
    <x v="1"/>
    <n v="110"/>
    <n v="335"/>
    <n v="0"/>
    <x v="1"/>
    <n v="143"/>
    <n v="1"/>
    <n v="1"/>
    <n v="3"/>
    <x v="1"/>
  </r>
  <r>
    <n v="64"/>
    <x v="0"/>
    <x v="1"/>
    <x v="0"/>
    <n v="140"/>
    <n v="335"/>
    <n v="0"/>
    <x v="1"/>
    <n v="158"/>
    <n v="0"/>
    <n v="2"/>
    <n v="2"/>
    <x v="1"/>
  </r>
  <r>
    <n v="61"/>
    <x v="0"/>
    <x v="0"/>
    <x v="1"/>
    <n v="130"/>
    <n v="330"/>
    <n v="0"/>
    <x v="0"/>
    <n v="169"/>
    <n v="0"/>
    <n v="2"/>
    <n v="2"/>
    <x v="1"/>
  </r>
  <r>
    <n v="63"/>
    <x v="0"/>
    <x v="1"/>
    <x v="1"/>
    <n v="130"/>
    <n v="330"/>
    <n v="1"/>
    <x v="0"/>
    <n v="132"/>
    <n v="1"/>
    <n v="2"/>
    <n v="3"/>
    <x v="1"/>
  </r>
  <r>
    <n v="55"/>
    <x v="1"/>
    <x v="0"/>
    <x v="1"/>
    <n v="180"/>
    <n v="327"/>
    <n v="0"/>
    <x v="2"/>
    <n v="117"/>
    <n v="1"/>
    <n v="1"/>
    <n v="2"/>
    <x v="1"/>
  </r>
  <r>
    <n v="59"/>
    <x v="1"/>
    <x v="1"/>
    <x v="1"/>
    <n v="170"/>
    <n v="326"/>
    <n v="0"/>
    <x v="0"/>
    <n v="140"/>
    <n v="1"/>
    <n v="0"/>
    <n v="3"/>
    <x v="1"/>
  </r>
  <r>
    <n v="64"/>
    <x v="0"/>
    <x v="0"/>
    <x v="1"/>
    <n v="180"/>
    <n v="325"/>
    <n v="0"/>
    <x v="1"/>
    <n v="154"/>
    <n v="1"/>
    <n v="2"/>
    <n v="2"/>
    <x v="0"/>
  </r>
  <r>
    <n v="52"/>
    <x v="1"/>
    <x v="1"/>
    <x v="2"/>
    <n v="120"/>
    <n v="325"/>
    <n v="0"/>
    <x v="1"/>
    <n v="172"/>
    <n v="0"/>
    <n v="2"/>
    <n v="2"/>
    <x v="0"/>
  </r>
  <r>
    <n v="70"/>
    <x v="3"/>
    <x v="1"/>
    <x v="1"/>
    <n v="130"/>
    <n v="322"/>
    <n v="0"/>
    <x v="0"/>
    <n v="109"/>
    <n v="0"/>
    <n v="1"/>
    <n v="2"/>
    <x v="1"/>
  </r>
  <r>
    <n v="39"/>
    <x v="4"/>
    <x v="1"/>
    <x v="0"/>
    <n v="140"/>
    <n v="321"/>
    <n v="0"/>
    <x v="0"/>
    <n v="182"/>
    <n v="0"/>
    <n v="2"/>
    <n v="2"/>
    <x v="0"/>
  </r>
  <r>
    <n v="58"/>
    <x v="1"/>
    <x v="0"/>
    <x v="2"/>
    <n v="136"/>
    <n v="319"/>
    <n v="1"/>
    <x v="0"/>
    <n v="152"/>
    <n v="0"/>
    <n v="2"/>
    <n v="2"/>
    <x v="1"/>
  </r>
  <r>
    <n v="58"/>
    <x v="1"/>
    <x v="1"/>
    <x v="1"/>
    <n v="114"/>
    <n v="318"/>
    <n v="0"/>
    <x v="2"/>
    <n v="140"/>
    <n v="0"/>
    <n v="0"/>
    <n v="1"/>
    <x v="1"/>
  </r>
  <r>
    <n v="60"/>
    <x v="0"/>
    <x v="0"/>
    <x v="0"/>
    <n v="102"/>
    <n v="318"/>
    <n v="0"/>
    <x v="1"/>
    <n v="160"/>
    <n v="0"/>
    <n v="2"/>
    <n v="2"/>
    <x v="0"/>
  </r>
  <r>
    <n v="42"/>
    <x v="2"/>
    <x v="1"/>
    <x v="1"/>
    <n v="136"/>
    <n v="315"/>
    <n v="0"/>
    <x v="1"/>
    <n v="125"/>
    <n v="1"/>
    <n v="1"/>
    <n v="1"/>
    <x v="1"/>
  </r>
  <r>
    <n v="43"/>
    <x v="2"/>
    <x v="1"/>
    <x v="0"/>
    <n v="130"/>
    <n v="315"/>
    <n v="0"/>
    <x v="1"/>
    <n v="162"/>
    <n v="0"/>
    <n v="2"/>
    <n v="2"/>
    <x v="0"/>
  </r>
  <r>
    <n v="64"/>
    <x v="0"/>
    <x v="0"/>
    <x v="0"/>
    <n v="140"/>
    <n v="313"/>
    <n v="0"/>
    <x v="1"/>
    <n v="133"/>
    <n v="0"/>
    <n v="2"/>
    <n v="3"/>
    <x v="0"/>
  </r>
  <r>
    <n v="46"/>
    <x v="2"/>
    <x v="1"/>
    <x v="1"/>
    <n v="140"/>
    <n v="311"/>
    <n v="0"/>
    <x v="1"/>
    <n v="120"/>
    <n v="1"/>
    <n v="1"/>
    <n v="3"/>
    <x v="1"/>
  </r>
  <r>
    <n v="54"/>
    <x v="1"/>
    <x v="1"/>
    <x v="2"/>
    <n v="108"/>
    <n v="309"/>
    <n v="0"/>
    <x v="1"/>
    <n v="156"/>
    <n v="0"/>
    <n v="2"/>
    <n v="3"/>
    <x v="0"/>
  </r>
  <r>
    <n v="64"/>
    <x v="0"/>
    <x v="1"/>
    <x v="0"/>
    <n v="125"/>
    <n v="309"/>
    <n v="0"/>
    <x v="1"/>
    <n v="131"/>
    <n v="1"/>
    <n v="1"/>
    <n v="3"/>
    <x v="1"/>
  </r>
  <r>
    <n v="45"/>
    <x v="2"/>
    <x v="1"/>
    <x v="1"/>
    <n v="142"/>
    <n v="309"/>
    <n v="0"/>
    <x v="0"/>
    <n v="147"/>
    <n v="1"/>
    <n v="1"/>
    <n v="3"/>
    <x v="1"/>
  </r>
  <r>
    <n v="51"/>
    <x v="1"/>
    <x v="0"/>
    <x v="0"/>
    <n v="140"/>
    <n v="308"/>
    <n v="0"/>
    <x v="0"/>
    <n v="142"/>
    <n v="0"/>
    <n v="2"/>
    <n v="2"/>
    <x v="0"/>
  </r>
  <r>
    <n v="45"/>
    <x v="2"/>
    <x v="1"/>
    <x v="2"/>
    <n v="128"/>
    <n v="308"/>
    <n v="0"/>
    <x v="0"/>
    <n v="170"/>
    <n v="0"/>
    <n v="2"/>
    <n v="2"/>
    <x v="0"/>
  </r>
  <r>
    <n v="61"/>
    <x v="0"/>
    <x v="0"/>
    <x v="1"/>
    <n v="145"/>
    <n v="307"/>
    <n v="0"/>
    <x v="0"/>
    <n v="146"/>
    <n v="1"/>
    <n v="1"/>
    <n v="3"/>
    <x v="1"/>
  </r>
  <r>
    <n v="41"/>
    <x v="2"/>
    <x v="0"/>
    <x v="2"/>
    <n v="126"/>
    <n v="306"/>
    <n v="0"/>
    <x v="1"/>
    <n v="163"/>
    <n v="0"/>
    <n v="2"/>
    <n v="2"/>
    <x v="0"/>
  </r>
  <r>
    <n v="51"/>
    <x v="1"/>
    <x v="0"/>
    <x v="1"/>
    <n v="130"/>
    <n v="305"/>
    <n v="0"/>
    <x v="1"/>
    <n v="142"/>
    <n v="1"/>
    <n v="1"/>
    <n v="3"/>
    <x v="1"/>
  </r>
  <r>
    <n v="77"/>
    <x v="3"/>
    <x v="1"/>
    <x v="1"/>
    <n v="125"/>
    <n v="304"/>
    <n v="0"/>
    <x v="0"/>
    <n v="162"/>
    <n v="1"/>
    <n v="2"/>
    <n v="2"/>
    <x v="1"/>
  </r>
  <r>
    <n v="54"/>
    <x v="1"/>
    <x v="0"/>
    <x v="0"/>
    <n v="135"/>
    <n v="304"/>
    <n v="1"/>
    <x v="1"/>
    <n v="170"/>
    <n v="0"/>
    <n v="2"/>
    <n v="2"/>
    <x v="0"/>
  </r>
  <r>
    <n v="57"/>
    <x v="1"/>
    <x v="0"/>
    <x v="1"/>
    <n v="128"/>
    <n v="303"/>
    <n v="0"/>
    <x v="0"/>
    <n v="159"/>
    <n v="0"/>
    <n v="2"/>
    <n v="2"/>
    <x v="0"/>
  </r>
  <r>
    <n v="64"/>
    <x v="0"/>
    <x v="0"/>
    <x v="1"/>
    <n v="130"/>
    <n v="303"/>
    <n v="0"/>
    <x v="1"/>
    <n v="122"/>
    <n v="0"/>
    <n v="1"/>
    <n v="2"/>
    <x v="0"/>
  </r>
  <r>
    <n v="43"/>
    <x v="2"/>
    <x v="1"/>
    <x v="1"/>
    <n v="115"/>
    <n v="303"/>
    <n v="0"/>
    <x v="1"/>
    <n v="181"/>
    <n v="0"/>
    <n v="1"/>
    <n v="2"/>
    <x v="0"/>
  </r>
  <r>
    <n v="71"/>
    <x v="3"/>
    <x v="0"/>
    <x v="2"/>
    <n v="160"/>
    <n v="302"/>
    <n v="0"/>
    <x v="1"/>
    <n v="162"/>
    <n v="0"/>
    <n v="2"/>
    <n v="2"/>
    <x v="0"/>
  </r>
  <r>
    <n v="66"/>
    <x v="0"/>
    <x v="1"/>
    <x v="1"/>
    <n v="120"/>
    <n v="302"/>
    <n v="0"/>
    <x v="0"/>
    <n v="151"/>
    <n v="0"/>
    <n v="1"/>
    <n v="2"/>
    <x v="0"/>
  </r>
  <r>
    <n v="58"/>
    <x v="1"/>
    <x v="1"/>
    <x v="1"/>
    <n v="125"/>
    <n v="300"/>
    <n v="0"/>
    <x v="0"/>
    <n v="171"/>
    <n v="0"/>
    <n v="2"/>
    <n v="3"/>
    <x v="1"/>
  </r>
  <r>
    <n v="67"/>
    <x v="0"/>
    <x v="1"/>
    <x v="1"/>
    <n v="100"/>
    <n v="299"/>
    <n v="0"/>
    <x v="0"/>
    <n v="125"/>
    <n v="1"/>
    <n v="1"/>
    <n v="2"/>
    <x v="1"/>
  </r>
  <r>
    <n v="51"/>
    <x v="1"/>
    <x v="1"/>
    <x v="1"/>
    <n v="140"/>
    <n v="299"/>
    <n v="0"/>
    <x v="1"/>
    <n v="173"/>
    <n v="1"/>
    <n v="2"/>
    <n v="3"/>
    <x v="1"/>
  </r>
  <r>
    <n v="51"/>
    <x v="1"/>
    <x v="1"/>
    <x v="1"/>
    <n v="140"/>
    <n v="298"/>
    <n v="0"/>
    <x v="1"/>
    <n v="122"/>
    <n v="1"/>
    <n v="1"/>
    <n v="3"/>
    <x v="1"/>
  </r>
  <r>
    <n v="52"/>
    <x v="1"/>
    <x v="1"/>
    <x v="3"/>
    <n v="152"/>
    <n v="298"/>
    <n v="1"/>
    <x v="1"/>
    <n v="178"/>
    <n v="0"/>
    <n v="1"/>
    <n v="3"/>
    <x v="0"/>
  </r>
  <r>
    <n v="42"/>
    <x v="2"/>
    <x v="1"/>
    <x v="2"/>
    <n v="120"/>
    <n v="295"/>
    <n v="0"/>
    <x v="1"/>
    <n v="162"/>
    <n v="0"/>
    <n v="2"/>
    <n v="2"/>
    <x v="0"/>
  </r>
  <r>
    <n v="51"/>
    <x v="1"/>
    <x v="0"/>
    <x v="0"/>
    <n v="120"/>
    <n v="295"/>
    <n v="0"/>
    <x v="0"/>
    <n v="157"/>
    <n v="0"/>
    <n v="2"/>
    <n v="2"/>
    <x v="0"/>
  </r>
  <r>
    <n v="62"/>
    <x v="0"/>
    <x v="0"/>
    <x v="1"/>
    <n v="138"/>
    <n v="294"/>
    <n v="1"/>
    <x v="1"/>
    <n v="106"/>
    <n v="0"/>
    <n v="1"/>
    <n v="2"/>
    <x v="1"/>
  </r>
  <r>
    <n v="56"/>
    <x v="1"/>
    <x v="0"/>
    <x v="2"/>
    <n v="140"/>
    <n v="294"/>
    <n v="0"/>
    <x v="0"/>
    <n v="153"/>
    <n v="0"/>
    <n v="1"/>
    <n v="2"/>
    <x v="0"/>
  </r>
  <r>
    <n v="60"/>
    <x v="0"/>
    <x v="1"/>
    <x v="1"/>
    <n v="140"/>
    <n v="293"/>
    <n v="0"/>
    <x v="0"/>
    <n v="170"/>
    <n v="0"/>
    <n v="1"/>
    <n v="3"/>
    <x v="1"/>
  </r>
  <r>
    <n v="44"/>
    <x v="2"/>
    <x v="1"/>
    <x v="1"/>
    <n v="112"/>
    <n v="290"/>
    <n v="0"/>
    <x v="0"/>
    <n v="153"/>
    <n v="0"/>
    <n v="2"/>
    <n v="2"/>
    <x v="1"/>
  </r>
  <r>
    <n v="55"/>
    <x v="1"/>
    <x v="1"/>
    <x v="1"/>
    <n v="160"/>
    <n v="289"/>
    <n v="0"/>
    <x v="0"/>
    <n v="145"/>
    <n v="1"/>
    <n v="1"/>
    <n v="3"/>
    <x v="1"/>
  </r>
  <r>
    <n v="57"/>
    <x v="1"/>
    <x v="1"/>
    <x v="1"/>
    <n v="165"/>
    <n v="289"/>
    <n v="1"/>
    <x v="0"/>
    <n v="124"/>
    <n v="0"/>
    <n v="1"/>
    <n v="3"/>
    <x v="1"/>
  </r>
  <r>
    <n v="59"/>
    <x v="1"/>
    <x v="1"/>
    <x v="3"/>
    <n v="170"/>
    <n v="288"/>
    <n v="0"/>
    <x v="0"/>
    <n v="159"/>
    <n v="0"/>
    <n v="1"/>
    <n v="3"/>
    <x v="1"/>
  </r>
  <r>
    <n v="56"/>
    <x v="1"/>
    <x v="0"/>
    <x v="1"/>
    <n v="200"/>
    <n v="288"/>
    <n v="1"/>
    <x v="0"/>
    <n v="133"/>
    <n v="1"/>
    <n v="0"/>
    <n v="3"/>
    <x v="1"/>
  </r>
  <r>
    <n v="54"/>
    <x v="1"/>
    <x v="0"/>
    <x v="2"/>
    <n v="132"/>
    <n v="288"/>
    <n v="1"/>
    <x v="0"/>
    <n v="159"/>
    <n v="1"/>
    <n v="2"/>
    <n v="2"/>
    <x v="0"/>
  </r>
  <r>
    <n v="54"/>
    <x v="1"/>
    <x v="1"/>
    <x v="1"/>
    <n v="122"/>
    <n v="286"/>
    <n v="0"/>
    <x v="0"/>
    <n v="116"/>
    <n v="1"/>
    <n v="1"/>
    <n v="2"/>
    <x v="1"/>
  </r>
  <r>
    <n v="67"/>
    <x v="0"/>
    <x v="1"/>
    <x v="1"/>
    <n v="160"/>
    <n v="286"/>
    <n v="0"/>
    <x v="0"/>
    <n v="108"/>
    <n v="1"/>
    <n v="1"/>
    <n v="2"/>
    <x v="1"/>
  </r>
  <r>
    <n v="58"/>
    <x v="1"/>
    <x v="1"/>
    <x v="2"/>
    <n v="120"/>
    <n v="284"/>
    <n v="0"/>
    <x v="0"/>
    <n v="160"/>
    <n v="0"/>
    <n v="1"/>
    <n v="2"/>
    <x v="1"/>
  </r>
  <r>
    <n v="58"/>
    <x v="1"/>
    <x v="0"/>
    <x v="3"/>
    <n v="150"/>
    <n v="283"/>
    <n v="1"/>
    <x v="0"/>
    <n v="162"/>
    <n v="0"/>
    <n v="2"/>
    <n v="2"/>
    <x v="0"/>
  </r>
  <r>
    <n v="54"/>
    <x v="1"/>
    <x v="1"/>
    <x v="2"/>
    <n v="192"/>
    <n v="283"/>
    <n v="0"/>
    <x v="0"/>
    <n v="195"/>
    <n v="0"/>
    <n v="2"/>
    <n v="3"/>
    <x v="1"/>
  </r>
  <r>
    <n v="56"/>
    <x v="1"/>
    <x v="1"/>
    <x v="1"/>
    <n v="130"/>
    <n v="283"/>
    <n v="1"/>
    <x v="0"/>
    <n v="103"/>
    <n v="1"/>
    <n v="0"/>
    <n v="3"/>
    <x v="1"/>
  </r>
  <r>
    <n v="53"/>
    <x v="1"/>
    <x v="1"/>
    <x v="1"/>
    <n v="123"/>
    <n v="282"/>
    <n v="0"/>
    <x v="1"/>
    <n v="95"/>
    <n v="1"/>
    <n v="1"/>
    <n v="3"/>
    <x v="1"/>
  </r>
  <r>
    <n v="65"/>
    <x v="0"/>
    <x v="1"/>
    <x v="3"/>
    <n v="138"/>
    <n v="282"/>
    <n v="1"/>
    <x v="0"/>
    <n v="174"/>
    <n v="0"/>
    <n v="1"/>
    <n v="2"/>
    <x v="1"/>
  </r>
  <r>
    <n v="60"/>
    <x v="0"/>
    <x v="1"/>
    <x v="1"/>
    <n v="145"/>
    <n v="282"/>
    <n v="0"/>
    <x v="0"/>
    <n v="142"/>
    <n v="1"/>
    <n v="1"/>
    <n v="3"/>
    <x v="1"/>
  </r>
  <r>
    <n v="35"/>
    <x v="4"/>
    <x v="1"/>
    <x v="1"/>
    <n v="126"/>
    <n v="282"/>
    <n v="0"/>
    <x v="0"/>
    <n v="156"/>
    <n v="1"/>
    <n v="2"/>
    <n v="3"/>
    <x v="1"/>
  </r>
  <r>
    <n v="62"/>
    <x v="0"/>
    <x v="1"/>
    <x v="2"/>
    <n v="120"/>
    <n v="281"/>
    <n v="0"/>
    <x v="0"/>
    <n v="103"/>
    <n v="0"/>
    <n v="1"/>
    <n v="3"/>
    <x v="1"/>
  </r>
  <r>
    <n v="66"/>
    <x v="0"/>
    <x v="0"/>
    <x v="0"/>
    <n v="146"/>
    <n v="278"/>
    <n v="0"/>
    <x v="0"/>
    <n v="152"/>
    <n v="0"/>
    <n v="1"/>
    <n v="2"/>
    <x v="0"/>
  </r>
  <r>
    <n v="67"/>
    <x v="0"/>
    <x v="0"/>
    <x v="0"/>
    <n v="152"/>
    <n v="277"/>
    <n v="0"/>
    <x v="1"/>
    <n v="172"/>
    <n v="0"/>
    <n v="2"/>
    <n v="2"/>
    <x v="0"/>
  </r>
  <r>
    <n v="68"/>
    <x v="0"/>
    <x v="1"/>
    <x v="0"/>
    <n v="118"/>
    <n v="277"/>
    <n v="0"/>
    <x v="1"/>
    <n v="151"/>
    <n v="0"/>
    <n v="2"/>
    <n v="3"/>
    <x v="0"/>
  </r>
  <r>
    <n v="57"/>
    <x v="1"/>
    <x v="1"/>
    <x v="1"/>
    <n v="150"/>
    <n v="276"/>
    <n v="0"/>
    <x v="0"/>
    <n v="112"/>
    <n v="1"/>
    <n v="1"/>
    <n v="1"/>
    <x v="1"/>
  </r>
  <r>
    <n v="47"/>
    <x v="2"/>
    <x v="1"/>
    <x v="1"/>
    <n v="110"/>
    <n v="275"/>
    <n v="0"/>
    <x v="0"/>
    <n v="118"/>
    <n v="1"/>
    <n v="1"/>
    <n v="2"/>
    <x v="1"/>
  </r>
  <r>
    <n v="48"/>
    <x v="2"/>
    <x v="0"/>
    <x v="0"/>
    <n v="130"/>
    <n v="275"/>
    <n v="0"/>
    <x v="1"/>
    <n v="139"/>
    <n v="0"/>
    <n v="2"/>
    <n v="2"/>
    <x v="0"/>
  </r>
  <r>
    <n v="57"/>
    <x v="1"/>
    <x v="1"/>
    <x v="1"/>
    <n v="152"/>
    <n v="274"/>
    <n v="0"/>
    <x v="1"/>
    <n v="88"/>
    <n v="1"/>
    <n v="1"/>
    <n v="3"/>
    <x v="1"/>
  </r>
  <r>
    <n v="48"/>
    <x v="2"/>
    <x v="1"/>
    <x v="1"/>
    <n v="124"/>
    <n v="274"/>
    <n v="0"/>
    <x v="0"/>
    <n v="166"/>
    <n v="0"/>
    <n v="1"/>
    <n v="3"/>
    <x v="1"/>
  </r>
  <r>
    <n v="68"/>
    <x v="0"/>
    <x v="1"/>
    <x v="0"/>
    <n v="180"/>
    <n v="274"/>
    <n v="1"/>
    <x v="0"/>
    <n v="150"/>
    <n v="1"/>
    <n v="1"/>
    <n v="3"/>
    <x v="1"/>
  </r>
  <r>
    <n v="54"/>
    <x v="1"/>
    <x v="1"/>
    <x v="0"/>
    <n v="125"/>
    <n v="273"/>
    <n v="0"/>
    <x v="0"/>
    <n v="152"/>
    <n v="0"/>
    <n v="0"/>
    <n v="2"/>
    <x v="0"/>
  </r>
  <r>
    <n v="59"/>
    <x v="1"/>
    <x v="1"/>
    <x v="3"/>
    <n v="160"/>
    <n v="273"/>
    <n v="0"/>
    <x v="0"/>
    <n v="125"/>
    <n v="0"/>
    <n v="2"/>
    <n v="2"/>
    <x v="1"/>
  </r>
  <r>
    <n v="59"/>
    <x v="1"/>
    <x v="1"/>
    <x v="1"/>
    <n v="138"/>
    <n v="271"/>
    <n v="0"/>
    <x v="0"/>
    <n v="182"/>
    <n v="0"/>
    <n v="2"/>
    <n v="2"/>
    <x v="0"/>
  </r>
  <r>
    <n v="49"/>
    <x v="2"/>
    <x v="0"/>
    <x v="2"/>
    <n v="134"/>
    <n v="271"/>
    <n v="0"/>
    <x v="1"/>
    <n v="162"/>
    <n v="0"/>
    <n v="1"/>
    <n v="2"/>
    <x v="0"/>
  </r>
  <r>
    <n v="58"/>
    <x v="1"/>
    <x v="1"/>
    <x v="1"/>
    <n v="150"/>
    <n v="270"/>
    <n v="0"/>
    <x v="0"/>
    <n v="111"/>
    <n v="1"/>
    <n v="2"/>
    <n v="3"/>
    <x v="1"/>
  </r>
  <r>
    <n v="59"/>
    <x v="1"/>
    <x v="1"/>
    <x v="3"/>
    <n v="178"/>
    <n v="270"/>
    <n v="0"/>
    <x v="0"/>
    <n v="145"/>
    <n v="0"/>
    <n v="0"/>
    <n v="3"/>
    <x v="0"/>
  </r>
  <r>
    <n v="70"/>
    <x v="3"/>
    <x v="1"/>
    <x v="0"/>
    <n v="160"/>
    <n v="269"/>
    <n v="0"/>
    <x v="1"/>
    <n v="112"/>
    <n v="1"/>
    <n v="1"/>
    <n v="3"/>
    <x v="1"/>
  </r>
  <r>
    <n v="49"/>
    <x v="2"/>
    <x v="0"/>
    <x v="1"/>
    <n v="130"/>
    <n v="269"/>
    <n v="0"/>
    <x v="1"/>
    <n v="163"/>
    <n v="0"/>
    <n v="2"/>
    <n v="2"/>
    <x v="0"/>
  </r>
  <r>
    <n v="74"/>
    <x v="3"/>
    <x v="0"/>
    <x v="2"/>
    <n v="120"/>
    <n v="269"/>
    <n v="0"/>
    <x v="0"/>
    <n v="121"/>
    <n v="1"/>
    <n v="2"/>
    <n v="2"/>
    <x v="0"/>
  </r>
  <r>
    <n v="63"/>
    <x v="0"/>
    <x v="0"/>
    <x v="1"/>
    <n v="108"/>
    <n v="269"/>
    <n v="0"/>
    <x v="1"/>
    <n v="169"/>
    <n v="1"/>
    <n v="1"/>
    <n v="2"/>
    <x v="1"/>
  </r>
  <r>
    <n v="65"/>
    <x v="0"/>
    <x v="0"/>
    <x v="0"/>
    <n v="155"/>
    <n v="269"/>
    <n v="0"/>
    <x v="1"/>
    <n v="148"/>
    <n v="0"/>
    <n v="2"/>
    <n v="2"/>
    <x v="0"/>
  </r>
  <r>
    <n v="62"/>
    <x v="0"/>
    <x v="0"/>
    <x v="1"/>
    <n v="140"/>
    <n v="268"/>
    <n v="0"/>
    <x v="0"/>
    <n v="160"/>
    <n v="0"/>
    <n v="0"/>
    <n v="2"/>
    <x v="1"/>
  </r>
  <r>
    <n v="41"/>
    <x v="2"/>
    <x v="0"/>
    <x v="0"/>
    <n v="112"/>
    <n v="268"/>
    <n v="0"/>
    <x v="0"/>
    <n v="172"/>
    <n v="1"/>
    <n v="2"/>
    <n v="2"/>
    <x v="0"/>
  </r>
  <r>
    <n v="54"/>
    <x v="1"/>
    <x v="0"/>
    <x v="0"/>
    <n v="108"/>
    <n v="267"/>
    <n v="0"/>
    <x v="0"/>
    <n v="167"/>
    <n v="0"/>
    <n v="2"/>
    <n v="2"/>
    <x v="0"/>
  </r>
  <r>
    <n v="62"/>
    <x v="0"/>
    <x v="1"/>
    <x v="1"/>
    <n v="120"/>
    <n v="267"/>
    <n v="0"/>
    <x v="1"/>
    <n v="99"/>
    <n v="1"/>
    <n v="1"/>
    <n v="3"/>
    <x v="1"/>
  </r>
  <r>
    <n v="54"/>
    <x v="1"/>
    <x v="1"/>
    <x v="1"/>
    <n v="124"/>
    <n v="266"/>
    <n v="0"/>
    <x v="0"/>
    <n v="109"/>
    <n v="1"/>
    <n v="1"/>
    <n v="3"/>
    <x v="1"/>
  </r>
  <r>
    <n v="49"/>
    <x v="2"/>
    <x v="1"/>
    <x v="2"/>
    <n v="130"/>
    <n v="266"/>
    <n v="0"/>
    <x v="1"/>
    <n v="171"/>
    <n v="0"/>
    <n v="2"/>
    <n v="2"/>
    <x v="0"/>
  </r>
  <r>
    <n v="71"/>
    <x v="3"/>
    <x v="0"/>
    <x v="0"/>
    <n v="110"/>
    <n v="265"/>
    <n v="1"/>
    <x v="0"/>
    <n v="130"/>
    <n v="0"/>
    <n v="2"/>
    <n v="2"/>
    <x v="0"/>
  </r>
  <r>
    <n v="42"/>
    <x v="2"/>
    <x v="0"/>
    <x v="1"/>
    <n v="102"/>
    <n v="265"/>
    <n v="0"/>
    <x v="0"/>
    <n v="122"/>
    <n v="0"/>
    <n v="1"/>
    <n v="2"/>
    <x v="0"/>
  </r>
  <r>
    <n v="53"/>
    <x v="1"/>
    <x v="0"/>
    <x v="1"/>
    <n v="130"/>
    <n v="264"/>
    <n v="0"/>
    <x v="0"/>
    <n v="143"/>
    <n v="0"/>
    <n v="1"/>
    <n v="2"/>
    <x v="0"/>
  </r>
  <r>
    <n v="45"/>
    <x v="2"/>
    <x v="1"/>
    <x v="3"/>
    <n v="110"/>
    <n v="264"/>
    <n v="0"/>
    <x v="1"/>
    <n v="132"/>
    <n v="0"/>
    <n v="1"/>
    <n v="3"/>
    <x v="1"/>
  </r>
  <r>
    <n v="64"/>
    <x v="0"/>
    <x v="1"/>
    <x v="1"/>
    <n v="128"/>
    <n v="263"/>
    <n v="0"/>
    <x v="1"/>
    <n v="105"/>
    <n v="1"/>
    <n v="1"/>
    <n v="3"/>
    <x v="0"/>
  </r>
  <r>
    <n v="44"/>
    <x v="2"/>
    <x v="1"/>
    <x v="2"/>
    <n v="120"/>
    <n v="263"/>
    <n v="0"/>
    <x v="1"/>
    <n v="173"/>
    <n v="0"/>
    <n v="2"/>
    <n v="3"/>
    <x v="0"/>
  </r>
  <r>
    <n v="62"/>
    <x v="0"/>
    <x v="0"/>
    <x v="0"/>
    <n v="130"/>
    <n v="263"/>
    <n v="0"/>
    <x v="1"/>
    <n v="97"/>
    <n v="0"/>
    <n v="1"/>
    <n v="3"/>
    <x v="1"/>
  </r>
  <r>
    <n v="55"/>
    <x v="1"/>
    <x v="1"/>
    <x v="2"/>
    <n v="130"/>
    <n v="262"/>
    <n v="0"/>
    <x v="1"/>
    <n v="155"/>
    <n v="0"/>
    <n v="2"/>
    <n v="2"/>
    <x v="0"/>
  </r>
  <r>
    <n v="51"/>
    <x v="1"/>
    <x v="1"/>
    <x v="1"/>
    <n v="140"/>
    <n v="261"/>
    <n v="0"/>
    <x v="0"/>
    <n v="186"/>
    <n v="1"/>
    <n v="2"/>
    <n v="2"/>
    <x v="0"/>
  </r>
  <r>
    <n v="57"/>
    <x v="1"/>
    <x v="1"/>
    <x v="2"/>
    <n v="124"/>
    <n v="261"/>
    <n v="0"/>
    <x v="1"/>
    <n v="141"/>
    <n v="0"/>
    <n v="2"/>
    <n v="3"/>
    <x v="1"/>
  </r>
  <r>
    <n v="61"/>
    <x v="0"/>
    <x v="1"/>
    <x v="1"/>
    <n v="120"/>
    <n v="260"/>
    <n v="0"/>
    <x v="1"/>
    <n v="140"/>
    <n v="1"/>
    <n v="1"/>
    <n v="3"/>
    <x v="1"/>
  </r>
  <r>
    <n v="45"/>
    <x v="2"/>
    <x v="1"/>
    <x v="1"/>
    <n v="115"/>
    <n v="260"/>
    <n v="0"/>
    <x v="0"/>
    <n v="185"/>
    <n v="0"/>
    <n v="2"/>
    <n v="2"/>
    <x v="0"/>
  </r>
  <r>
    <n v="58"/>
    <x v="1"/>
    <x v="1"/>
    <x v="1"/>
    <n v="128"/>
    <n v="259"/>
    <n v="0"/>
    <x v="0"/>
    <n v="130"/>
    <n v="1"/>
    <n v="1"/>
    <n v="3"/>
    <x v="1"/>
  </r>
  <r>
    <n v="54"/>
    <x v="1"/>
    <x v="1"/>
    <x v="0"/>
    <n v="120"/>
    <n v="258"/>
    <n v="0"/>
    <x v="0"/>
    <n v="147"/>
    <n v="0"/>
    <n v="1"/>
    <n v="3"/>
    <x v="0"/>
  </r>
  <r>
    <n v="60"/>
    <x v="0"/>
    <x v="1"/>
    <x v="1"/>
    <n v="125"/>
    <n v="258"/>
    <n v="0"/>
    <x v="0"/>
    <n v="141"/>
    <n v="1"/>
    <n v="1"/>
    <n v="3"/>
    <x v="1"/>
  </r>
  <r>
    <n v="60"/>
    <x v="0"/>
    <x v="0"/>
    <x v="1"/>
    <n v="150"/>
    <n v="258"/>
    <n v="0"/>
    <x v="0"/>
    <n v="157"/>
    <n v="0"/>
    <n v="1"/>
    <n v="3"/>
    <x v="1"/>
  </r>
  <r>
    <n v="47"/>
    <x v="2"/>
    <x v="1"/>
    <x v="0"/>
    <n v="138"/>
    <n v="257"/>
    <n v="0"/>
    <x v="0"/>
    <n v="156"/>
    <n v="0"/>
    <n v="2"/>
    <n v="2"/>
    <x v="0"/>
  </r>
  <r>
    <n v="56"/>
    <x v="1"/>
    <x v="1"/>
    <x v="0"/>
    <n v="130"/>
    <n v="256"/>
    <n v="1"/>
    <x v="0"/>
    <n v="142"/>
    <n v="1"/>
    <n v="1"/>
    <n v="1"/>
    <x v="1"/>
  </r>
  <r>
    <n v="48"/>
    <x v="2"/>
    <x v="1"/>
    <x v="1"/>
    <n v="130"/>
    <n v="256"/>
    <n v="1"/>
    <x v="0"/>
    <n v="150"/>
    <n v="1"/>
    <n v="2"/>
    <n v="3"/>
    <x v="1"/>
  </r>
  <r>
    <n v="51"/>
    <x v="1"/>
    <x v="0"/>
    <x v="0"/>
    <n v="130"/>
    <n v="256"/>
    <n v="0"/>
    <x v="0"/>
    <n v="149"/>
    <n v="0"/>
    <n v="2"/>
    <n v="2"/>
    <x v="0"/>
  </r>
  <r>
    <n v="48"/>
    <x v="2"/>
    <x v="1"/>
    <x v="0"/>
    <n v="124"/>
    <n v="255"/>
    <n v="1"/>
    <x v="1"/>
    <n v="175"/>
    <n v="0"/>
    <n v="2"/>
    <n v="2"/>
    <x v="0"/>
  </r>
  <r>
    <n v="52"/>
    <x v="1"/>
    <x v="1"/>
    <x v="1"/>
    <n v="128"/>
    <n v="255"/>
    <n v="0"/>
    <x v="1"/>
    <n v="161"/>
    <n v="1"/>
    <n v="2"/>
    <n v="3"/>
    <x v="1"/>
  </r>
  <r>
    <n v="50"/>
    <x v="1"/>
    <x v="0"/>
    <x v="1"/>
    <n v="110"/>
    <n v="254"/>
    <n v="0"/>
    <x v="0"/>
    <n v="159"/>
    <n v="0"/>
    <n v="2"/>
    <n v="2"/>
    <x v="0"/>
  </r>
  <r>
    <n v="67"/>
    <x v="0"/>
    <x v="1"/>
    <x v="1"/>
    <n v="125"/>
    <n v="254"/>
    <n v="1"/>
    <x v="1"/>
    <n v="163"/>
    <n v="0"/>
    <n v="1"/>
    <n v="3"/>
    <x v="1"/>
  </r>
  <r>
    <n v="63"/>
    <x v="0"/>
    <x v="1"/>
    <x v="1"/>
    <n v="130"/>
    <n v="254"/>
    <n v="0"/>
    <x v="0"/>
    <n v="147"/>
    <n v="0"/>
    <n v="1"/>
    <n v="3"/>
    <x v="1"/>
  </r>
  <r>
    <n v="65"/>
    <x v="0"/>
    <x v="1"/>
    <x v="1"/>
    <n v="135"/>
    <n v="254"/>
    <n v="0"/>
    <x v="0"/>
    <n v="127"/>
    <n v="0"/>
    <n v="1"/>
    <n v="3"/>
    <x v="1"/>
  </r>
  <r>
    <n v="69"/>
    <x v="0"/>
    <x v="1"/>
    <x v="0"/>
    <n v="140"/>
    <n v="254"/>
    <n v="0"/>
    <x v="0"/>
    <n v="146"/>
    <n v="0"/>
    <n v="1"/>
    <n v="3"/>
    <x v="1"/>
  </r>
  <r>
    <n v="60"/>
    <x v="0"/>
    <x v="1"/>
    <x v="1"/>
    <n v="130"/>
    <n v="253"/>
    <n v="0"/>
    <x v="1"/>
    <n v="144"/>
    <n v="1"/>
    <n v="2"/>
    <n v="3"/>
    <x v="1"/>
  </r>
  <r>
    <n v="47"/>
    <x v="2"/>
    <x v="1"/>
    <x v="0"/>
    <n v="130"/>
    <n v="253"/>
    <n v="0"/>
    <x v="1"/>
    <n v="179"/>
    <n v="0"/>
    <n v="2"/>
    <n v="2"/>
    <x v="0"/>
  </r>
  <r>
    <n v="63"/>
    <x v="0"/>
    <x v="0"/>
    <x v="0"/>
    <n v="135"/>
    <n v="252"/>
    <n v="0"/>
    <x v="0"/>
    <n v="172"/>
    <n v="0"/>
    <n v="2"/>
    <n v="2"/>
    <x v="0"/>
  </r>
  <r>
    <n v="41"/>
    <x v="2"/>
    <x v="1"/>
    <x v="0"/>
    <n v="112"/>
    <n v="250"/>
    <n v="0"/>
    <x v="1"/>
    <n v="179"/>
    <n v="0"/>
    <n v="2"/>
    <n v="2"/>
    <x v="0"/>
  </r>
  <r>
    <n v="37"/>
    <x v="4"/>
    <x v="1"/>
    <x v="0"/>
    <n v="130"/>
    <n v="250"/>
    <n v="0"/>
    <x v="1"/>
    <n v="187"/>
    <n v="0"/>
    <n v="0"/>
    <n v="2"/>
    <x v="0"/>
  </r>
  <r>
    <n v="55"/>
    <x v="1"/>
    <x v="0"/>
    <x v="2"/>
    <n v="135"/>
    <n v="250"/>
    <n v="0"/>
    <x v="0"/>
    <n v="161"/>
    <n v="0"/>
    <n v="1"/>
    <n v="2"/>
    <x v="0"/>
  </r>
  <r>
    <n v="46"/>
    <x v="2"/>
    <x v="1"/>
    <x v="1"/>
    <n v="120"/>
    <n v="249"/>
    <n v="0"/>
    <x v="0"/>
    <n v="144"/>
    <n v="0"/>
    <n v="2"/>
    <n v="3"/>
    <x v="1"/>
  </r>
  <r>
    <n v="56"/>
    <x v="1"/>
    <x v="1"/>
    <x v="1"/>
    <n v="125"/>
    <n v="249"/>
    <n v="1"/>
    <x v="0"/>
    <n v="144"/>
    <n v="1"/>
    <n v="1"/>
    <n v="2"/>
    <x v="1"/>
  </r>
  <r>
    <n v="59"/>
    <x v="1"/>
    <x v="0"/>
    <x v="1"/>
    <n v="174"/>
    <n v="249"/>
    <n v="0"/>
    <x v="1"/>
    <n v="143"/>
    <n v="1"/>
    <n v="1"/>
    <n v="2"/>
    <x v="1"/>
  </r>
  <r>
    <n v="58"/>
    <x v="1"/>
    <x v="0"/>
    <x v="1"/>
    <n v="100"/>
    <n v="248"/>
    <n v="0"/>
    <x v="0"/>
    <n v="122"/>
    <n v="0"/>
    <n v="1"/>
    <n v="2"/>
    <x v="0"/>
  </r>
  <r>
    <n v="65"/>
    <x v="0"/>
    <x v="1"/>
    <x v="1"/>
    <n v="110"/>
    <n v="248"/>
    <n v="0"/>
    <x v="0"/>
    <n v="158"/>
    <n v="0"/>
    <n v="2"/>
    <n v="1"/>
    <x v="1"/>
  </r>
  <r>
    <n v="43"/>
    <x v="2"/>
    <x v="1"/>
    <x v="1"/>
    <n v="132"/>
    <n v="247"/>
    <n v="1"/>
    <x v="0"/>
    <n v="143"/>
    <n v="1"/>
    <n v="1"/>
    <n v="3"/>
    <x v="1"/>
  </r>
  <r>
    <n v="43"/>
    <x v="2"/>
    <x v="1"/>
    <x v="1"/>
    <n v="150"/>
    <n v="247"/>
    <n v="0"/>
    <x v="1"/>
    <n v="171"/>
    <n v="0"/>
    <n v="2"/>
    <n v="2"/>
    <x v="0"/>
  </r>
  <r>
    <n v="64"/>
    <x v="0"/>
    <x v="1"/>
    <x v="1"/>
    <n v="120"/>
    <n v="246"/>
    <n v="0"/>
    <x v="0"/>
    <n v="96"/>
    <n v="1"/>
    <n v="0"/>
    <n v="2"/>
    <x v="1"/>
  </r>
  <r>
    <n v="66"/>
    <x v="0"/>
    <x v="1"/>
    <x v="2"/>
    <n v="160"/>
    <n v="246"/>
    <n v="0"/>
    <x v="1"/>
    <n v="120"/>
    <n v="1"/>
    <n v="1"/>
    <n v="1"/>
    <x v="1"/>
  </r>
  <r>
    <n v="53"/>
    <x v="1"/>
    <x v="1"/>
    <x v="0"/>
    <n v="130"/>
    <n v="246"/>
    <n v="1"/>
    <x v="0"/>
    <n v="173"/>
    <n v="0"/>
    <n v="2"/>
    <n v="2"/>
    <x v="0"/>
  </r>
  <r>
    <n v="48"/>
    <x v="2"/>
    <x v="1"/>
    <x v="2"/>
    <n v="130"/>
    <n v="245"/>
    <n v="0"/>
    <x v="0"/>
    <n v="180"/>
    <n v="0"/>
    <n v="1"/>
    <n v="2"/>
    <x v="0"/>
  </r>
  <r>
    <n v="51"/>
    <x v="1"/>
    <x v="1"/>
    <x v="0"/>
    <n v="125"/>
    <n v="245"/>
    <n v="1"/>
    <x v="0"/>
    <n v="166"/>
    <n v="0"/>
    <n v="1"/>
    <n v="2"/>
    <x v="0"/>
  </r>
  <r>
    <n v="70"/>
    <x v="3"/>
    <x v="1"/>
    <x v="2"/>
    <n v="156"/>
    <n v="245"/>
    <n v="0"/>
    <x v="0"/>
    <n v="143"/>
    <n v="0"/>
    <n v="2"/>
    <n v="2"/>
    <x v="0"/>
  </r>
  <r>
    <n v="50"/>
    <x v="1"/>
    <x v="0"/>
    <x v="2"/>
    <n v="120"/>
    <n v="244"/>
    <n v="0"/>
    <x v="1"/>
    <n v="162"/>
    <n v="0"/>
    <n v="2"/>
    <n v="2"/>
    <x v="0"/>
  </r>
  <r>
    <n v="42"/>
    <x v="2"/>
    <x v="1"/>
    <x v="3"/>
    <n v="148"/>
    <n v="244"/>
    <n v="0"/>
    <x v="0"/>
    <n v="178"/>
    <n v="0"/>
    <n v="2"/>
    <n v="2"/>
    <x v="0"/>
  </r>
  <r>
    <n v="62"/>
    <x v="0"/>
    <x v="0"/>
    <x v="1"/>
    <n v="150"/>
    <n v="244"/>
    <n v="0"/>
    <x v="1"/>
    <n v="154"/>
    <n v="1"/>
    <n v="1"/>
    <n v="2"/>
    <x v="1"/>
  </r>
  <r>
    <n v="50"/>
    <x v="1"/>
    <x v="1"/>
    <x v="1"/>
    <n v="150"/>
    <n v="243"/>
    <n v="0"/>
    <x v="0"/>
    <n v="128"/>
    <n v="0"/>
    <n v="1"/>
    <n v="3"/>
    <x v="1"/>
  </r>
  <r>
    <n v="61"/>
    <x v="0"/>
    <x v="1"/>
    <x v="0"/>
    <n v="150"/>
    <n v="243"/>
    <n v="1"/>
    <x v="1"/>
    <n v="137"/>
    <n v="1"/>
    <n v="1"/>
    <n v="2"/>
    <x v="0"/>
  </r>
  <r>
    <n v="46"/>
    <x v="2"/>
    <x v="0"/>
    <x v="1"/>
    <n v="138"/>
    <n v="243"/>
    <n v="0"/>
    <x v="0"/>
    <n v="152"/>
    <n v="1"/>
    <n v="1"/>
    <n v="2"/>
    <x v="0"/>
  </r>
  <r>
    <n v="47"/>
    <x v="2"/>
    <x v="1"/>
    <x v="0"/>
    <n v="108"/>
    <n v="243"/>
    <n v="0"/>
    <x v="1"/>
    <n v="152"/>
    <n v="0"/>
    <n v="2"/>
    <n v="2"/>
    <x v="1"/>
  </r>
  <r>
    <n v="44"/>
    <x v="2"/>
    <x v="0"/>
    <x v="0"/>
    <n v="118"/>
    <n v="242"/>
    <n v="0"/>
    <x v="1"/>
    <n v="149"/>
    <n v="0"/>
    <n v="1"/>
    <n v="2"/>
    <x v="0"/>
  </r>
  <r>
    <n v="57"/>
    <x v="1"/>
    <x v="0"/>
    <x v="1"/>
    <n v="140"/>
    <n v="241"/>
    <n v="0"/>
    <x v="1"/>
    <n v="123"/>
    <n v="1"/>
    <n v="1"/>
    <n v="3"/>
    <x v="1"/>
  </r>
  <r>
    <n v="60"/>
    <x v="0"/>
    <x v="0"/>
    <x v="3"/>
    <n v="150"/>
    <n v="240"/>
    <n v="0"/>
    <x v="1"/>
    <n v="171"/>
    <n v="0"/>
    <n v="2"/>
    <n v="2"/>
    <x v="0"/>
  </r>
  <r>
    <n v="56"/>
    <x v="1"/>
    <x v="1"/>
    <x v="2"/>
    <n v="120"/>
    <n v="240"/>
    <n v="0"/>
    <x v="1"/>
    <n v="169"/>
    <n v="0"/>
    <n v="0"/>
    <n v="2"/>
    <x v="0"/>
  </r>
  <r>
    <n v="42"/>
    <x v="2"/>
    <x v="1"/>
    <x v="0"/>
    <n v="120"/>
    <n v="240"/>
    <n v="1"/>
    <x v="1"/>
    <n v="194"/>
    <n v="0"/>
    <n v="0"/>
    <n v="3"/>
    <x v="0"/>
  </r>
  <r>
    <n v="58"/>
    <x v="1"/>
    <x v="1"/>
    <x v="0"/>
    <n v="105"/>
    <n v="240"/>
    <n v="0"/>
    <x v="0"/>
    <n v="154"/>
    <n v="1"/>
    <n v="1"/>
    <n v="3"/>
    <x v="0"/>
  </r>
  <r>
    <n v="59"/>
    <x v="1"/>
    <x v="1"/>
    <x v="1"/>
    <n v="110"/>
    <n v="239"/>
    <n v="0"/>
    <x v="0"/>
    <n v="142"/>
    <n v="1"/>
    <n v="1"/>
    <n v="3"/>
    <x v="1"/>
  </r>
  <r>
    <n v="54"/>
    <x v="1"/>
    <x v="1"/>
    <x v="1"/>
    <n v="110"/>
    <n v="239"/>
    <n v="0"/>
    <x v="1"/>
    <n v="126"/>
    <n v="1"/>
    <n v="1"/>
    <n v="3"/>
    <x v="1"/>
  </r>
  <r>
    <n v="54"/>
    <x v="1"/>
    <x v="1"/>
    <x v="1"/>
    <n v="140"/>
    <n v="239"/>
    <n v="0"/>
    <x v="1"/>
    <n v="160"/>
    <n v="0"/>
    <n v="2"/>
    <n v="2"/>
    <x v="0"/>
  </r>
  <r>
    <n v="69"/>
    <x v="0"/>
    <x v="0"/>
    <x v="3"/>
    <n v="140"/>
    <n v="239"/>
    <n v="0"/>
    <x v="1"/>
    <n v="151"/>
    <n v="0"/>
    <n v="2"/>
    <n v="2"/>
    <x v="0"/>
  </r>
  <r>
    <n v="67"/>
    <x v="0"/>
    <x v="1"/>
    <x v="1"/>
    <n v="120"/>
    <n v="237"/>
    <n v="0"/>
    <x v="1"/>
    <n v="71"/>
    <n v="0"/>
    <n v="1"/>
    <n v="2"/>
    <x v="1"/>
  </r>
  <r>
    <n v="45"/>
    <x v="2"/>
    <x v="0"/>
    <x v="1"/>
    <n v="138"/>
    <n v="236"/>
    <n v="0"/>
    <x v="0"/>
    <n v="152"/>
    <n v="1"/>
    <n v="1"/>
    <n v="2"/>
    <x v="0"/>
  </r>
  <r>
    <n v="56"/>
    <x v="1"/>
    <x v="1"/>
    <x v="2"/>
    <n v="120"/>
    <n v="236"/>
    <n v="0"/>
    <x v="1"/>
    <n v="178"/>
    <n v="0"/>
    <n v="2"/>
    <n v="2"/>
    <x v="0"/>
  </r>
  <r>
    <n v="57"/>
    <x v="1"/>
    <x v="0"/>
    <x v="2"/>
    <n v="130"/>
    <n v="236"/>
    <n v="0"/>
    <x v="0"/>
    <n v="174"/>
    <n v="0"/>
    <n v="1"/>
    <n v="2"/>
    <x v="1"/>
  </r>
  <r>
    <n v="41"/>
    <x v="2"/>
    <x v="1"/>
    <x v="2"/>
    <n v="110"/>
    <n v="235"/>
    <n v="0"/>
    <x v="1"/>
    <n v="153"/>
    <n v="0"/>
    <n v="2"/>
    <n v="2"/>
    <x v="0"/>
  </r>
  <r>
    <n v="44"/>
    <x v="2"/>
    <x v="1"/>
    <x v="0"/>
    <n v="140"/>
    <n v="235"/>
    <n v="0"/>
    <x v="0"/>
    <n v="180"/>
    <n v="0"/>
    <n v="2"/>
    <n v="2"/>
    <x v="0"/>
  </r>
  <r>
    <n v="61"/>
    <x v="0"/>
    <x v="1"/>
    <x v="3"/>
    <n v="134"/>
    <n v="234"/>
    <n v="0"/>
    <x v="1"/>
    <n v="145"/>
    <n v="0"/>
    <n v="1"/>
    <n v="2"/>
    <x v="1"/>
  </r>
  <r>
    <n v="69"/>
    <x v="0"/>
    <x v="1"/>
    <x v="3"/>
    <n v="160"/>
    <n v="234"/>
    <n v="1"/>
    <x v="0"/>
    <n v="131"/>
    <n v="0"/>
    <n v="1"/>
    <n v="2"/>
    <x v="0"/>
  </r>
  <r>
    <n v="58"/>
    <x v="1"/>
    <x v="1"/>
    <x v="1"/>
    <n v="100"/>
    <n v="234"/>
    <n v="0"/>
    <x v="1"/>
    <n v="156"/>
    <n v="0"/>
    <n v="2"/>
    <n v="3"/>
    <x v="1"/>
  </r>
  <r>
    <n v="45"/>
    <x v="2"/>
    <x v="0"/>
    <x v="2"/>
    <n v="130"/>
    <n v="234"/>
    <n v="0"/>
    <x v="0"/>
    <n v="175"/>
    <n v="0"/>
    <n v="1"/>
    <n v="2"/>
    <x v="0"/>
  </r>
  <r>
    <n v="59"/>
    <x v="1"/>
    <x v="1"/>
    <x v="1"/>
    <n v="135"/>
    <n v="234"/>
    <n v="0"/>
    <x v="1"/>
    <n v="161"/>
    <n v="0"/>
    <n v="1"/>
    <n v="3"/>
    <x v="0"/>
  </r>
  <r>
    <n v="53"/>
    <x v="1"/>
    <x v="0"/>
    <x v="1"/>
    <n v="138"/>
    <n v="234"/>
    <n v="0"/>
    <x v="0"/>
    <n v="160"/>
    <n v="0"/>
    <n v="2"/>
    <n v="2"/>
    <x v="0"/>
  </r>
  <r>
    <n v="44"/>
    <x v="2"/>
    <x v="1"/>
    <x v="0"/>
    <n v="130"/>
    <n v="233"/>
    <n v="0"/>
    <x v="1"/>
    <n v="179"/>
    <n v="1"/>
    <n v="2"/>
    <n v="2"/>
    <x v="0"/>
  </r>
  <r>
    <n v="50"/>
    <x v="1"/>
    <x v="1"/>
    <x v="0"/>
    <n v="140"/>
    <n v="233"/>
    <n v="0"/>
    <x v="1"/>
    <n v="163"/>
    <n v="0"/>
    <n v="1"/>
    <n v="3"/>
    <x v="1"/>
  </r>
  <r>
    <n v="52"/>
    <x v="1"/>
    <x v="1"/>
    <x v="1"/>
    <n v="108"/>
    <n v="233"/>
    <n v="1"/>
    <x v="1"/>
    <n v="147"/>
    <n v="0"/>
    <n v="2"/>
    <n v="3"/>
    <x v="0"/>
  </r>
  <r>
    <n v="63"/>
    <x v="0"/>
    <x v="1"/>
    <x v="3"/>
    <n v="145"/>
    <n v="233"/>
    <n v="1"/>
    <x v="0"/>
    <n v="150"/>
    <n v="0"/>
    <n v="0"/>
    <n v="1"/>
    <x v="0"/>
  </r>
  <r>
    <n v="57"/>
    <x v="1"/>
    <x v="1"/>
    <x v="2"/>
    <n v="154"/>
    <n v="232"/>
    <n v="0"/>
    <x v="0"/>
    <n v="164"/>
    <n v="0"/>
    <n v="2"/>
    <n v="2"/>
    <x v="1"/>
  </r>
  <r>
    <n v="54"/>
    <x v="1"/>
    <x v="1"/>
    <x v="0"/>
    <n v="150"/>
    <n v="232"/>
    <n v="0"/>
    <x v="0"/>
    <n v="165"/>
    <n v="0"/>
    <n v="2"/>
    <n v="3"/>
    <x v="0"/>
  </r>
  <r>
    <n v="46"/>
    <x v="2"/>
    <x v="1"/>
    <x v="0"/>
    <n v="150"/>
    <n v="231"/>
    <n v="0"/>
    <x v="1"/>
    <n v="147"/>
    <n v="0"/>
    <n v="1"/>
    <n v="2"/>
    <x v="1"/>
  </r>
  <r>
    <n v="62"/>
    <x v="0"/>
    <x v="1"/>
    <x v="0"/>
    <n v="130"/>
    <n v="231"/>
    <n v="0"/>
    <x v="1"/>
    <n v="146"/>
    <n v="0"/>
    <n v="1"/>
    <n v="3"/>
    <x v="0"/>
  </r>
  <r>
    <n v="38"/>
    <x v="4"/>
    <x v="1"/>
    <x v="3"/>
    <n v="120"/>
    <n v="231"/>
    <n v="0"/>
    <x v="1"/>
    <n v="182"/>
    <n v="1"/>
    <n v="1"/>
    <n v="3"/>
    <x v="1"/>
  </r>
  <r>
    <n v="60"/>
    <x v="0"/>
    <x v="1"/>
    <x v="1"/>
    <n v="117"/>
    <n v="230"/>
    <n v="1"/>
    <x v="1"/>
    <n v="160"/>
    <n v="1"/>
    <n v="2"/>
    <n v="3"/>
    <x v="1"/>
  </r>
  <r>
    <n v="58"/>
    <x v="1"/>
    <x v="1"/>
    <x v="0"/>
    <n v="112"/>
    <n v="230"/>
    <n v="0"/>
    <x v="0"/>
    <n v="165"/>
    <n v="0"/>
    <n v="1"/>
    <n v="3"/>
    <x v="1"/>
  </r>
  <r>
    <n v="52"/>
    <x v="1"/>
    <x v="1"/>
    <x v="1"/>
    <n v="112"/>
    <n v="230"/>
    <n v="0"/>
    <x v="1"/>
    <n v="160"/>
    <n v="0"/>
    <n v="2"/>
    <n v="2"/>
    <x v="1"/>
  </r>
  <r>
    <n v="57"/>
    <x v="1"/>
    <x v="1"/>
    <x v="0"/>
    <n v="128"/>
    <n v="229"/>
    <n v="0"/>
    <x v="0"/>
    <n v="150"/>
    <n v="0"/>
    <n v="1"/>
    <n v="3"/>
    <x v="1"/>
  </r>
  <r>
    <n v="48"/>
    <x v="2"/>
    <x v="1"/>
    <x v="2"/>
    <n v="110"/>
    <n v="229"/>
    <n v="0"/>
    <x v="1"/>
    <n v="168"/>
    <n v="0"/>
    <n v="0"/>
    <n v="3"/>
    <x v="1"/>
  </r>
  <r>
    <n v="67"/>
    <x v="0"/>
    <x v="1"/>
    <x v="1"/>
    <n v="120"/>
    <n v="229"/>
    <n v="0"/>
    <x v="0"/>
    <n v="129"/>
    <n v="1"/>
    <n v="1"/>
    <n v="3"/>
    <x v="1"/>
  </r>
  <r>
    <n v="66"/>
    <x v="0"/>
    <x v="0"/>
    <x v="1"/>
    <n v="178"/>
    <n v="228"/>
    <n v="1"/>
    <x v="1"/>
    <n v="165"/>
    <n v="1"/>
    <n v="1"/>
    <n v="3"/>
    <x v="1"/>
  </r>
  <r>
    <n v="66"/>
    <x v="0"/>
    <x v="1"/>
    <x v="1"/>
    <n v="160"/>
    <n v="228"/>
    <n v="0"/>
    <x v="0"/>
    <n v="138"/>
    <n v="0"/>
    <n v="2"/>
    <n v="1"/>
    <x v="0"/>
  </r>
  <r>
    <n v="64"/>
    <x v="0"/>
    <x v="1"/>
    <x v="3"/>
    <n v="170"/>
    <n v="227"/>
    <n v="0"/>
    <x v="0"/>
    <n v="155"/>
    <n v="0"/>
    <n v="1"/>
    <n v="3"/>
    <x v="0"/>
  </r>
  <r>
    <n v="51"/>
    <x v="1"/>
    <x v="1"/>
    <x v="0"/>
    <n v="94"/>
    <n v="227"/>
    <n v="0"/>
    <x v="1"/>
    <n v="154"/>
    <n v="1"/>
    <n v="2"/>
    <n v="3"/>
    <x v="0"/>
  </r>
  <r>
    <n v="42"/>
    <x v="2"/>
    <x v="1"/>
    <x v="1"/>
    <n v="140"/>
    <n v="226"/>
    <n v="0"/>
    <x v="1"/>
    <n v="178"/>
    <n v="0"/>
    <n v="2"/>
    <n v="2"/>
    <x v="0"/>
  </r>
  <r>
    <n v="53"/>
    <x v="1"/>
    <x v="1"/>
    <x v="1"/>
    <n v="142"/>
    <n v="226"/>
    <n v="0"/>
    <x v="0"/>
    <n v="111"/>
    <n v="1"/>
    <n v="2"/>
    <n v="3"/>
    <x v="0"/>
  </r>
  <r>
    <n v="44"/>
    <x v="2"/>
    <x v="1"/>
    <x v="0"/>
    <n v="120"/>
    <n v="226"/>
    <n v="0"/>
    <x v="1"/>
    <n v="169"/>
    <n v="0"/>
    <n v="2"/>
    <n v="2"/>
    <x v="0"/>
  </r>
  <r>
    <n v="66"/>
    <x v="0"/>
    <x v="0"/>
    <x v="3"/>
    <n v="150"/>
    <n v="226"/>
    <n v="0"/>
    <x v="1"/>
    <n v="114"/>
    <n v="0"/>
    <n v="0"/>
    <n v="2"/>
    <x v="0"/>
  </r>
  <r>
    <n v="58"/>
    <x v="1"/>
    <x v="0"/>
    <x v="1"/>
    <n v="170"/>
    <n v="225"/>
    <n v="1"/>
    <x v="0"/>
    <n v="146"/>
    <n v="1"/>
    <n v="1"/>
    <n v="1"/>
    <x v="1"/>
  </r>
  <r>
    <n v="65"/>
    <x v="0"/>
    <x v="0"/>
    <x v="1"/>
    <n v="150"/>
    <n v="225"/>
    <n v="0"/>
    <x v="0"/>
    <n v="114"/>
    <n v="0"/>
    <n v="1"/>
    <n v="3"/>
    <x v="1"/>
  </r>
  <r>
    <n v="58"/>
    <x v="1"/>
    <x v="1"/>
    <x v="0"/>
    <n v="132"/>
    <n v="224"/>
    <n v="0"/>
    <x v="0"/>
    <n v="173"/>
    <n v="0"/>
    <n v="2"/>
    <n v="3"/>
    <x v="1"/>
  </r>
  <r>
    <n v="67"/>
    <x v="0"/>
    <x v="0"/>
    <x v="1"/>
    <n v="106"/>
    <n v="223"/>
    <n v="0"/>
    <x v="1"/>
    <n v="142"/>
    <n v="0"/>
    <n v="2"/>
    <n v="2"/>
    <x v="0"/>
  </r>
  <r>
    <n v="40"/>
    <x v="2"/>
    <x v="1"/>
    <x v="1"/>
    <n v="152"/>
    <n v="223"/>
    <n v="0"/>
    <x v="1"/>
    <n v="181"/>
    <n v="0"/>
    <n v="2"/>
    <n v="3"/>
    <x v="1"/>
  </r>
  <r>
    <n v="52"/>
    <x v="1"/>
    <x v="1"/>
    <x v="0"/>
    <n v="138"/>
    <n v="223"/>
    <n v="0"/>
    <x v="1"/>
    <n v="169"/>
    <n v="0"/>
    <n v="2"/>
    <n v="2"/>
    <x v="0"/>
  </r>
  <r>
    <n v="51"/>
    <x v="1"/>
    <x v="1"/>
    <x v="0"/>
    <n v="100"/>
    <n v="222"/>
    <n v="0"/>
    <x v="1"/>
    <n v="143"/>
    <n v="1"/>
    <n v="1"/>
    <n v="2"/>
    <x v="0"/>
  </r>
  <r>
    <n v="48"/>
    <x v="2"/>
    <x v="1"/>
    <x v="1"/>
    <n v="122"/>
    <n v="222"/>
    <n v="0"/>
    <x v="0"/>
    <n v="186"/>
    <n v="0"/>
    <n v="2"/>
    <n v="2"/>
    <x v="0"/>
  </r>
  <r>
    <n v="59"/>
    <x v="1"/>
    <x v="1"/>
    <x v="2"/>
    <n v="140"/>
    <n v="221"/>
    <n v="0"/>
    <x v="1"/>
    <n v="164"/>
    <n v="1"/>
    <n v="2"/>
    <n v="2"/>
    <x v="0"/>
  </r>
  <r>
    <n v="56"/>
    <x v="1"/>
    <x v="1"/>
    <x v="2"/>
    <n v="130"/>
    <n v="221"/>
    <n v="0"/>
    <x v="0"/>
    <n v="163"/>
    <n v="0"/>
    <n v="2"/>
    <n v="3"/>
    <x v="0"/>
  </r>
  <r>
    <n v="44"/>
    <x v="2"/>
    <x v="1"/>
    <x v="2"/>
    <n v="120"/>
    <n v="220"/>
    <n v="0"/>
    <x v="1"/>
    <n v="170"/>
    <n v="0"/>
    <n v="2"/>
    <n v="2"/>
    <x v="0"/>
  </r>
  <r>
    <n v="39"/>
    <x v="4"/>
    <x v="0"/>
    <x v="0"/>
    <n v="138"/>
    <n v="220"/>
    <n v="0"/>
    <x v="1"/>
    <n v="152"/>
    <n v="0"/>
    <n v="1"/>
    <n v="2"/>
    <x v="0"/>
  </r>
  <r>
    <n v="58"/>
    <x v="1"/>
    <x v="1"/>
    <x v="2"/>
    <n v="125"/>
    <n v="220"/>
    <n v="0"/>
    <x v="1"/>
    <n v="144"/>
    <n v="0"/>
    <n v="1"/>
    <n v="3"/>
    <x v="0"/>
  </r>
  <r>
    <n v="44"/>
    <x v="2"/>
    <x v="1"/>
    <x v="2"/>
    <n v="130"/>
    <n v="219"/>
    <n v="0"/>
    <x v="0"/>
    <n v="188"/>
    <n v="0"/>
    <n v="2"/>
    <n v="2"/>
    <x v="0"/>
  </r>
  <r>
    <n v="50"/>
    <x v="1"/>
    <x v="0"/>
    <x v="0"/>
    <n v="120"/>
    <n v="219"/>
    <n v="0"/>
    <x v="1"/>
    <n v="158"/>
    <n v="0"/>
    <n v="1"/>
    <n v="2"/>
    <x v="0"/>
  </r>
  <r>
    <n v="39"/>
    <x v="4"/>
    <x v="1"/>
    <x v="1"/>
    <n v="118"/>
    <n v="219"/>
    <n v="0"/>
    <x v="1"/>
    <n v="140"/>
    <n v="0"/>
    <n v="1"/>
    <n v="3"/>
    <x v="1"/>
  </r>
  <r>
    <n v="59"/>
    <x v="1"/>
    <x v="1"/>
    <x v="0"/>
    <n v="126"/>
    <n v="218"/>
    <n v="1"/>
    <x v="1"/>
    <n v="134"/>
    <n v="0"/>
    <n v="1"/>
    <n v="1"/>
    <x v="1"/>
  </r>
  <r>
    <n v="58"/>
    <x v="1"/>
    <x v="1"/>
    <x v="1"/>
    <n v="146"/>
    <n v="218"/>
    <n v="0"/>
    <x v="1"/>
    <n v="105"/>
    <n v="0"/>
    <n v="1"/>
    <n v="3"/>
    <x v="1"/>
  </r>
  <r>
    <n v="55"/>
    <x v="1"/>
    <x v="1"/>
    <x v="1"/>
    <n v="140"/>
    <n v="217"/>
    <n v="0"/>
    <x v="1"/>
    <n v="111"/>
    <n v="1"/>
    <n v="0"/>
    <n v="3"/>
    <x v="1"/>
  </r>
  <r>
    <n v="58"/>
    <x v="1"/>
    <x v="1"/>
    <x v="1"/>
    <n v="128"/>
    <n v="216"/>
    <n v="0"/>
    <x v="0"/>
    <n v="131"/>
    <n v="1"/>
    <n v="1"/>
    <n v="3"/>
    <x v="1"/>
  </r>
  <r>
    <n v="53"/>
    <x v="1"/>
    <x v="0"/>
    <x v="0"/>
    <n v="128"/>
    <n v="216"/>
    <n v="0"/>
    <x v="0"/>
    <n v="115"/>
    <n v="0"/>
    <n v="2"/>
    <n v="0"/>
    <x v="0"/>
  </r>
  <r>
    <n v="37"/>
    <x v="4"/>
    <x v="0"/>
    <x v="0"/>
    <n v="120"/>
    <n v="215"/>
    <n v="0"/>
    <x v="1"/>
    <n v="170"/>
    <n v="0"/>
    <n v="2"/>
    <n v="2"/>
    <x v="0"/>
  </r>
  <r>
    <n v="54"/>
    <x v="1"/>
    <x v="0"/>
    <x v="0"/>
    <n v="110"/>
    <n v="214"/>
    <n v="0"/>
    <x v="1"/>
    <n v="158"/>
    <n v="0"/>
    <n v="1"/>
    <n v="2"/>
    <x v="0"/>
  </r>
  <r>
    <n v="41"/>
    <x v="2"/>
    <x v="1"/>
    <x v="0"/>
    <n v="130"/>
    <n v="214"/>
    <n v="0"/>
    <x v="0"/>
    <n v="168"/>
    <n v="0"/>
    <n v="1"/>
    <n v="2"/>
    <x v="0"/>
  </r>
  <r>
    <n v="51"/>
    <x v="1"/>
    <x v="1"/>
    <x v="3"/>
    <n v="125"/>
    <n v="213"/>
    <n v="0"/>
    <x v="0"/>
    <n v="125"/>
    <n v="1"/>
    <n v="2"/>
    <n v="2"/>
    <x v="0"/>
  </r>
  <r>
    <n v="43"/>
    <x v="2"/>
    <x v="0"/>
    <x v="0"/>
    <n v="122"/>
    <n v="213"/>
    <n v="0"/>
    <x v="1"/>
    <n v="165"/>
    <n v="0"/>
    <n v="1"/>
    <n v="2"/>
    <x v="0"/>
  </r>
  <r>
    <n v="52"/>
    <x v="1"/>
    <x v="1"/>
    <x v="1"/>
    <n v="125"/>
    <n v="212"/>
    <n v="0"/>
    <x v="1"/>
    <n v="168"/>
    <n v="0"/>
    <n v="2"/>
    <n v="3"/>
    <x v="1"/>
  </r>
  <r>
    <n v="67"/>
    <x v="0"/>
    <x v="1"/>
    <x v="0"/>
    <n v="152"/>
    <n v="212"/>
    <n v="0"/>
    <x v="0"/>
    <n v="150"/>
    <n v="0"/>
    <n v="1"/>
    <n v="3"/>
    <x v="1"/>
  </r>
  <r>
    <n v="59"/>
    <x v="1"/>
    <x v="1"/>
    <x v="0"/>
    <n v="150"/>
    <n v="212"/>
    <n v="1"/>
    <x v="1"/>
    <n v="157"/>
    <n v="0"/>
    <n v="2"/>
    <n v="2"/>
    <x v="0"/>
  </r>
  <r>
    <n v="64"/>
    <x v="0"/>
    <x v="1"/>
    <x v="1"/>
    <n v="145"/>
    <n v="212"/>
    <n v="0"/>
    <x v="0"/>
    <n v="132"/>
    <n v="0"/>
    <n v="1"/>
    <n v="1"/>
    <x v="1"/>
  </r>
  <r>
    <n v="66"/>
    <x v="0"/>
    <x v="1"/>
    <x v="1"/>
    <n v="112"/>
    <n v="212"/>
    <n v="0"/>
    <x v="0"/>
    <n v="132"/>
    <n v="1"/>
    <n v="2"/>
    <n v="2"/>
    <x v="1"/>
  </r>
  <r>
    <n v="58"/>
    <x v="1"/>
    <x v="1"/>
    <x v="0"/>
    <n v="140"/>
    <n v="211"/>
    <n v="1"/>
    <x v="0"/>
    <n v="165"/>
    <n v="0"/>
    <n v="2"/>
    <n v="2"/>
    <x v="0"/>
  </r>
  <r>
    <n v="64"/>
    <x v="0"/>
    <x v="1"/>
    <x v="3"/>
    <n v="110"/>
    <n v="211"/>
    <n v="0"/>
    <x v="0"/>
    <n v="144"/>
    <n v="1"/>
    <n v="1"/>
    <n v="2"/>
    <x v="0"/>
  </r>
  <r>
    <n v="43"/>
    <x v="2"/>
    <x v="1"/>
    <x v="1"/>
    <n v="110"/>
    <n v="211"/>
    <n v="0"/>
    <x v="1"/>
    <n v="161"/>
    <n v="0"/>
    <n v="2"/>
    <n v="3"/>
    <x v="0"/>
  </r>
  <r>
    <n v="68"/>
    <x v="0"/>
    <x v="0"/>
    <x v="0"/>
    <n v="120"/>
    <n v="211"/>
    <n v="0"/>
    <x v="0"/>
    <n v="115"/>
    <n v="0"/>
    <n v="1"/>
    <n v="2"/>
    <x v="0"/>
  </r>
  <r>
    <n v="34"/>
    <x v="4"/>
    <x v="0"/>
    <x v="2"/>
    <n v="118"/>
    <n v="210"/>
    <n v="0"/>
    <x v="1"/>
    <n v="192"/>
    <n v="0"/>
    <n v="2"/>
    <n v="2"/>
    <x v="0"/>
  </r>
  <r>
    <n v="42"/>
    <x v="2"/>
    <x v="0"/>
    <x v="0"/>
    <n v="120"/>
    <n v="209"/>
    <n v="0"/>
    <x v="1"/>
    <n v="173"/>
    <n v="0"/>
    <n v="1"/>
    <n v="2"/>
    <x v="0"/>
  </r>
  <r>
    <n v="62"/>
    <x v="0"/>
    <x v="0"/>
    <x v="1"/>
    <n v="124"/>
    <n v="209"/>
    <n v="0"/>
    <x v="1"/>
    <n v="163"/>
    <n v="0"/>
    <n v="2"/>
    <n v="2"/>
    <x v="0"/>
  </r>
  <r>
    <n v="45"/>
    <x v="2"/>
    <x v="1"/>
    <x v="1"/>
    <n v="104"/>
    <n v="208"/>
    <n v="0"/>
    <x v="0"/>
    <n v="148"/>
    <n v="1"/>
    <n v="1"/>
    <n v="2"/>
    <x v="0"/>
  </r>
  <r>
    <n v="62"/>
    <x v="0"/>
    <x v="1"/>
    <x v="2"/>
    <n v="128"/>
    <n v="208"/>
    <n v="1"/>
    <x v="0"/>
    <n v="140"/>
    <n v="0"/>
    <n v="2"/>
    <n v="2"/>
    <x v="0"/>
  </r>
  <r>
    <n v="61"/>
    <x v="0"/>
    <x v="1"/>
    <x v="1"/>
    <n v="140"/>
    <n v="207"/>
    <n v="0"/>
    <x v="0"/>
    <n v="138"/>
    <n v="1"/>
    <n v="2"/>
    <n v="3"/>
    <x v="1"/>
  </r>
  <r>
    <n v="57"/>
    <x v="1"/>
    <x v="1"/>
    <x v="1"/>
    <n v="132"/>
    <n v="207"/>
    <n v="0"/>
    <x v="1"/>
    <n v="168"/>
    <n v="1"/>
    <n v="2"/>
    <n v="3"/>
    <x v="0"/>
  </r>
  <r>
    <n v="54"/>
    <x v="1"/>
    <x v="1"/>
    <x v="1"/>
    <n v="110"/>
    <n v="206"/>
    <n v="0"/>
    <x v="0"/>
    <n v="108"/>
    <n v="1"/>
    <n v="1"/>
    <n v="2"/>
    <x v="1"/>
  </r>
  <r>
    <n v="60"/>
    <x v="0"/>
    <x v="1"/>
    <x v="1"/>
    <n v="130"/>
    <n v="206"/>
    <n v="0"/>
    <x v="0"/>
    <n v="132"/>
    <n v="1"/>
    <n v="1"/>
    <n v="3"/>
    <x v="1"/>
  </r>
  <r>
    <n v="55"/>
    <x v="1"/>
    <x v="0"/>
    <x v="1"/>
    <n v="128"/>
    <n v="205"/>
    <n v="0"/>
    <x v="2"/>
    <n v="130"/>
    <n v="1"/>
    <n v="1"/>
    <n v="3"/>
    <x v="1"/>
  </r>
  <r>
    <n v="52"/>
    <x v="1"/>
    <x v="1"/>
    <x v="2"/>
    <n v="128"/>
    <n v="205"/>
    <n v="1"/>
    <x v="1"/>
    <n v="184"/>
    <n v="0"/>
    <n v="2"/>
    <n v="2"/>
    <x v="0"/>
  </r>
  <r>
    <n v="52"/>
    <x v="1"/>
    <x v="1"/>
    <x v="1"/>
    <n v="128"/>
    <n v="204"/>
    <n v="1"/>
    <x v="1"/>
    <n v="156"/>
    <n v="1"/>
    <n v="1"/>
    <n v="0"/>
    <x v="1"/>
  </r>
  <r>
    <n v="29"/>
    <x v="5"/>
    <x v="1"/>
    <x v="2"/>
    <n v="130"/>
    <n v="204"/>
    <n v="0"/>
    <x v="0"/>
    <n v="202"/>
    <n v="0"/>
    <n v="2"/>
    <n v="2"/>
    <x v="0"/>
  </r>
  <r>
    <n v="47"/>
    <x v="2"/>
    <x v="1"/>
    <x v="1"/>
    <n v="112"/>
    <n v="204"/>
    <n v="0"/>
    <x v="1"/>
    <n v="143"/>
    <n v="0"/>
    <n v="2"/>
    <n v="2"/>
    <x v="0"/>
  </r>
  <r>
    <n v="41"/>
    <x v="2"/>
    <x v="0"/>
    <x v="2"/>
    <n v="130"/>
    <n v="204"/>
    <n v="0"/>
    <x v="0"/>
    <n v="172"/>
    <n v="0"/>
    <n v="2"/>
    <n v="2"/>
    <x v="0"/>
  </r>
  <r>
    <n v="46"/>
    <x v="2"/>
    <x v="0"/>
    <x v="2"/>
    <n v="105"/>
    <n v="204"/>
    <n v="0"/>
    <x v="1"/>
    <n v="172"/>
    <n v="0"/>
    <n v="2"/>
    <n v="2"/>
    <x v="0"/>
  </r>
  <r>
    <n v="59"/>
    <x v="1"/>
    <x v="1"/>
    <x v="3"/>
    <n v="134"/>
    <n v="204"/>
    <n v="0"/>
    <x v="1"/>
    <n v="162"/>
    <n v="0"/>
    <n v="2"/>
    <n v="2"/>
    <x v="1"/>
  </r>
  <r>
    <n v="53"/>
    <x v="1"/>
    <x v="1"/>
    <x v="1"/>
    <n v="140"/>
    <n v="203"/>
    <n v="1"/>
    <x v="0"/>
    <n v="155"/>
    <n v="1"/>
    <n v="0"/>
    <n v="3"/>
    <x v="1"/>
  </r>
  <r>
    <n v="61"/>
    <x v="0"/>
    <x v="1"/>
    <x v="1"/>
    <n v="148"/>
    <n v="203"/>
    <n v="0"/>
    <x v="1"/>
    <n v="161"/>
    <n v="0"/>
    <n v="2"/>
    <n v="3"/>
    <x v="1"/>
  </r>
  <r>
    <n v="41"/>
    <x v="2"/>
    <x v="1"/>
    <x v="2"/>
    <n v="135"/>
    <n v="203"/>
    <n v="0"/>
    <x v="1"/>
    <n v="132"/>
    <n v="0"/>
    <n v="1"/>
    <n v="1"/>
    <x v="0"/>
  </r>
  <r>
    <n v="52"/>
    <x v="1"/>
    <x v="1"/>
    <x v="2"/>
    <n v="134"/>
    <n v="201"/>
    <n v="0"/>
    <x v="1"/>
    <n v="158"/>
    <n v="0"/>
    <n v="2"/>
    <n v="2"/>
    <x v="0"/>
  </r>
  <r>
    <n v="57"/>
    <x v="1"/>
    <x v="1"/>
    <x v="1"/>
    <n v="110"/>
    <n v="201"/>
    <n v="0"/>
    <x v="1"/>
    <n v="126"/>
    <n v="1"/>
    <n v="1"/>
    <n v="1"/>
    <x v="0"/>
  </r>
  <r>
    <n v="54"/>
    <x v="1"/>
    <x v="0"/>
    <x v="0"/>
    <n v="160"/>
    <n v="201"/>
    <n v="0"/>
    <x v="1"/>
    <n v="163"/>
    <n v="0"/>
    <n v="2"/>
    <n v="2"/>
    <x v="0"/>
  </r>
  <r>
    <n v="50"/>
    <x v="1"/>
    <x v="1"/>
    <x v="1"/>
    <n v="144"/>
    <n v="200"/>
    <n v="0"/>
    <x v="0"/>
    <n v="126"/>
    <n v="1"/>
    <n v="1"/>
    <n v="3"/>
    <x v="1"/>
  </r>
  <r>
    <n v="40"/>
    <x v="2"/>
    <x v="1"/>
    <x v="3"/>
    <n v="140"/>
    <n v="199"/>
    <n v="0"/>
    <x v="1"/>
    <n v="178"/>
    <n v="1"/>
    <n v="2"/>
    <n v="3"/>
    <x v="0"/>
  </r>
  <r>
    <n v="39"/>
    <x v="4"/>
    <x v="0"/>
    <x v="0"/>
    <n v="94"/>
    <n v="199"/>
    <n v="0"/>
    <x v="1"/>
    <n v="179"/>
    <n v="0"/>
    <n v="2"/>
    <n v="2"/>
    <x v="0"/>
  </r>
  <r>
    <n v="52"/>
    <x v="1"/>
    <x v="1"/>
    <x v="0"/>
    <n v="172"/>
    <n v="199"/>
    <n v="1"/>
    <x v="1"/>
    <n v="162"/>
    <n v="0"/>
    <n v="2"/>
    <n v="3"/>
    <x v="0"/>
  </r>
  <r>
    <n v="35"/>
    <x v="4"/>
    <x v="1"/>
    <x v="1"/>
    <n v="120"/>
    <n v="198"/>
    <n v="0"/>
    <x v="1"/>
    <n v="130"/>
    <n v="1"/>
    <n v="1"/>
    <n v="3"/>
    <x v="1"/>
  </r>
  <r>
    <n v="41"/>
    <x v="2"/>
    <x v="0"/>
    <x v="2"/>
    <n v="105"/>
    <n v="198"/>
    <n v="0"/>
    <x v="1"/>
    <n v="168"/>
    <n v="0"/>
    <n v="2"/>
    <n v="2"/>
    <x v="0"/>
  </r>
  <r>
    <n v="53"/>
    <x v="1"/>
    <x v="1"/>
    <x v="0"/>
    <n v="130"/>
    <n v="197"/>
    <n v="1"/>
    <x v="0"/>
    <n v="152"/>
    <n v="0"/>
    <n v="0"/>
    <n v="2"/>
    <x v="0"/>
  </r>
  <r>
    <n v="76"/>
    <x v="3"/>
    <x v="0"/>
    <x v="0"/>
    <n v="140"/>
    <n v="197"/>
    <n v="0"/>
    <x v="2"/>
    <n v="116"/>
    <n v="0"/>
    <n v="1"/>
    <n v="2"/>
    <x v="0"/>
  </r>
  <r>
    <n v="44"/>
    <x v="2"/>
    <x v="1"/>
    <x v="1"/>
    <n v="110"/>
    <n v="197"/>
    <n v="0"/>
    <x v="0"/>
    <n v="177"/>
    <n v="0"/>
    <n v="2"/>
    <n v="2"/>
    <x v="1"/>
  </r>
  <r>
    <n v="63"/>
    <x v="0"/>
    <x v="0"/>
    <x v="1"/>
    <n v="124"/>
    <n v="197"/>
    <n v="0"/>
    <x v="1"/>
    <n v="136"/>
    <n v="1"/>
    <n v="1"/>
    <n v="2"/>
    <x v="1"/>
  </r>
  <r>
    <n v="58"/>
    <x v="1"/>
    <x v="0"/>
    <x v="1"/>
    <n v="130"/>
    <n v="197"/>
    <n v="0"/>
    <x v="1"/>
    <n v="131"/>
    <n v="0"/>
    <n v="1"/>
    <n v="2"/>
    <x v="0"/>
  </r>
  <r>
    <n v="46"/>
    <x v="2"/>
    <x v="1"/>
    <x v="2"/>
    <n v="101"/>
    <n v="197"/>
    <n v="1"/>
    <x v="1"/>
    <n v="156"/>
    <n v="0"/>
    <n v="2"/>
    <n v="3"/>
    <x v="0"/>
  </r>
  <r>
    <n v="50"/>
    <x v="1"/>
    <x v="1"/>
    <x v="0"/>
    <n v="129"/>
    <n v="196"/>
    <n v="0"/>
    <x v="1"/>
    <n v="163"/>
    <n v="0"/>
    <n v="2"/>
    <n v="2"/>
    <x v="0"/>
  </r>
  <r>
    <n v="52"/>
    <x v="1"/>
    <x v="0"/>
    <x v="0"/>
    <n v="136"/>
    <n v="196"/>
    <n v="0"/>
    <x v="0"/>
    <n v="169"/>
    <n v="0"/>
    <n v="1"/>
    <n v="2"/>
    <x v="0"/>
  </r>
  <r>
    <n v="63"/>
    <x v="0"/>
    <x v="0"/>
    <x v="2"/>
    <n v="140"/>
    <n v="195"/>
    <n v="0"/>
    <x v="1"/>
    <n v="179"/>
    <n v="0"/>
    <n v="2"/>
    <n v="2"/>
    <x v="0"/>
  </r>
  <r>
    <n v="56"/>
    <x v="1"/>
    <x v="1"/>
    <x v="3"/>
    <n v="120"/>
    <n v="193"/>
    <n v="0"/>
    <x v="0"/>
    <n v="162"/>
    <n v="0"/>
    <n v="1"/>
    <n v="3"/>
    <x v="0"/>
  </r>
  <r>
    <n v="68"/>
    <x v="0"/>
    <x v="1"/>
    <x v="1"/>
    <n v="144"/>
    <n v="193"/>
    <n v="1"/>
    <x v="1"/>
    <n v="141"/>
    <n v="0"/>
    <n v="1"/>
    <n v="3"/>
    <x v="1"/>
  </r>
  <r>
    <n v="57"/>
    <x v="1"/>
    <x v="1"/>
    <x v="1"/>
    <n v="140"/>
    <n v="192"/>
    <n v="0"/>
    <x v="1"/>
    <n v="148"/>
    <n v="0"/>
    <n v="1"/>
    <n v="1"/>
    <x v="0"/>
  </r>
  <r>
    <n v="35"/>
    <x v="4"/>
    <x v="1"/>
    <x v="2"/>
    <n v="122"/>
    <n v="192"/>
    <n v="0"/>
    <x v="1"/>
    <n v="174"/>
    <n v="0"/>
    <n v="2"/>
    <n v="2"/>
    <x v="0"/>
  </r>
  <r>
    <n v="49"/>
    <x v="2"/>
    <x v="1"/>
    <x v="0"/>
    <n v="120"/>
    <n v="188"/>
    <n v="0"/>
    <x v="1"/>
    <n v="139"/>
    <n v="0"/>
    <n v="1"/>
    <n v="3"/>
    <x v="1"/>
  </r>
  <r>
    <n v="54"/>
    <x v="1"/>
    <x v="1"/>
    <x v="1"/>
    <n v="120"/>
    <n v="188"/>
    <n v="0"/>
    <x v="1"/>
    <n v="113"/>
    <n v="0"/>
    <n v="1"/>
    <n v="3"/>
    <x v="1"/>
  </r>
  <r>
    <n v="63"/>
    <x v="0"/>
    <x v="1"/>
    <x v="1"/>
    <n v="140"/>
    <n v="187"/>
    <n v="0"/>
    <x v="0"/>
    <n v="144"/>
    <n v="1"/>
    <n v="2"/>
    <n v="3"/>
    <x v="1"/>
  </r>
  <r>
    <n v="52"/>
    <x v="1"/>
    <x v="1"/>
    <x v="3"/>
    <n v="118"/>
    <n v="186"/>
    <n v="0"/>
    <x v="0"/>
    <n v="190"/>
    <n v="0"/>
    <n v="1"/>
    <n v="1"/>
    <x v="0"/>
  </r>
  <r>
    <n v="60"/>
    <x v="0"/>
    <x v="1"/>
    <x v="0"/>
    <n v="140"/>
    <n v="185"/>
    <n v="0"/>
    <x v="0"/>
    <n v="155"/>
    <n v="0"/>
    <n v="1"/>
    <n v="2"/>
    <x v="1"/>
  </r>
  <r>
    <n v="56"/>
    <x v="1"/>
    <x v="1"/>
    <x v="1"/>
    <n v="132"/>
    <n v="184"/>
    <n v="0"/>
    <x v="0"/>
    <n v="105"/>
    <n v="1"/>
    <n v="1"/>
    <n v="1"/>
    <x v="1"/>
  </r>
  <r>
    <n v="35"/>
    <x v="4"/>
    <x v="0"/>
    <x v="1"/>
    <n v="138"/>
    <n v="183"/>
    <n v="0"/>
    <x v="1"/>
    <n v="182"/>
    <n v="0"/>
    <n v="2"/>
    <n v="2"/>
    <x v="0"/>
  </r>
  <r>
    <n v="34"/>
    <x v="4"/>
    <x v="1"/>
    <x v="3"/>
    <n v="118"/>
    <n v="182"/>
    <n v="0"/>
    <x v="0"/>
    <n v="174"/>
    <n v="0"/>
    <n v="2"/>
    <n v="2"/>
    <x v="0"/>
  </r>
  <r>
    <n v="42"/>
    <x v="2"/>
    <x v="1"/>
    <x v="0"/>
    <n v="130"/>
    <n v="180"/>
    <n v="0"/>
    <x v="1"/>
    <n v="150"/>
    <n v="0"/>
    <n v="2"/>
    <n v="2"/>
    <x v="0"/>
  </r>
  <r>
    <n v="60"/>
    <x v="0"/>
    <x v="0"/>
    <x v="0"/>
    <n v="120"/>
    <n v="178"/>
    <n v="1"/>
    <x v="1"/>
    <n v="96"/>
    <n v="0"/>
    <n v="2"/>
    <n v="2"/>
    <x v="0"/>
  </r>
  <r>
    <n v="59"/>
    <x v="1"/>
    <x v="1"/>
    <x v="1"/>
    <n v="140"/>
    <n v="177"/>
    <n v="0"/>
    <x v="1"/>
    <n v="162"/>
    <n v="1"/>
    <n v="2"/>
    <n v="3"/>
    <x v="1"/>
  </r>
  <r>
    <n v="43"/>
    <x v="2"/>
    <x v="1"/>
    <x v="1"/>
    <n v="120"/>
    <n v="177"/>
    <n v="0"/>
    <x v="0"/>
    <n v="120"/>
    <n v="1"/>
    <n v="1"/>
    <n v="3"/>
    <x v="1"/>
  </r>
  <r>
    <n v="46"/>
    <x v="2"/>
    <x v="0"/>
    <x v="0"/>
    <n v="142"/>
    <n v="177"/>
    <n v="0"/>
    <x v="0"/>
    <n v="160"/>
    <n v="1"/>
    <n v="0"/>
    <n v="2"/>
    <x v="0"/>
  </r>
  <r>
    <n v="65"/>
    <x v="0"/>
    <x v="1"/>
    <x v="1"/>
    <n v="120"/>
    <n v="177"/>
    <n v="0"/>
    <x v="1"/>
    <n v="140"/>
    <n v="0"/>
    <n v="2"/>
    <n v="3"/>
    <x v="0"/>
  </r>
  <r>
    <n v="59"/>
    <x v="1"/>
    <x v="1"/>
    <x v="1"/>
    <n v="164"/>
    <n v="176"/>
    <n v="1"/>
    <x v="0"/>
    <n v="90"/>
    <n v="0"/>
    <n v="1"/>
    <n v="1"/>
    <x v="1"/>
  </r>
  <r>
    <n v="38"/>
    <x v="4"/>
    <x v="1"/>
    <x v="0"/>
    <n v="138"/>
    <n v="175"/>
    <n v="0"/>
    <x v="1"/>
    <n v="173"/>
    <n v="0"/>
    <n v="2"/>
    <n v="2"/>
    <x v="0"/>
  </r>
  <r>
    <n v="51"/>
    <x v="1"/>
    <x v="1"/>
    <x v="0"/>
    <n v="110"/>
    <n v="175"/>
    <n v="0"/>
    <x v="1"/>
    <n v="123"/>
    <n v="0"/>
    <n v="2"/>
    <n v="2"/>
    <x v="0"/>
  </r>
  <r>
    <n v="70"/>
    <x v="3"/>
    <x v="1"/>
    <x v="1"/>
    <n v="145"/>
    <n v="174"/>
    <n v="0"/>
    <x v="1"/>
    <n v="125"/>
    <n v="1"/>
    <n v="0"/>
    <n v="3"/>
    <x v="1"/>
  </r>
  <r>
    <n v="41"/>
    <x v="2"/>
    <x v="1"/>
    <x v="1"/>
    <n v="110"/>
    <n v="172"/>
    <n v="0"/>
    <x v="0"/>
    <n v="158"/>
    <n v="0"/>
    <n v="2"/>
    <n v="3"/>
    <x v="1"/>
  </r>
  <r>
    <n v="44"/>
    <x v="2"/>
    <x v="1"/>
    <x v="1"/>
    <n v="120"/>
    <n v="169"/>
    <n v="0"/>
    <x v="1"/>
    <n v="144"/>
    <n v="1"/>
    <n v="0"/>
    <n v="1"/>
    <x v="1"/>
  </r>
  <r>
    <n v="57"/>
    <x v="1"/>
    <x v="1"/>
    <x v="0"/>
    <n v="150"/>
    <n v="168"/>
    <n v="0"/>
    <x v="1"/>
    <n v="174"/>
    <n v="0"/>
    <n v="2"/>
    <n v="2"/>
    <x v="0"/>
  </r>
  <r>
    <n v="40"/>
    <x v="2"/>
    <x v="1"/>
    <x v="1"/>
    <n v="110"/>
    <n v="167"/>
    <n v="0"/>
    <x v="0"/>
    <n v="114"/>
    <n v="1"/>
    <n v="1"/>
    <n v="3"/>
    <x v="1"/>
  </r>
  <r>
    <n v="61"/>
    <x v="0"/>
    <x v="1"/>
    <x v="1"/>
    <n v="138"/>
    <n v="166"/>
    <n v="0"/>
    <x v="0"/>
    <n v="125"/>
    <n v="1"/>
    <n v="1"/>
    <n v="2"/>
    <x v="1"/>
  </r>
  <r>
    <n v="62"/>
    <x v="0"/>
    <x v="0"/>
    <x v="1"/>
    <n v="160"/>
    <n v="164"/>
    <n v="0"/>
    <x v="0"/>
    <n v="145"/>
    <n v="0"/>
    <n v="0"/>
    <n v="3"/>
    <x v="1"/>
  </r>
  <r>
    <n v="45"/>
    <x v="2"/>
    <x v="0"/>
    <x v="2"/>
    <n v="112"/>
    <n v="160"/>
    <n v="0"/>
    <x v="1"/>
    <n v="138"/>
    <n v="0"/>
    <n v="1"/>
    <n v="2"/>
    <x v="0"/>
  </r>
  <r>
    <n v="41"/>
    <x v="2"/>
    <x v="1"/>
    <x v="2"/>
    <n v="120"/>
    <n v="157"/>
    <n v="0"/>
    <x v="1"/>
    <n v="182"/>
    <n v="0"/>
    <n v="2"/>
    <n v="2"/>
    <x v="0"/>
  </r>
  <r>
    <n v="71"/>
    <x v="3"/>
    <x v="0"/>
    <x v="1"/>
    <n v="112"/>
    <n v="149"/>
    <n v="0"/>
    <x v="1"/>
    <n v="125"/>
    <n v="0"/>
    <n v="1"/>
    <n v="2"/>
    <x v="0"/>
  </r>
  <r>
    <n v="49"/>
    <x v="2"/>
    <x v="1"/>
    <x v="0"/>
    <n v="118"/>
    <n v="149"/>
    <n v="0"/>
    <x v="0"/>
    <n v="126"/>
    <n v="0"/>
    <n v="2"/>
    <n v="2"/>
    <x v="1"/>
  </r>
  <r>
    <n v="44"/>
    <x v="2"/>
    <x v="0"/>
    <x v="0"/>
    <n v="108"/>
    <n v="141"/>
    <n v="0"/>
    <x v="1"/>
    <n v="175"/>
    <n v="0"/>
    <n v="1"/>
    <n v="2"/>
    <x v="0"/>
  </r>
  <r>
    <n v="57"/>
    <x v="1"/>
    <x v="1"/>
    <x v="1"/>
    <n v="130"/>
    <n v="131"/>
    <n v="0"/>
    <x v="1"/>
    <n v="115"/>
    <n v="1"/>
    <n v="1"/>
    <n v="3"/>
    <x v="1"/>
  </r>
  <r>
    <n v="57"/>
    <x v="1"/>
    <x v="1"/>
    <x v="0"/>
    <n v="150"/>
    <n v="126"/>
    <n v="1"/>
    <x v="1"/>
    <n v="173"/>
    <n v="0"/>
    <n v="2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1C3C8-29FE-4604-9D7F-9CCCE9A1F5D2}" name="PivotTable7" cacheId="42" applyNumberFormats="0" applyBorderFormats="0" applyFontFormats="0" applyPatternFormats="0" applyAlignmentFormats="0" applyWidthHeightFormats="1" dataCaption="Values" grandTotalCaption="Total Diseased" updatedVersion="6" minRefreshableVersion="3" useAutoFormatting="1" itemPrintTitles="1" createdVersion="6" indent="0" outline="1" outlineData="1" multipleFieldFilters="0" rowHeaderCaption="Age Group" colHeaderCaption="Sex">
  <location ref="A16:D24" firstHeaderRow="1" firstDataRow="2" firstDataCol="1"/>
  <pivotFields count="13">
    <pivotField showAll="0"/>
    <pivotField axis="axisRow" showAll="0">
      <items count="7">
        <item x="5"/>
        <item x="4"/>
        <item x="2"/>
        <item x="1"/>
        <item x="0"/>
        <item x="3"/>
        <item t="default"/>
      </items>
    </pivotField>
    <pivotField axis="axisCol" showAll="0">
      <items count="3">
        <item n="Diseased Females" x="0"/>
        <item n="Diseased Males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Diseased" fld="12" subtotal="count" showDataAs="percentOfCol" baseField="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8C6E-4993-4F84-BAC7-51222EE337E3}" name="PivotTable3" cacheId="4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Has disease?">
  <location ref="A11:C14" firstHeaderRow="0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n="No" x="1"/>
        <item n="Yes" x="0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No. of Patients" fld="12" subtotal="count" baseField="13" baseItem="0"/>
    <dataField name="% of total" fld="12" subtotal="count" showDataAs="percentOfTotal" baseField="13" baseItem="1" numFmtId="10"/>
  </dataFields>
  <formats count="3">
    <format dxfId="68">
      <pivotArea collapsedLevelsAreSubtotals="1" fieldPosition="0">
        <references count="1">
          <reference field="12" count="0"/>
        </references>
      </pivotArea>
    </format>
    <format dxfId="67">
      <pivotArea collapsedLevelsAreSubtotals="1" fieldPosition="0">
        <references count="2">
          <reference field="4294967294" count="1" selected="0">
            <x v="0"/>
          </reference>
          <reference field="12" count="1">
            <x v="0"/>
          </reference>
        </references>
      </pivotArea>
    </format>
    <format dxfId="66">
      <pivotArea collapsedLevelsAreSubtotals="1" fieldPosition="0">
        <references count="2">
          <reference field="4294967294" count="1" selected="0">
            <x v="0"/>
          </reference>
          <reference field="12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CD42C4-CCF3-4A55-8EA8-C66D1927001A}" name="PivotTable1" cacheId="4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6:E9" firstHeaderRow="0" firstDataRow="1" firstDataCol="1" rowPageCount="3" colPageCount="1"/>
  <pivotFields count="13">
    <pivotField dataField="1" showAll="0"/>
    <pivotField showAll="0"/>
    <pivotField axis="axisRow" showAll="0">
      <items count="3">
        <item n="Female" x="0"/>
        <item n="Male" x="1"/>
        <item t="default"/>
      </items>
    </pivotField>
    <pivotField axis="axisPage" multipleItemSelectionAllowed="1" showAll="0">
      <items count="5">
        <item x="1"/>
        <item x="2"/>
        <item x="0"/>
        <item x="3"/>
        <item t="default"/>
      </items>
    </pivotField>
    <pivotField dataField="1" showAll="0"/>
    <pivotField dataField="1" showAll="0"/>
    <pivotField showAll="0"/>
    <pivotField axis="axisPage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3" hier="-1"/>
    <pageField fld="12" hier="-1"/>
    <pageField fld="7" hier="-1"/>
  </pageFields>
  <dataFields count="4">
    <dataField name="Average chol" fld="5" subtotal="average" baseField="1" baseItem="0"/>
    <dataField name="Average maxhr" fld="8" subtotal="average" baseField="1" baseItem="0"/>
    <dataField name="Average restbps" fld="4" subtotal="average" baseField="1" baseItem="0"/>
    <dataField name="Average age" fld="0" subtotal="average" baseField="1" baseItem="0"/>
  </dataFields>
  <formats count="3">
    <format dxfId="71">
      <pivotArea collapsedLevelsAreSubtotals="1" fieldPosition="0">
        <references count="1">
          <reference field="2" count="0"/>
        </references>
      </pivotArea>
    </format>
    <format dxfId="70">
      <pivotArea field="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303" totalsRowShown="0" headerRowDxfId="65" headerRowBorderDxfId="64" tableBorderDxfId="63">
  <autoFilter ref="A1:M303" xr:uid="{00000000-0009-0000-0100-000001000000}"/>
  <sortState xmlns:xlrd2="http://schemas.microsoft.com/office/spreadsheetml/2017/richdata2" ref="A2:M303">
    <sortCondition descending="1" ref="F1:F1026"/>
  </sortState>
  <tableColumns count="13">
    <tableColumn id="2" xr3:uid="{00000000-0010-0000-0000-000002000000}" name="age" dataDxfId="45"/>
    <tableColumn id="1" xr3:uid="{3B65B5AB-0225-40D7-8009-BA2898118751}" name="agegroup" dataDxfId="62">
      <calculatedColumnFormula>IF(A2&lt;30,"20-29",IF(A2&lt;40,"30-39",IF(A2&lt;50,"40-49",IF(A2&lt;60,"50-59",IF(A2&lt;70,"60-69",IF(A2&lt;80,"70+"))))))</calculatedColumnFormula>
    </tableColumn>
    <tableColumn id="3" xr3:uid="{00000000-0010-0000-0000-000003000000}" name="sex" dataDxfId="46"/>
    <tableColumn id="4" xr3:uid="{00000000-0010-0000-0000-000004000000}" name="cpt" dataDxfId="47"/>
    <tableColumn id="5" xr3:uid="{00000000-0010-0000-0000-000005000000}" name="restbps" dataDxfId="48"/>
    <tableColumn id="6" xr3:uid="{00000000-0010-0000-0000-000006000000}" name="chol" dataDxfId="49"/>
    <tableColumn id="7" xr3:uid="{00000000-0010-0000-0000-000007000000}" name="fbs" dataDxfId="50"/>
    <tableColumn id="8" xr3:uid="{00000000-0010-0000-0000-000008000000}" name="restecg" dataDxfId="52"/>
    <tableColumn id="9" xr3:uid="{00000000-0010-0000-0000-000009000000}" name="maxhr" dataDxfId="51"/>
    <tableColumn id="10" xr3:uid="{00000000-0010-0000-0000-00000A000000}" name="exang" dataDxfId="44"/>
    <tableColumn id="12" xr3:uid="{00000000-0010-0000-0000-00000C000000}" name="slope" dataDxfId="43"/>
    <tableColumn id="14" xr3:uid="{00000000-0010-0000-0000-00000E000000}" name="thal" dataDxfId="42"/>
    <tableColumn id="15" xr3:uid="{00000000-0010-0000-0000-00000F000000}" name="target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L165" totalsRowShown="0" headerRowDxfId="29" dataDxfId="28" headerRowBorderDxfId="61" tableBorderDxfId="60" totalsRowBorderDxfId="59">
  <sortState xmlns:xlrd2="http://schemas.microsoft.com/office/spreadsheetml/2017/richdata2" ref="A2:L527">
    <sortCondition descending="1" ref="E2:E527"/>
  </sortState>
  <tableColumns count="12">
    <tableColumn id="2" xr3:uid="{00000000-0010-0000-0100-000002000000}" name="age" dataDxfId="40"/>
    <tableColumn id="11" xr3:uid="{40BF778F-73EA-4539-8045-486A2BFAA445}" name="agegroup" dataDxfId="1">
      <calculatedColumnFormula>IF(A2&lt;30,"20-29",IF(A2&lt;40,"30-39",IF(A2&lt;50,"40-49",IF(A2&lt;60,"50-59",IF(A2&lt;70,"60-69",IF(A2&lt;80,"70+"))))))</calculatedColumnFormula>
    </tableColumn>
    <tableColumn id="3" xr3:uid="{00000000-0010-0000-0100-000003000000}" name="sex" dataDxfId="39"/>
    <tableColumn id="4" xr3:uid="{00000000-0010-0000-0100-000004000000}" name="cpt" dataDxfId="38"/>
    <tableColumn id="5" xr3:uid="{00000000-0010-0000-0100-000005000000}" name="restbps" dataDxfId="37"/>
    <tableColumn id="6" xr3:uid="{00000000-0010-0000-0100-000006000000}" name="chol" dataDxfId="36"/>
    <tableColumn id="7" xr3:uid="{00000000-0010-0000-0100-000007000000}" name="fbs" dataDxfId="35"/>
    <tableColumn id="8" xr3:uid="{00000000-0010-0000-0100-000008000000}" name="restecg" dataDxfId="34"/>
    <tableColumn id="9" xr3:uid="{00000000-0010-0000-0100-000009000000}" name="maxhr" dataDxfId="33"/>
    <tableColumn id="10" xr3:uid="{00000000-0010-0000-0100-00000A000000}" name="exang" dataDxfId="32"/>
    <tableColumn id="12" xr3:uid="{00000000-0010-0000-0100-00000C000000}" name="slope" dataDxfId="31"/>
    <tableColumn id="14" xr3:uid="{00000000-0010-0000-0100-00000E000000}" name="thal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K93" totalsRowShown="0" headerRowDxfId="17" dataDxfId="16" headerRowBorderDxfId="58" tableBorderDxfId="57" totalsRowBorderDxfId="56">
  <tableColumns count="11">
    <tableColumn id="2" xr3:uid="{00000000-0010-0000-0200-000002000000}" name="age" dataDxfId="27"/>
    <tableColumn id="1" xr3:uid="{0E310486-6197-4720-9D53-43D05CBC5C86}" name="agegroup" dataDxfId="2">
      <calculatedColumnFormula>IF(A2&lt;30,"20-29",IF(A2&lt;40,"30-39",IF(A2&lt;50,"40-49",IF(A2&lt;60,"50-59",IF(A2&lt;70,"60-69",IF(A2&lt;80,"70+"))))))</calculatedColumnFormula>
    </tableColumn>
    <tableColumn id="3" xr3:uid="{00000000-0010-0000-0200-000003000000}" name="cpt" dataDxfId="26"/>
    <tableColumn id="4" xr3:uid="{00000000-0010-0000-0200-000004000000}" name="restbps" dataDxfId="25"/>
    <tableColumn id="5" xr3:uid="{00000000-0010-0000-0200-000005000000}" name="chol" dataDxfId="24"/>
    <tableColumn id="6" xr3:uid="{00000000-0010-0000-0200-000006000000}" name="fbs" dataDxfId="23"/>
    <tableColumn id="7" xr3:uid="{00000000-0010-0000-0200-000007000000}" name="restecg" dataDxfId="22"/>
    <tableColumn id="8" xr3:uid="{00000000-0010-0000-0200-000008000000}" name="maxhr" dataDxfId="21"/>
    <tableColumn id="9" xr3:uid="{00000000-0010-0000-0200-000009000000}" name="exang" dataDxfId="20"/>
    <tableColumn id="11" xr3:uid="{00000000-0010-0000-0200-00000B000000}" name="slope" dataDxfId="19"/>
    <tableColumn id="13" xr3:uid="{00000000-0010-0000-0200-00000D000000}" name="thal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1:K73" totalsRowShown="0" headerRowDxfId="5" dataDxfId="4" headerRowBorderDxfId="55" tableBorderDxfId="54" totalsRowBorderDxfId="53">
  <tableColumns count="11">
    <tableColumn id="2" xr3:uid="{00000000-0010-0000-0300-000002000000}" name="age" dataDxfId="15"/>
    <tableColumn id="10" xr3:uid="{9B4F25E9-E0E4-4A3A-A78E-9A8A6DA7DECB}" name="agegroup" dataDxfId="3">
      <calculatedColumnFormula>IF(A2&lt;30,"20-29",IF(A2&lt;40,"30-39",IF(A2&lt;50,"40-49",IF(A2&lt;60,"50-59",IF(A2&lt;70,"60-69",IF(A2&lt;80,"70+"))))))</calculatedColumnFormula>
    </tableColumn>
    <tableColumn id="3" xr3:uid="{00000000-0010-0000-0300-000003000000}" name="cpt" dataDxfId="14"/>
    <tableColumn id="4" xr3:uid="{00000000-0010-0000-0300-000004000000}" name="restbps" dataDxfId="13"/>
    <tableColumn id="5" xr3:uid="{00000000-0010-0000-0300-000005000000}" name="chol" dataDxfId="12"/>
    <tableColumn id="6" xr3:uid="{00000000-0010-0000-0300-000006000000}" name="fbs" dataDxfId="11"/>
    <tableColumn id="7" xr3:uid="{00000000-0010-0000-0300-000007000000}" name="restecg" dataDxfId="10"/>
    <tableColumn id="8" xr3:uid="{00000000-0010-0000-0300-000008000000}" name="maxhr" dataDxfId="9"/>
    <tableColumn id="9" xr3:uid="{00000000-0010-0000-0300-000009000000}" name="exang" dataDxfId="8"/>
    <tableColumn id="11" xr3:uid="{00000000-0010-0000-0300-00000B000000}" name="slope" dataDxfId="7"/>
    <tableColumn id="13" xr3:uid="{00000000-0010-0000-0300-00000D000000}" name="thal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0"/>
  <sheetViews>
    <sheetView tabSelected="1" zoomScale="130" zoomScaleNormal="130" workbookViewId="0">
      <selection activeCell="K21" sqref="K21"/>
    </sheetView>
  </sheetViews>
  <sheetFormatPr defaultRowHeight="15" x14ac:dyDescent="0.25"/>
  <cols>
    <col min="1" max="1" width="48.28515625" bestFit="1" customWidth="1"/>
    <col min="2" max="2" width="21.7109375" bestFit="1" customWidth="1"/>
    <col min="5" max="5" width="15.7109375" bestFit="1" customWidth="1"/>
    <col min="6" max="6" width="10.5703125" customWidth="1"/>
    <col min="7" max="7" width="10.85546875" bestFit="1" customWidth="1"/>
    <col min="8" max="8" width="10.42578125" bestFit="1" customWidth="1"/>
  </cols>
  <sheetData>
    <row r="1" spans="1:8" x14ac:dyDescent="0.25">
      <c r="A1" s="2" t="s">
        <v>20</v>
      </c>
      <c r="B1" s="2" t="s">
        <v>21</v>
      </c>
      <c r="D1" s="9" t="s">
        <v>46</v>
      </c>
      <c r="E1" s="2" t="s">
        <v>23</v>
      </c>
      <c r="F1" s="2" t="s">
        <v>38</v>
      </c>
      <c r="G1" s="2" t="s">
        <v>47</v>
      </c>
      <c r="H1" s="2" t="s">
        <v>39</v>
      </c>
    </row>
    <row r="2" spans="1:8" x14ac:dyDescent="0.25">
      <c r="A2" s="5" t="s">
        <v>22</v>
      </c>
      <c r="B2" s="35">
        <v>302</v>
      </c>
      <c r="D2" s="20" t="s">
        <v>44</v>
      </c>
      <c r="E2" s="5" t="s">
        <v>40</v>
      </c>
      <c r="F2" s="6">
        <f>'diseased-males'!N22</f>
        <v>51.043478260869563</v>
      </c>
      <c r="G2" s="6">
        <f>'non-diseased_males'!N3</f>
        <v>56.087719298245617</v>
      </c>
      <c r="H2" s="6">
        <f>F2-G2</f>
        <v>-5.0442410373760538</v>
      </c>
    </row>
    <row r="3" spans="1:8" x14ac:dyDescent="0.25">
      <c r="A3" s="5" t="s">
        <v>12</v>
      </c>
      <c r="B3" s="35">
        <v>164</v>
      </c>
      <c r="D3" s="20"/>
      <c r="E3" s="5" t="s">
        <v>42</v>
      </c>
      <c r="F3" s="6">
        <f>'diseased-males'!N23</f>
        <v>129.65217391304347</v>
      </c>
      <c r="G3" s="6">
        <f>'non-diseased_males'!N4</f>
        <v>131.92982456140351</v>
      </c>
      <c r="H3" s="6">
        <f t="shared" ref="H3:H9" si="0">F3-G3</f>
        <v>-2.2776506483600372</v>
      </c>
    </row>
    <row r="4" spans="1:8" x14ac:dyDescent="0.25">
      <c r="A4" s="5" t="s">
        <v>13</v>
      </c>
      <c r="B4" s="35">
        <f>B2-B3</f>
        <v>138</v>
      </c>
      <c r="D4" s="20"/>
      <c r="E4" s="5" t="s">
        <v>41</v>
      </c>
      <c r="F4" s="6">
        <f>'diseased-males'!N24</f>
        <v>231.59782608695653</v>
      </c>
      <c r="G4" s="6">
        <f>'non-diseased_males'!N5</f>
        <v>246.06140350877192</v>
      </c>
      <c r="H4" s="6">
        <f t="shared" si="0"/>
        <v>-14.463577421815387</v>
      </c>
    </row>
    <row r="5" spans="1:8" x14ac:dyDescent="0.25">
      <c r="A5" s="5" t="s">
        <v>14</v>
      </c>
      <c r="B5" s="35">
        <f>COUNTIF(all_patients!C:C, "1")</f>
        <v>206</v>
      </c>
      <c r="D5" s="20"/>
      <c r="E5" s="5" t="s">
        <v>43</v>
      </c>
      <c r="F5" s="6">
        <f>'diseased-males'!N25</f>
        <v>161.78260869565219</v>
      </c>
      <c r="G5" s="6">
        <f>'non-diseased_males'!N6</f>
        <v>138.40350877192984</v>
      </c>
      <c r="H5" s="6">
        <f t="shared" si="0"/>
        <v>23.37909992372235</v>
      </c>
    </row>
    <row r="6" spans="1:8" x14ac:dyDescent="0.25">
      <c r="A6" s="5" t="s">
        <v>15</v>
      </c>
      <c r="B6" s="37">
        <f>B2-B5</f>
        <v>96</v>
      </c>
      <c r="D6" s="20" t="s">
        <v>45</v>
      </c>
      <c r="E6" s="5" t="s">
        <v>40</v>
      </c>
      <c r="F6" s="6">
        <f>'diseased-females'!N22</f>
        <v>54.555555555555557</v>
      </c>
      <c r="G6" s="6">
        <f>'non-diseased_females'!N3</f>
        <v>59.041666666666664</v>
      </c>
      <c r="H6" s="6">
        <f t="shared" si="0"/>
        <v>-4.4861111111111072</v>
      </c>
    </row>
    <row r="7" spans="1:8" x14ac:dyDescent="0.25">
      <c r="A7" s="5" t="s">
        <v>16</v>
      </c>
      <c r="B7" s="35">
        <f>diseased_patients!O2</f>
        <v>92</v>
      </c>
      <c r="D7" s="20"/>
      <c r="E7" s="5" t="s">
        <v>42</v>
      </c>
      <c r="F7" s="6">
        <f>'diseased-females'!N23</f>
        <v>128.73611111111111</v>
      </c>
      <c r="G7" s="6">
        <f>'non-diseased_females'!N4</f>
        <v>146.125</v>
      </c>
      <c r="H7" s="6">
        <f t="shared" si="0"/>
        <v>-17.388888888888886</v>
      </c>
    </row>
    <row r="8" spans="1:8" x14ac:dyDescent="0.25">
      <c r="A8" s="5" t="s">
        <v>17</v>
      </c>
      <c r="B8" s="35">
        <f>diseased_patients!N2</f>
        <v>72</v>
      </c>
      <c r="D8" s="20"/>
      <c r="E8" s="5" t="s">
        <v>41</v>
      </c>
      <c r="F8" s="6">
        <f>'diseased-females'!N24</f>
        <v>256.75</v>
      </c>
      <c r="G8" s="6">
        <f>'non-diseased_females'!N5</f>
        <v>274.95833333333331</v>
      </c>
      <c r="H8" s="6">
        <f t="shared" si="0"/>
        <v>-18.208333333333314</v>
      </c>
    </row>
    <row r="9" spans="1:8" x14ac:dyDescent="0.25">
      <c r="A9" s="5" t="s">
        <v>18</v>
      </c>
      <c r="B9" s="8">
        <f>B7/B5</f>
        <v>0.44660194174757284</v>
      </c>
      <c r="D9" s="20"/>
      <c r="E9" s="5" t="s">
        <v>43</v>
      </c>
      <c r="F9" s="6">
        <f>'diseased-females'!N25</f>
        <v>154.02777777777777</v>
      </c>
      <c r="G9" s="6">
        <f>'non-diseased_females'!N6</f>
        <v>142.41666666666666</v>
      </c>
      <c r="H9" s="6">
        <f t="shared" si="0"/>
        <v>11.611111111111114</v>
      </c>
    </row>
    <row r="10" spans="1:8" x14ac:dyDescent="0.25">
      <c r="A10" s="5" t="s">
        <v>19</v>
      </c>
      <c r="B10" s="8">
        <f>B8/B6</f>
        <v>0.75</v>
      </c>
    </row>
    <row r="11" spans="1:8" x14ac:dyDescent="0.25">
      <c r="A11" s="5" t="s">
        <v>32</v>
      </c>
      <c r="B11" s="35">
        <f>B5-B7</f>
        <v>114</v>
      </c>
    </row>
    <row r="12" spans="1:8" x14ac:dyDescent="0.25">
      <c r="A12" s="5" t="s">
        <v>33</v>
      </c>
      <c r="B12" s="35">
        <f>B6-B8</f>
        <v>24</v>
      </c>
    </row>
    <row r="13" spans="1:8" x14ac:dyDescent="0.25">
      <c r="A13" s="5" t="s">
        <v>34</v>
      </c>
      <c r="B13" s="8">
        <f>1-B9</f>
        <v>0.55339805825242716</v>
      </c>
    </row>
    <row r="14" spans="1:8" x14ac:dyDescent="0.25">
      <c r="A14" s="5" t="s">
        <v>35</v>
      </c>
      <c r="B14" s="8">
        <f>1-B10</f>
        <v>0.25</v>
      </c>
    </row>
    <row r="16" spans="1:8" x14ac:dyDescent="0.25">
      <c r="A16" s="2" t="s">
        <v>91</v>
      </c>
      <c r="B16" s="2" t="s">
        <v>93</v>
      </c>
    </row>
    <row r="17" spans="1:2" x14ac:dyDescent="0.25">
      <c r="A17" s="5" t="s">
        <v>92</v>
      </c>
      <c r="B17" s="12">
        <f>CORREL(all_patients!A:A, all_patients!I:I)</f>
        <v>-0.39523518755348019</v>
      </c>
    </row>
    <row r="18" spans="1:2" x14ac:dyDescent="0.25">
      <c r="A18" s="5" t="s">
        <v>94</v>
      </c>
      <c r="B18" s="12">
        <f>CORREL(all_patients!A:A, all_patients!F:F)</f>
        <v>0.20721550565611757</v>
      </c>
    </row>
    <row r="19" spans="1:2" x14ac:dyDescent="0.25">
      <c r="A19" s="5" t="s">
        <v>95</v>
      </c>
      <c r="B19" s="12">
        <f>CORREL(all_patients!A:A, all_patients!E:E)</f>
        <v>0.28312067898080417</v>
      </c>
    </row>
    <row r="20" spans="1:2" x14ac:dyDescent="0.25">
      <c r="A20" s="5" t="s">
        <v>96</v>
      </c>
      <c r="B20" s="12">
        <f>CORREL(all_patients!E:E, all_patients!F:F)</f>
        <v>0.12525628555536725</v>
      </c>
    </row>
  </sheetData>
  <mergeCells count="2">
    <mergeCell ref="D6:D9"/>
    <mergeCell ref="D2:D5"/>
  </mergeCells>
  <conditionalFormatting sqref="H1:H1048576">
    <cfRule type="cellIs" dxfId="0" priority="1" operator="lessThan">
      <formula>0</formula>
    </cfRule>
  </conditionalFormatting>
  <pageMargins left="0.7" right="0.7" top="0.75" bottom="0.75" header="0.3" footer="0.3"/>
  <pageSetup scale="74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5CD61-A3DE-453E-81F8-62B5492E452D}">
  <dimension ref="A2:W24"/>
  <sheetViews>
    <sheetView zoomScale="180" zoomScaleNormal="180" workbookViewId="0">
      <selection activeCell="O15" sqref="O15"/>
    </sheetView>
  </sheetViews>
  <sheetFormatPr defaultRowHeight="15" x14ac:dyDescent="0.25"/>
  <cols>
    <col min="1" max="1" width="18.85546875" customWidth="1"/>
    <col min="2" max="2" width="17.140625" customWidth="1"/>
    <col min="3" max="3" width="14.42578125" bestFit="1" customWidth="1"/>
    <col min="4" max="4" width="15.42578125" bestFit="1" customWidth="1"/>
    <col min="5" max="5" width="11.85546875" bestFit="1" customWidth="1"/>
    <col min="6" max="6" width="3.85546875" customWidth="1"/>
    <col min="7" max="8" width="3" bestFit="1" customWidth="1"/>
    <col min="9" max="92" width="4" bestFit="1" customWidth="1"/>
    <col min="93" max="93" width="11.28515625" bestFit="1" customWidth="1"/>
  </cols>
  <sheetData>
    <row r="2" spans="1:23" x14ac:dyDescent="0.25">
      <c r="A2" s="13" t="s">
        <v>10</v>
      </c>
      <c r="B2" t="s">
        <v>99</v>
      </c>
    </row>
    <row r="3" spans="1:23" x14ac:dyDescent="0.25">
      <c r="A3" s="13" t="s">
        <v>8</v>
      </c>
      <c r="B3" t="s">
        <v>99</v>
      </c>
    </row>
    <row r="4" spans="1:23" x14ac:dyDescent="0.25">
      <c r="A4" s="13" t="s">
        <v>4</v>
      </c>
      <c r="B4" t="s">
        <v>99</v>
      </c>
    </row>
    <row r="6" spans="1:23" x14ac:dyDescent="0.25">
      <c r="A6" s="13" t="s">
        <v>97</v>
      </c>
      <c r="B6" t="s">
        <v>103</v>
      </c>
      <c r="C6" t="s">
        <v>104</v>
      </c>
      <c r="D6" t="s">
        <v>105</v>
      </c>
      <c r="E6" t="s">
        <v>106</v>
      </c>
    </row>
    <row r="7" spans="1:23" x14ac:dyDescent="0.25">
      <c r="A7" s="14" t="s">
        <v>45</v>
      </c>
      <c r="B7" s="3">
        <v>261.30208333333331</v>
      </c>
      <c r="C7" s="3">
        <v>151.125</v>
      </c>
      <c r="D7" s="3">
        <v>133.08333333333334</v>
      </c>
      <c r="E7" s="3">
        <v>55.677083333333336</v>
      </c>
    </row>
    <row r="8" spans="1:23" x14ac:dyDescent="0.25">
      <c r="A8" s="14" t="s">
        <v>44</v>
      </c>
      <c r="B8" s="3">
        <v>239.60194174757282</v>
      </c>
      <c r="C8" s="3">
        <v>148.84466019417476</v>
      </c>
      <c r="D8" s="3">
        <v>130.91262135922329</v>
      </c>
      <c r="E8" s="3">
        <v>53.834951456310677</v>
      </c>
    </row>
    <row r="9" spans="1:23" x14ac:dyDescent="0.25">
      <c r="A9" s="14" t="s">
        <v>98</v>
      </c>
      <c r="B9" s="3">
        <v>246.5</v>
      </c>
      <c r="C9" s="3">
        <v>149.56953642384107</v>
      </c>
      <c r="D9" s="3">
        <v>131.60264900662253</v>
      </c>
      <c r="E9" s="3">
        <v>54.420529801324506</v>
      </c>
    </row>
    <row r="11" spans="1:23" x14ac:dyDescent="0.25">
      <c r="A11" s="13" t="s">
        <v>102</v>
      </c>
      <c r="B11" t="s">
        <v>100</v>
      </c>
      <c r="C11" t="s">
        <v>101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23" x14ac:dyDescent="0.25">
      <c r="A12" s="14" t="s">
        <v>78</v>
      </c>
      <c r="B12" s="15">
        <v>138</v>
      </c>
      <c r="C12" s="17">
        <v>0.45695364238410596</v>
      </c>
    </row>
    <row r="13" spans="1:23" x14ac:dyDescent="0.25">
      <c r="A13" s="14" t="s">
        <v>77</v>
      </c>
      <c r="B13" s="15">
        <v>164</v>
      </c>
      <c r="C13" s="17">
        <v>0.54304635761589404</v>
      </c>
    </row>
    <row r="14" spans="1:23" x14ac:dyDescent="0.25">
      <c r="A14" s="14" t="s">
        <v>98</v>
      </c>
      <c r="B14" s="15">
        <v>302</v>
      </c>
      <c r="C14" s="16">
        <v>1</v>
      </c>
    </row>
    <row r="16" spans="1:23" x14ac:dyDescent="0.25">
      <c r="A16" s="13" t="s">
        <v>111</v>
      </c>
      <c r="B16" s="13" t="s">
        <v>46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</row>
    <row r="17" spans="1:4" x14ac:dyDescent="0.25">
      <c r="A17" s="13" t="s">
        <v>49</v>
      </c>
      <c r="B17" t="s">
        <v>109</v>
      </c>
      <c r="C17" t="s">
        <v>110</v>
      </c>
      <c r="D17" t="s">
        <v>108</v>
      </c>
    </row>
    <row r="18" spans="1:4" x14ac:dyDescent="0.25">
      <c r="A18" s="14" t="s">
        <v>51</v>
      </c>
      <c r="B18" s="16">
        <v>0</v>
      </c>
      <c r="C18" s="16">
        <v>4.8543689320388345E-3</v>
      </c>
      <c r="D18" s="16">
        <v>3.3112582781456954E-3</v>
      </c>
    </row>
    <row r="19" spans="1:4" x14ac:dyDescent="0.25">
      <c r="A19" s="14" t="s">
        <v>52</v>
      </c>
      <c r="B19" s="16">
        <v>5.2083333333333336E-2</v>
      </c>
      <c r="C19" s="16">
        <v>4.3689320388349516E-2</v>
      </c>
      <c r="D19" s="16">
        <v>4.6357615894039736E-2</v>
      </c>
    </row>
    <row r="20" spans="1:4" x14ac:dyDescent="0.25">
      <c r="A20" s="14" t="s">
        <v>53</v>
      </c>
      <c r="B20" s="16">
        <v>0.19791666666666666</v>
      </c>
      <c r="C20" s="16">
        <v>0.25728155339805825</v>
      </c>
      <c r="D20" s="16">
        <v>0.23841059602649006</v>
      </c>
    </row>
    <row r="21" spans="1:4" x14ac:dyDescent="0.25">
      <c r="A21" s="14" t="s">
        <v>54</v>
      </c>
      <c r="B21" s="16">
        <v>0.35416666666666669</v>
      </c>
      <c r="C21" s="16">
        <v>0.44174757281553401</v>
      </c>
      <c r="D21" s="16">
        <v>0.41390728476821192</v>
      </c>
    </row>
    <row r="22" spans="1:4" x14ac:dyDescent="0.25">
      <c r="A22" s="14" t="s">
        <v>55</v>
      </c>
      <c r="B22" s="16">
        <v>0.34375</v>
      </c>
      <c r="C22" s="16">
        <v>0.22815533980582525</v>
      </c>
      <c r="D22" s="16">
        <v>0.26490066225165565</v>
      </c>
    </row>
    <row r="23" spans="1:4" x14ac:dyDescent="0.25">
      <c r="A23" s="14" t="s">
        <v>56</v>
      </c>
      <c r="B23" s="16">
        <v>5.2083333333333336E-2</v>
      </c>
      <c r="C23" s="16">
        <v>2.4271844660194174E-2</v>
      </c>
      <c r="D23" s="16">
        <v>3.3112582781456956E-2</v>
      </c>
    </row>
    <row r="24" spans="1:4" x14ac:dyDescent="0.25">
      <c r="A24" s="14" t="s">
        <v>108</v>
      </c>
      <c r="B24" s="16">
        <v>1</v>
      </c>
      <c r="C24" s="16">
        <v>1</v>
      </c>
      <c r="D24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D76E4-735A-467A-8E68-5986AECD35C5}">
  <dimension ref="A1:B11"/>
  <sheetViews>
    <sheetView zoomScale="170" zoomScaleNormal="170" workbookViewId="0">
      <selection activeCell="F7" sqref="F7"/>
    </sheetView>
  </sheetViews>
  <sheetFormatPr defaultRowHeight="15" x14ac:dyDescent="0.25"/>
  <cols>
    <col min="1" max="1" width="29.42578125" bestFit="1" customWidth="1"/>
  </cols>
  <sheetData>
    <row r="1" spans="1:2" x14ac:dyDescent="0.25">
      <c r="A1" s="2" t="s">
        <v>112</v>
      </c>
      <c r="B1" s="2" t="s">
        <v>113</v>
      </c>
    </row>
    <row r="2" spans="1:2" x14ac:dyDescent="0.25">
      <c r="A2" s="1" t="s">
        <v>114</v>
      </c>
      <c r="B2" s="35">
        <v>1025</v>
      </c>
    </row>
    <row r="3" spans="1:2" x14ac:dyDescent="0.25">
      <c r="A3" s="1" t="s">
        <v>115</v>
      </c>
      <c r="B3" s="35">
        <v>723</v>
      </c>
    </row>
    <row r="4" spans="1:2" x14ac:dyDescent="0.25">
      <c r="A4" s="1" t="s">
        <v>116</v>
      </c>
      <c r="B4" s="35">
        <v>0</v>
      </c>
    </row>
    <row r="5" spans="1:2" x14ac:dyDescent="0.25">
      <c r="A5" s="1" t="s">
        <v>117</v>
      </c>
      <c r="B5" s="35">
        <v>0</v>
      </c>
    </row>
    <row r="6" spans="1:2" x14ac:dyDescent="0.25">
      <c r="A6" s="1" t="s">
        <v>118</v>
      </c>
      <c r="B6" s="35">
        <v>0</v>
      </c>
    </row>
    <row r="7" spans="1:2" x14ac:dyDescent="0.25">
      <c r="A7" s="1" t="s">
        <v>119</v>
      </c>
      <c r="B7" s="35">
        <v>0</v>
      </c>
    </row>
    <row r="8" spans="1:2" x14ac:dyDescent="0.25">
      <c r="A8" s="1" t="s">
        <v>120</v>
      </c>
      <c r="B8" s="35">
        <v>0</v>
      </c>
    </row>
    <row r="11" spans="1:2" x14ac:dyDescent="0.25">
      <c r="A11" t="s">
        <v>121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F5C9-5B69-4641-AB50-63FF0C23C702}">
  <dimension ref="A2:L100"/>
  <sheetViews>
    <sheetView zoomScale="150" zoomScaleNormal="150" workbookViewId="0">
      <selection activeCell="O9" sqref="O9"/>
    </sheetView>
  </sheetViews>
  <sheetFormatPr defaultRowHeight="15" x14ac:dyDescent="0.25"/>
  <cols>
    <col min="1" max="1" width="25.5703125" customWidth="1"/>
    <col min="2" max="2" width="18.28515625" customWidth="1"/>
    <col min="3" max="3" width="16.140625" customWidth="1"/>
    <col min="4" max="4" width="10.7109375" bestFit="1" customWidth="1"/>
  </cols>
  <sheetData>
    <row r="2" spans="1:4" x14ac:dyDescent="0.25">
      <c r="A2" s="25" t="s">
        <v>122</v>
      </c>
      <c r="B2" s="26"/>
    </row>
    <row r="3" spans="1:4" x14ac:dyDescent="0.25">
      <c r="A3" s="2" t="s">
        <v>123</v>
      </c>
      <c r="B3" s="2" t="s">
        <v>50</v>
      </c>
      <c r="C3" s="2" t="s">
        <v>48</v>
      </c>
    </row>
    <row r="4" spans="1:4" x14ac:dyDescent="0.25">
      <c r="A4" s="1" t="s">
        <v>124</v>
      </c>
      <c r="B4" s="35">
        <f>summary!B3</f>
        <v>164</v>
      </c>
      <c r="C4" s="8">
        <f>B4/summary!B2</f>
        <v>0.54304635761589404</v>
      </c>
    </row>
    <row r="5" spans="1:4" x14ac:dyDescent="0.25">
      <c r="A5" s="1" t="s">
        <v>13</v>
      </c>
      <c r="B5" s="35">
        <f>summary!B4</f>
        <v>138</v>
      </c>
      <c r="C5" s="8">
        <f>B5/summary!B2</f>
        <v>0.45695364238410596</v>
      </c>
    </row>
    <row r="13" spans="1:4" x14ac:dyDescent="0.25">
      <c r="A13" s="21" t="s">
        <v>71</v>
      </c>
      <c r="B13" s="21"/>
    </row>
    <row r="14" spans="1:4" x14ac:dyDescent="0.25">
      <c r="A14" s="2" t="s">
        <v>46</v>
      </c>
      <c r="B14" s="2" t="s">
        <v>50</v>
      </c>
      <c r="C14" s="2" t="s">
        <v>57</v>
      </c>
      <c r="D14" s="2" t="s">
        <v>48</v>
      </c>
    </row>
    <row r="15" spans="1:4" x14ac:dyDescent="0.25">
      <c r="A15" s="5" t="s">
        <v>44</v>
      </c>
      <c r="B15" s="35">
        <f>COUNTIF(all_patients!C:C,"1")</f>
        <v>206</v>
      </c>
      <c r="C15" s="35">
        <f>COUNTIF(diseased_patients!C:C,"1")</f>
        <v>92</v>
      </c>
      <c r="D15" s="10">
        <f>C15/B15</f>
        <v>0.44660194174757284</v>
      </c>
    </row>
    <row r="16" spans="1:4" x14ac:dyDescent="0.25">
      <c r="A16" s="5" t="s">
        <v>45</v>
      </c>
      <c r="B16" s="35">
        <f>COUNTIF(all_patients!C:C,"0")</f>
        <v>96</v>
      </c>
      <c r="C16" s="35">
        <f>COUNTIF(diseased_patients!C:C,"0")</f>
        <v>72</v>
      </c>
      <c r="D16" s="10">
        <f>C16/B16</f>
        <v>0.75</v>
      </c>
    </row>
    <row r="24" spans="1:4" x14ac:dyDescent="0.25">
      <c r="A24" s="21" t="s">
        <v>72</v>
      </c>
      <c r="B24" s="21"/>
    </row>
    <row r="25" spans="1:4" x14ac:dyDescent="0.25">
      <c r="A25" s="2" t="s">
        <v>49</v>
      </c>
      <c r="B25" s="2" t="s">
        <v>50</v>
      </c>
      <c r="C25" s="2" t="s">
        <v>57</v>
      </c>
      <c r="D25" s="2" t="s">
        <v>48</v>
      </c>
    </row>
    <row r="26" spans="1:4" x14ac:dyDescent="0.25">
      <c r="A26" s="5" t="s">
        <v>51</v>
      </c>
      <c r="B26" s="35">
        <f>COUNTIF(all_patients!A:A, "&lt;30")</f>
        <v>1</v>
      </c>
      <c r="C26" s="35">
        <f>COUNTIF(diseased_patients!A:A, "&lt;30")</f>
        <v>1</v>
      </c>
      <c r="D26" s="10">
        <f>C26/B26</f>
        <v>1</v>
      </c>
    </row>
    <row r="27" spans="1:4" x14ac:dyDescent="0.25">
      <c r="A27" s="5" t="s">
        <v>52</v>
      </c>
      <c r="B27" s="35">
        <f>COUNTIFS(all_patients!A:A,"&gt;=30",all_patients!A:A,"&lt;40")</f>
        <v>14</v>
      </c>
      <c r="C27" s="35">
        <f>COUNTIFS(diseased_patients!A:A,"&gt;=30",diseased_patients!A:A,"&lt;40")</f>
        <v>10</v>
      </c>
      <c r="D27" s="10">
        <f t="shared" ref="D27:D31" si="0">C27/B27</f>
        <v>0.7142857142857143</v>
      </c>
    </row>
    <row r="28" spans="1:4" x14ac:dyDescent="0.25">
      <c r="A28" s="5" t="s">
        <v>53</v>
      </c>
      <c r="B28" s="35">
        <f>COUNTIFS(all_patients!A:A,"&gt;=40",all_patients!A:A,"&lt;50")</f>
        <v>72</v>
      </c>
      <c r="C28" s="35">
        <f>COUNTIFS(diseased_patients!A:A,"&gt;=40",diseased_patients!A:A,"&lt;50")</f>
        <v>50</v>
      </c>
      <c r="D28" s="10">
        <f t="shared" si="0"/>
        <v>0.69444444444444442</v>
      </c>
    </row>
    <row r="29" spans="1:4" x14ac:dyDescent="0.25">
      <c r="A29" s="5" t="s">
        <v>54</v>
      </c>
      <c r="B29" s="35">
        <f>COUNTIFS(all_patients!A:A,"&gt;=50",all_patients!A:A,"&lt;60")</f>
        <v>125</v>
      </c>
      <c r="C29" s="35">
        <f>COUNTIFS(diseased_patients!A:A,"&gt;=50",diseased_patients!A:A,"&lt;60")</f>
        <v>65</v>
      </c>
      <c r="D29" s="10">
        <f t="shared" si="0"/>
        <v>0.52</v>
      </c>
    </row>
    <row r="30" spans="1:4" x14ac:dyDescent="0.25">
      <c r="A30" s="5" t="s">
        <v>55</v>
      </c>
      <c r="B30" s="35">
        <f>COUNTIFS(all_patients!A:A,"&gt;=60",all_patients!A:A,"&lt;70")</f>
        <v>80</v>
      </c>
      <c r="C30" s="35">
        <f>COUNTIFS(diseased_patients!A:A,"&gt;=60",diseased_patients!A:A,"&lt;70")</f>
        <v>32</v>
      </c>
      <c r="D30" s="10">
        <f t="shared" si="0"/>
        <v>0.4</v>
      </c>
    </row>
    <row r="31" spans="1:4" x14ac:dyDescent="0.25">
      <c r="A31" s="5" t="s">
        <v>56</v>
      </c>
      <c r="B31" s="35">
        <f>COUNTIF(all_patients!A:A,"&gt;=70")</f>
        <v>10</v>
      </c>
      <c r="C31" s="35">
        <f>COUNTIF(diseased_patients!A:A, "&gt;=70")</f>
        <v>6</v>
      </c>
      <c r="D31" s="10">
        <f t="shared" si="0"/>
        <v>0.6</v>
      </c>
    </row>
    <row r="35" spans="1:4" x14ac:dyDescent="0.25">
      <c r="A35" s="22" t="s">
        <v>73</v>
      </c>
      <c r="B35" s="23"/>
      <c r="C35" s="24"/>
      <c r="D35" s="11"/>
    </row>
    <row r="36" spans="1:4" x14ac:dyDescent="0.25">
      <c r="A36" s="2" t="s">
        <v>58</v>
      </c>
      <c r="B36" s="2" t="s">
        <v>63</v>
      </c>
      <c r="C36" s="2" t="s">
        <v>57</v>
      </c>
      <c r="D36" s="2" t="s">
        <v>48</v>
      </c>
    </row>
    <row r="37" spans="1:4" x14ac:dyDescent="0.25">
      <c r="A37" s="5" t="s">
        <v>59</v>
      </c>
      <c r="B37" s="35">
        <f>COUNTIF(all_patients!D:D, "0")</f>
        <v>143</v>
      </c>
      <c r="C37" s="35">
        <f>COUNTIF(diseased_patients!D:D, "0")</f>
        <v>39</v>
      </c>
      <c r="D37" s="10">
        <f>C37/B37</f>
        <v>0.27272727272727271</v>
      </c>
    </row>
    <row r="38" spans="1:4" x14ac:dyDescent="0.25">
      <c r="A38" s="5" t="s">
        <v>60</v>
      </c>
      <c r="B38" s="35">
        <f>COUNTIF(all_patients!D:D, "1")</f>
        <v>50</v>
      </c>
      <c r="C38" s="35">
        <f>COUNTIF(diseased_patients!D:D, "1")</f>
        <v>41</v>
      </c>
      <c r="D38" s="10">
        <f t="shared" ref="D38:D40" si="1">C38/B38</f>
        <v>0.82</v>
      </c>
    </row>
    <row r="39" spans="1:4" x14ac:dyDescent="0.25">
      <c r="A39" s="5" t="s">
        <v>61</v>
      </c>
      <c r="B39" s="35">
        <f>COUNTIF(all_patients!D:D, "2")</f>
        <v>86</v>
      </c>
      <c r="C39" s="35">
        <f>COUNTIF(diseased_patients!D:D, "2")</f>
        <v>68</v>
      </c>
      <c r="D39" s="10">
        <f t="shared" si="1"/>
        <v>0.79069767441860461</v>
      </c>
    </row>
    <row r="40" spans="1:4" x14ac:dyDescent="0.25">
      <c r="A40" s="5" t="s">
        <v>62</v>
      </c>
      <c r="B40" s="35">
        <f>COUNTIF(all_patients!D:D, "3")</f>
        <v>23</v>
      </c>
      <c r="C40" s="35">
        <f>COUNTIF(diseased_patients!D:D, "3")</f>
        <v>16</v>
      </c>
      <c r="D40" s="10">
        <f t="shared" si="1"/>
        <v>0.69565217391304346</v>
      </c>
    </row>
    <row r="48" spans="1:4" x14ac:dyDescent="0.25">
      <c r="A48" s="22" t="s">
        <v>74</v>
      </c>
      <c r="B48" s="23"/>
      <c r="C48" s="24"/>
      <c r="D48" s="11"/>
    </row>
    <row r="49" spans="1:4" x14ac:dyDescent="0.25">
      <c r="A49" s="2" t="s">
        <v>66</v>
      </c>
      <c r="B49" s="2" t="s">
        <v>63</v>
      </c>
      <c r="C49" s="2" t="s">
        <v>57</v>
      </c>
      <c r="D49" s="2" t="s">
        <v>48</v>
      </c>
    </row>
    <row r="50" spans="1:4" x14ac:dyDescent="0.25">
      <c r="A50" s="5" t="s">
        <v>64</v>
      </c>
      <c r="B50" s="35">
        <f>COUNTIF(all_patients!G:G, "1")</f>
        <v>45</v>
      </c>
      <c r="C50" s="35">
        <f>COUNTIF(diseased_patients!G:G, "1")</f>
        <v>23</v>
      </c>
      <c r="D50" s="10">
        <f>C50/B50</f>
        <v>0.51111111111111107</v>
      </c>
    </row>
    <row r="51" spans="1:4" x14ac:dyDescent="0.25">
      <c r="A51" s="5" t="s">
        <v>65</v>
      </c>
      <c r="B51" s="35">
        <f>COUNTIF(all_patients!D:D, "0")</f>
        <v>143</v>
      </c>
      <c r="C51" s="35">
        <f>COUNTIF(diseased_patients!G:G, "0")</f>
        <v>141</v>
      </c>
      <c r="D51" s="10">
        <f>C51/B51</f>
        <v>0.98601398601398604</v>
      </c>
    </row>
    <row r="60" spans="1:4" x14ac:dyDescent="0.25">
      <c r="A60" s="21" t="s">
        <v>75</v>
      </c>
      <c r="B60" s="21"/>
    </row>
    <row r="61" spans="1:4" x14ac:dyDescent="0.25">
      <c r="A61" s="2" t="s">
        <v>70</v>
      </c>
      <c r="B61" s="2" t="s">
        <v>63</v>
      </c>
      <c r="C61" s="2" t="s">
        <v>57</v>
      </c>
      <c r="D61" s="2" t="s">
        <v>48</v>
      </c>
    </row>
    <row r="62" spans="1:4" x14ac:dyDescent="0.25">
      <c r="A62" s="5" t="s">
        <v>67</v>
      </c>
      <c r="B62" s="35">
        <f>COUNTIF(all_patients!H:H,"0")</f>
        <v>147</v>
      </c>
      <c r="C62" s="35">
        <f>COUNTIF(diseased_patients!H:H,"0")</f>
        <v>68</v>
      </c>
      <c r="D62" s="10">
        <f>C62/B62</f>
        <v>0.46258503401360546</v>
      </c>
    </row>
    <row r="63" spans="1:4" x14ac:dyDescent="0.25">
      <c r="A63" s="5" t="s">
        <v>68</v>
      </c>
      <c r="B63" s="35">
        <f>COUNTIF(all_patients!H:H,"1")</f>
        <v>151</v>
      </c>
      <c r="C63" s="35">
        <f>COUNTIF(diseased_patients!H:H,"1")</f>
        <v>95</v>
      </c>
      <c r="D63" s="10">
        <f t="shared" ref="D63:D64" si="2">C63/B63</f>
        <v>0.62913907284768211</v>
      </c>
    </row>
    <row r="64" spans="1:4" x14ac:dyDescent="0.25">
      <c r="A64" s="5" t="s">
        <v>69</v>
      </c>
      <c r="B64" s="35">
        <f>COUNTIF(all_patients!H:H,"2")</f>
        <v>4</v>
      </c>
      <c r="C64" s="35">
        <f>COUNTIF(diseased_patients!H:H,"2")</f>
        <v>1</v>
      </c>
      <c r="D64" s="10">
        <f t="shared" si="2"/>
        <v>0.25</v>
      </c>
    </row>
    <row r="72" spans="1:12" x14ac:dyDescent="0.25">
      <c r="A72" s="21" t="s">
        <v>76</v>
      </c>
      <c r="B72" s="21"/>
      <c r="C72" s="21"/>
      <c r="L72" t="s">
        <v>81</v>
      </c>
    </row>
    <row r="73" spans="1:12" x14ac:dyDescent="0.25">
      <c r="A73" s="2" t="s">
        <v>79</v>
      </c>
      <c r="B73" s="2" t="s">
        <v>63</v>
      </c>
      <c r="C73" s="2" t="s">
        <v>57</v>
      </c>
      <c r="D73" s="2" t="s">
        <v>48</v>
      </c>
      <c r="L73" t="s">
        <v>80</v>
      </c>
    </row>
    <row r="74" spans="1:12" x14ac:dyDescent="0.25">
      <c r="A74" s="5" t="s">
        <v>77</v>
      </c>
      <c r="B74" s="35">
        <f>COUNTIF(all_patients!J:J,"1")</f>
        <v>99</v>
      </c>
      <c r="C74" s="35">
        <f>COUNTIF(diseased_patients!J:J,"1")</f>
        <v>23</v>
      </c>
      <c r="D74" s="10">
        <f>C74/B74</f>
        <v>0.23232323232323232</v>
      </c>
    </row>
    <row r="75" spans="1:12" x14ac:dyDescent="0.25">
      <c r="A75" s="5" t="s">
        <v>78</v>
      </c>
      <c r="B75" s="35">
        <f>COUNTIF(all_patients!J:J,"0")</f>
        <v>203</v>
      </c>
      <c r="C75" s="35">
        <f>COUNTIF(diseased_patients!J:J,"0")</f>
        <v>141</v>
      </c>
      <c r="D75" s="10">
        <f>C75/B75</f>
        <v>0.69458128078817738</v>
      </c>
    </row>
    <row r="83" spans="1:4" x14ac:dyDescent="0.25">
      <c r="A83" s="21" t="s">
        <v>90</v>
      </c>
      <c r="B83" s="21"/>
    </row>
    <row r="84" spans="1:4" x14ac:dyDescent="0.25">
      <c r="A84" s="2" t="s">
        <v>82</v>
      </c>
      <c r="B84" s="2" t="s">
        <v>63</v>
      </c>
      <c r="C84" s="2" t="s">
        <v>57</v>
      </c>
      <c r="D84" s="2" t="s">
        <v>48</v>
      </c>
    </row>
    <row r="85" spans="1:4" x14ac:dyDescent="0.25">
      <c r="A85" s="5" t="s">
        <v>83</v>
      </c>
      <c r="B85" s="35">
        <f>COUNTIF(all_patients!K:K,"0")</f>
        <v>21</v>
      </c>
      <c r="C85" s="35">
        <f>COUNTIF(diseased_patients!K:K,"0")</f>
        <v>9</v>
      </c>
      <c r="D85" s="10">
        <f>C85/B85</f>
        <v>0.42857142857142855</v>
      </c>
    </row>
    <row r="86" spans="1:4" x14ac:dyDescent="0.25">
      <c r="A86" s="5" t="s">
        <v>84</v>
      </c>
      <c r="B86" s="35">
        <f>COUNTIF(all_patients!K:K,"1")</f>
        <v>140</v>
      </c>
      <c r="C86" s="35">
        <f>COUNTIF(diseased_patients!K:K,"1")</f>
        <v>49</v>
      </c>
      <c r="D86" s="10">
        <f t="shared" ref="D86:D87" si="3">C86/B86</f>
        <v>0.35</v>
      </c>
    </row>
    <row r="87" spans="1:4" x14ac:dyDescent="0.25">
      <c r="A87" s="5" t="s">
        <v>85</v>
      </c>
      <c r="B87" s="35">
        <f>COUNTIF(all_patients!K:K,"2")</f>
        <v>141</v>
      </c>
      <c r="C87" s="35">
        <f>COUNTIF(diseased_patients!K:K,"2")</f>
        <v>106</v>
      </c>
      <c r="D87" s="10">
        <f t="shared" si="3"/>
        <v>0.75177304964539005</v>
      </c>
    </row>
    <row r="96" spans="1:4" x14ac:dyDescent="0.25">
      <c r="A96" s="21" t="s">
        <v>89</v>
      </c>
      <c r="B96" s="21"/>
    </row>
    <row r="97" spans="1:4" x14ac:dyDescent="0.25">
      <c r="A97" s="2" t="s">
        <v>86</v>
      </c>
      <c r="B97" s="2" t="s">
        <v>63</v>
      </c>
      <c r="C97" s="2" t="s">
        <v>57</v>
      </c>
      <c r="D97" s="2" t="s">
        <v>48</v>
      </c>
    </row>
    <row r="98" spans="1:4" x14ac:dyDescent="0.25">
      <c r="A98" s="5" t="s">
        <v>67</v>
      </c>
      <c r="B98" s="35">
        <f>COUNTIF(all_patients!L:L,"1")</f>
        <v>18</v>
      </c>
      <c r="C98" s="35">
        <f>COUNTIF(diseased_patients!L:L,"1")</f>
        <v>6</v>
      </c>
      <c r="D98" s="10">
        <f>C98/B98</f>
        <v>0.33333333333333331</v>
      </c>
    </row>
    <row r="99" spans="1:4" x14ac:dyDescent="0.25">
      <c r="A99" s="5" t="s">
        <v>87</v>
      </c>
      <c r="B99" s="35">
        <f>COUNTIF(all_patients!L:L,"2")</f>
        <v>165</v>
      </c>
      <c r="C99" s="35">
        <f>COUNTIF(diseased_patients!L:L,"2")</f>
        <v>129</v>
      </c>
      <c r="D99" s="10">
        <f t="shared" ref="D99:D100" si="4">C99/B99</f>
        <v>0.78181818181818186</v>
      </c>
    </row>
    <row r="100" spans="1:4" x14ac:dyDescent="0.25">
      <c r="A100" s="5" t="s">
        <v>88</v>
      </c>
      <c r="B100" s="35">
        <f>COUNTIF(all_patients!L:L,"3")</f>
        <v>117</v>
      </c>
      <c r="C100" s="35">
        <f>COUNTIF(diseased_patients!L:L,"3")</f>
        <v>28</v>
      </c>
      <c r="D100" s="10">
        <f t="shared" si="4"/>
        <v>0.23931623931623933</v>
      </c>
    </row>
  </sheetData>
  <mergeCells count="9">
    <mergeCell ref="A13:B13"/>
    <mergeCell ref="A72:C72"/>
    <mergeCell ref="A83:B83"/>
    <mergeCell ref="A2:B2"/>
    <mergeCell ref="A96:B96"/>
    <mergeCell ref="A35:C35"/>
    <mergeCell ref="A60:B60"/>
    <mergeCell ref="A24:B24"/>
    <mergeCell ref="A48:C4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6"/>
  <sheetViews>
    <sheetView zoomScale="150" zoomScaleNormal="150" workbookViewId="0">
      <selection sqref="A1:A1048576"/>
    </sheetView>
  </sheetViews>
  <sheetFormatPr defaultRowHeight="15" x14ac:dyDescent="0.25"/>
  <cols>
    <col min="1" max="1" width="9.140625" style="28"/>
    <col min="2" max="2" width="11.5703125" style="19" bestFit="1" customWidth="1"/>
    <col min="3" max="13" width="9.140625" style="28"/>
    <col min="15" max="15" width="12" bestFit="1" customWidth="1"/>
    <col min="17" max="17" width="33" customWidth="1"/>
  </cols>
  <sheetData>
    <row r="1" spans="1:13" x14ac:dyDescent="0.25">
      <c r="A1" s="27" t="s">
        <v>0</v>
      </c>
      <c r="B1" s="18" t="s">
        <v>107</v>
      </c>
      <c r="C1" s="27" t="s">
        <v>1</v>
      </c>
      <c r="D1" s="27" t="s">
        <v>10</v>
      </c>
      <c r="E1" s="27" t="s">
        <v>9</v>
      </c>
      <c r="F1" s="27" t="s">
        <v>2</v>
      </c>
      <c r="G1" s="27" t="s">
        <v>3</v>
      </c>
      <c r="H1" s="27" t="s">
        <v>4</v>
      </c>
      <c r="I1" s="27" t="s">
        <v>11</v>
      </c>
      <c r="J1" s="27" t="s">
        <v>5</v>
      </c>
      <c r="K1" s="27" t="s">
        <v>6</v>
      </c>
      <c r="L1" s="27" t="s">
        <v>7</v>
      </c>
      <c r="M1" s="27" t="s">
        <v>8</v>
      </c>
    </row>
    <row r="2" spans="1:13" x14ac:dyDescent="0.25">
      <c r="A2" s="28">
        <v>67</v>
      </c>
      <c r="B2" s="19" t="str">
        <f t="shared" ref="B2:B65" si="0">IF(A2&lt;30,"20-29",IF(A2&lt;40,"30-39",IF(A2&lt;50,"40-49",IF(A2&lt;60,"50-59",IF(A2&lt;70,"60-69",IF(A2&lt;80,"70+"))))))</f>
        <v>60-69</v>
      </c>
      <c r="C2" s="28">
        <v>0</v>
      </c>
      <c r="D2" s="28">
        <v>2</v>
      </c>
      <c r="E2" s="28">
        <v>115</v>
      </c>
      <c r="F2" s="28">
        <v>564</v>
      </c>
      <c r="G2" s="28">
        <v>0</v>
      </c>
      <c r="H2" s="28">
        <v>0</v>
      </c>
      <c r="I2" s="28">
        <v>160</v>
      </c>
      <c r="J2" s="28">
        <v>0</v>
      </c>
      <c r="K2" s="28">
        <v>1</v>
      </c>
      <c r="L2" s="28">
        <v>3</v>
      </c>
      <c r="M2" s="28">
        <v>1</v>
      </c>
    </row>
    <row r="3" spans="1:13" x14ac:dyDescent="0.25">
      <c r="A3" s="28">
        <v>65</v>
      </c>
      <c r="B3" s="19" t="str">
        <f t="shared" si="0"/>
        <v>60-69</v>
      </c>
      <c r="C3" s="28">
        <v>0</v>
      </c>
      <c r="D3" s="28">
        <v>2</v>
      </c>
      <c r="E3" s="28">
        <v>140</v>
      </c>
      <c r="F3" s="28">
        <v>417</v>
      </c>
      <c r="G3" s="28">
        <v>1</v>
      </c>
      <c r="H3" s="28">
        <v>0</v>
      </c>
      <c r="I3" s="28">
        <v>157</v>
      </c>
      <c r="J3" s="28">
        <v>0</v>
      </c>
      <c r="K3" s="28">
        <v>2</v>
      </c>
      <c r="L3" s="28">
        <v>2</v>
      </c>
      <c r="M3" s="28">
        <v>1</v>
      </c>
    </row>
    <row r="4" spans="1:13" x14ac:dyDescent="0.25">
      <c r="A4" s="28">
        <v>56</v>
      </c>
      <c r="B4" s="19" t="str">
        <f t="shared" si="0"/>
        <v>50-59</v>
      </c>
      <c r="C4" s="28">
        <v>0</v>
      </c>
      <c r="D4" s="28">
        <v>0</v>
      </c>
      <c r="E4" s="28">
        <v>134</v>
      </c>
      <c r="F4" s="28">
        <v>409</v>
      </c>
      <c r="G4" s="28">
        <v>0</v>
      </c>
      <c r="H4" s="28">
        <v>0</v>
      </c>
      <c r="I4" s="28">
        <v>150</v>
      </c>
      <c r="J4" s="28">
        <v>1</v>
      </c>
      <c r="K4" s="28">
        <v>1</v>
      </c>
      <c r="L4" s="28">
        <v>3</v>
      </c>
      <c r="M4" s="28">
        <v>0</v>
      </c>
    </row>
    <row r="5" spans="1:13" x14ac:dyDescent="0.25">
      <c r="A5" s="28">
        <v>63</v>
      </c>
      <c r="B5" s="19" t="str">
        <f t="shared" si="0"/>
        <v>60-69</v>
      </c>
      <c r="C5" s="28">
        <v>0</v>
      </c>
      <c r="D5" s="28">
        <v>0</v>
      </c>
      <c r="E5" s="28">
        <v>150</v>
      </c>
      <c r="F5" s="28">
        <v>407</v>
      </c>
      <c r="G5" s="28">
        <v>0</v>
      </c>
      <c r="H5" s="28">
        <v>0</v>
      </c>
      <c r="I5" s="28">
        <v>154</v>
      </c>
      <c r="J5" s="28">
        <v>0</v>
      </c>
      <c r="K5" s="28">
        <v>1</v>
      </c>
      <c r="L5" s="28">
        <v>3</v>
      </c>
      <c r="M5" s="28">
        <v>0</v>
      </c>
    </row>
    <row r="6" spans="1:13" x14ac:dyDescent="0.25">
      <c r="A6" s="28">
        <v>62</v>
      </c>
      <c r="B6" s="19" t="str">
        <f t="shared" si="0"/>
        <v>60-69</v>
      </c>
      <c r="C6" s="28">
        <v>0</v>
      </c>
      <c r="D6" s="28">
        <v>0</v>
      </c>
      <c r="E6" s="28">
        <v>140</v>
      </c>
      <c r="F6" s="28">
        <v>394</v>
      </c>
      <c r="G6" s="28">
        <v>0</v>
      </c>
      <c r="H6" s="28">
        <v>0</v>
      </c>
      <c r="I6" s="28">
        <v>157</v>
      </c>
      <c r="J6" s="28">
        <v>0</v>
      </c>
      <c r="K6" s="28">
        <v>1</v>
      </c>
      <c r="L6" s="28">
        <v>2</v>
      </c>
      <c r="M6" s="28">
        <v>1</v>
      </c>
    </row>
    <row r="7" spans="1:13" x14ac:dyDescent="0.25">
      <c r="A7" s="28">
        <v>65</v>
      </c>
      <c r="B7" s="19" t="str">
        <f t="shared" si="0"/>
        <v>60-69</v>
      </c>
      <c r="C7" s="28">
        <v>0</v>
      </c>
      <c r="D7" s="28">
        <v>2</v>
      </c>
      <c r="E7" s="28">
        <v>160</v>
      </c>
      <c r="F7" s="28">
        <v>360</v>
      </c>
      <c r="G7" s="28">
        <v>0</v>
      </c>
      <c r="H7" s="28">
        <v>0</v>
      </c>
      <c r="I7" s="28">
        <v>151</v>
      </c>
      <c r="J7" s="28">
        <v>0</v>
      </c>
      <c r="K7" s="28">
        <v>2</v>
      </c>
      <c r="L7" s="28">
        <v>2</v>
      </c>
      <c r="M7" s="28">
        <v>1</v>
      </c>
    </row>
    <row r="8" spans="1:13" x14ac:dyDescent="0.25">
      <c r="A8" s="28">
        <v>57</v>
      </c>
      <c r="B8" s="19" t="str">
        <f t="shared" si="0"/>
        <v>50-59</v>
      </c>
      <c r="C8" s="28">
        <v>0</v>
      </c>
      <c r="D8" s="28">
        <v>0</v>
      </c>
      <c r="E8" s="28">
        <v>120</v>
      </c>
      <c r="F8" s="28">
        <v>354</v>
      </c>
      <c r="G8" s="28">
        <v>0</v>
      </c>
      <c r="H8" s="28">
        <v>1</v>
      </c>
      <c r="I8" s="28">
        <v>163</v>
      </c>
      <c r="J8" s="28">
        <v>1</v>
      </c>
      <c r="K8" s="28">
        <v>2</v>
      </c>
      <c r="L8" s="28">
        <v>2</v>
      </c>
      <c r="M8" s="28">
        <v>1</v>
      </c>
    </row>
    <row r="9" spans="1:13" x14ac:dyDescent="0.25">
      <c r="A9" s="28">
        <v>55</v>
      </c>
      <c r="B9" s="19" t="str">
        <f t="shared" si="0"/>
        <v>50-59</v>
      </c>
      <c r="C9" s="28">
        <v>1</v>
      </c>
      <c r="D9" s="28">
        <v>0</v>
      </c>
      <c r="E9" s="28">
        <v>132</v>
      </c>
      <c r="F9" s="28">
        <v>353</v>
      </c>
      <c r="G9" s="28">
        <v>0</v>
      </c>
      <c r="H9" s="28">
        <v>1</v>
      </c>
      <c r="I9" s="28">
        <v>132</v>
      </c>
      <c r="J9" s="28">
        <v>1</v>
      </c>
      <c r="K9" s="28">
        <v>1</v>
      </c>
      <c r="L9" s="28">
        <v>3</v>
      </c>
      <c r="M9" s="28">
        <v>0</v>
      </c>
    </row>
    <row r="10" spans="1:13" x14ac:dyDescent="0.25">
      <c r="A10" s="28">
        <v>55</v>
      </c>
      <c r="B10" s="19" t="str">
        <f t="shared" si="0"/>
        <v>50-59</v>
      </c>
      <c r="C10" s="28">
        <v>0</v>
      </c>
      <c r="D10" s="28">
        <v>1</v>
      </c>
      <c r="E10" s="28">
        <v>132</v>
      </c>
      <c r="F10" s="28">
        <v>342</v>
      </c>
      <c r="G10" s="28">
        <v>0</v>
      </c>
      <c r="H10" s="28">
        <v>1</v>
      </c>
      <c r="I10" s="28">
        <v>166</v>
      </c>
      <c r="J10" s="28">
        <v>0</v>
      </c>
      <c r="K10" s="28">
        <v>2</v>
      </c>
      <c r="L10" s="28">
        <v>2</v>
      </c>
      <c r="M10" s="28">
        <v>1</v>
      </c>
    </row>
    <row r="11" spans="1:13" x14ac:dyDescent="0.25">
      <c r="A11" s="28">
        <v>43</v>
      </c>
      <c r="B11" s="19" t="str">
        <f t="shared" si="0"/>
        <v>40-49</v>
      </c>
      <c r="C11" s="28">
        <v>0</v>
      </c>
      <c r="D11" s="28">
        <v>0</v>
      </c>
      <c r="E11" s="28">
        <v>132</v>
      </c>
      <c r="F11" s="28">
        <v>341</v>
      </c>
      <c r="G11" s="28">
        <v>1</v>
      </c>
      <c r="H11" s="28">
        <v>0</v>
      </c>
      <c r="I11" s="28">
        <v>136</v>
      </c>
      <c r="J11" s="28">
        <v>1</v>
      </c>
      <c r="K11" s="28">
        <v>1</v>
      </c>
      <c r="L11" s="28">
        <v>3</v>
      </c>
      <c r="M11" s="28">
        <v>0</v>
      </c>
    </row>
    <row r="12" spans="1:13" x14ac:dyDescent="0.25">
      <c r="A12" s="28">
        <v>58</v>
      </c>
      <c r="B12" s="19" t="str">
        <f t="shared" si="0"/>
        <v>50-59</v>
      </c>
      <c r="C12" s="28">
        <v>0</v>
      </c>
      <c r="D12" s="28">
        <v>2</v>
      </c>
      <c r="E12" s="28">
        <v>120</v>
      </c>
      <c r="F12" s="28">
        <v>340</v>
      </c>
      <c r="G12" s="28">
        <v>0</v>
      </c>
      <c r="H12" s="28">
        <v>1</v>
      </c>
      <c r="I12" s="28">
        <v>172</v>
      </c>
      <c r="J12" s="28">
        <v>0</v>
      </c>
      <c r="K12" s="28">
        <v>2</v>
      </c>
      <c r="L12" s="28">
        <v>2</v>
      </c>
      <c r="M12" s="28">
        <v>1</v>
      </c>
    </row>
    <row r="13" spans="1:13" x14ac:dyDescent="0.25">
      <c r="A13" s="28">
        <v>57</v>
      </c>
      <c r="B13" s="19" t="str">
        <f t="shared" si="0"/>
        <v>50-59</v>
      </c>
      <c r="C13" s="28">
        <v>1</v>
      </c>
      <c r="D13" s="28">
        <v>0</v>
      </c>
      <c r="E13" s="28">
        <v>110</v>
      </c>
      <c r="F13" s="28">
        <v>335</v>
      </c>
      <c r="G13" s="28">
        <v>0</v>
      </c>
      <c r="H13" s="28">
        <v>1</v>
      </c>
      <c r="I13" s="28">
        <v>143</v>
      </c>
      <c r="J13" s="28">
        <v>1</v>
      </c>
      <c r="K13" s="28">
        <v>1</v>
      </c>
      <c r="L13" s="28">
        <v>3</v>
      </c>
      <c r="M13" s="28">
        <v>0</v>
      </c>
    </row>
    <row r="14" spans="1:13" x14ac:dyDescent="0.25">
      <c r="A14" s="28">
        <v>64</v>
      </c>
      <c r="B14" s="19" t="str">
        <f t="shared" si="0"/>
        <v>60-69</v>
      </c>
      <c r="C14" s="28">
        <v>1</v>
      </c>
      <c r="D14" s="28">
        <v>2</v>
      </c>
      <c r="E14" s="28">
        <v>140</v>
      </c>
      <c r="F14" s="28">
        <v>335</v>
      </c>
      <c r="G14" s="28">
        <v>0</v>
      </c>
      <c r="H14" s="28">
        <v>1</v>
      </c>
      <c r="I14" s="28">
        <v>158</v>
      </c>
      <c r="J14" s="28">
        <v>0</v>
      </c>
      <c r="K14" s="28">
        <v>2</v>
      </c>
      <c r="L14" s="28">
        <v>2</v>
      </c>
      <c r="M14" s="28">
        <v>0</v>
      </c>
    </row>
    <row r="15" spans="1:13" x14ac:dyDescent="0.25">
      <c r="A15" s="28">
        <v>61</v>
      </c>
      <c r="B15" s="19" t="str">
        <f t="shared" si="0"/>
        <v>60-69</v>
      </c>
      <c r="C15" s="28">
        <v>0</v>
      </c>
      <c r="D15" s="28">
        <v>0</v>
      </c>
      <c r="E15" s="28">
        <v>130</v>
      </c>
      <c r="F15" s="28">
        <v>330</v>
      </c>
      <c r="G15" s="28">
        <v>0</v>
      </c>
      <c r="H15" s="28">
        <v>0</v>
      </c>
      <c r="I15" s="28">
        <v>169</v>
      </c>
      <c r="J15" s="28">
        <v>0</v>
      </c>
      <c r="K15" s="28">
        <v>2</v>
      </c>
      <c r="L15" s="28">
        <v>2</v>
      </c>
      <c r="M15" s="28">
        <v>0</v>
      </c>
    </row>
    <row r="16" spans="1:13" x14ac:dyDescent="0.25">
      <c r="A16" s="28">
        <v>63</v>
      </c>
      <c r="B16" s="19" t="str">
        <f t="shared" si="0"/>
        <v>60-69</v>
      </c>
      <c r="C16" s="28">
        <v>1</v>
      </c>
      <c r="D16" s="28">
        <v>0</v>
      </c>
      <c r="E16" s="28">
        <v>130</v>
      </c>
      <c r="F16" s="28">
        <v>330</v>
      </c>
      <c r="G16" s="28">
        <v>1</v>
      </c>
      <c r="H16" s="28">
        <v>0</v>
      </c>
      <c r="I16" s="28">
        <v>132</v>
      </c>
      <c r="J16" s="28">
        <v>1</v>
      </c>
      <c r="K16" s="28">
        <v>2</v>
      </c>
      <c r="L16" s="28">
        <v>3</v>
      </c>
      <c r="M16" s="28">
        <v>0</v>
      </c>
    </row>
    <row r="17" spans="1:13" x14ac:dyDescent="0.25">
      <c r="A17" s="28">
        <v>55</v>
      </c>
      <c r="B17" s="19" t="str">
        <f t="shared" si="0"/>
        <v>50-59</v>
      </c>
      <c r="C17" s="28">
        <v>0</v>
      </c>
      <c r="D17" s="28">
        <v>0</v>
      </c>
      <c r="E17" s="28">
        <v>180</v>
      </c>
      <c r="F17" s="28">
        <v>327</v>
      </c>
      <c r="G17" s="28">
        <v>0</v>
      </c>
      <c r="H17" s="28">
        <v>2</v>
      </c>
      <c r="I17" s="28">
        <v>117</v>
      </c>
      <c r="J17" s="28">
        <v>1</v>
      </c>
      <c r="K17" s="28">
        <v>1</v>
      </c>
      <c r="L17" s="28">
        <v>2</v>
      </c>
      <c r="M17" s="28">
        <v>0</v>
      </c>
    </row>
    <row r="18" spans="1:13" x14ac:dyDescent="0.25">
      <c r="A18" s="28">
        <v>59</v>
      </c>
      <c r="B18" s="19" t="str">
        <f t="shared" si="0"/>
        <v>50-59</v>
      </c>
      <c r="C18" s="28">
        <v>1</v>
      </c>
      <c r="D18" s="28">
        <v>0</v>
      </c>
      <c r="E18" s="28">
        <v>170</v>
      </c>
      <c r="F18" s="28">
        <v>326</v>
      </c>
      <c r="G18" s="28">
        <v>0</v>
      </c>
      <c r="H18" s="28">
        <v>0</v>
      </c>
      <c r="I18" s="28">
        <v>140</v>
      </c>
      <c r="J18" s="28">
        <v>1</v>
      </c>
      <c r="K18" s="28">
        <v>0</v>
      </c>
      <c r="L18" s="28">
        <v>3</v>
      </c>
      <c r="M18" s="28">
        <v>0</v>
      </c>
    </row>
    <row r="19" spans="1:13" x14ac:dyDescent="0.25">
      <c r="A19" s="28">
        <v>64</v>
      </c>
      <c r="B19" s="19" t="str">
        <f t="shared" si="0"/>
        <v>60-69</v>
      </c>
      <c r="C19" s="28">
        <v>0</v>
      </c>
      <c r="D19" s="28">
        <v>0</v>
      </c>
      <c r="E19" s="28">
        <v>180</v>
      </c>
      <c r="F19" s="28">
        <v>325</v>
      </c>
      <c r="G19" s="28">
        <v>0</v>
      </c>
      <c r="H19" s="28">
        <v>1</v>
      </c>
      <c r="I19" s="28">
        <v>154</v>
      </c>
      <c r="J19" s="28">
        <v>1</v>
      </c>
      <c r="K19" s="28">
        <v>2</v>
      </c>
      <c r="L19" s="28">
        <v>2</v>
      </c>
      <c r="M19" s="28">
        <v>1</v>
      </c>
    </row>
    <row r="20" spans="1:13" x14ac:dyDescent="0.25">
      <c r="A20" s="28">
        <v>52</v>
      </c>
      <c r="B20" s="19" t="str">
        <f t="shared" si="0"/>
        <v>50-59</v>
      </c>
      <c r="C20" s="28">
        <v>1</v>
      </c>
      <c r="D20" s="28">
        <v>1</v>
      </c>
      <c r="E20" s="28">
        <v>120</v>
      </c>
      <c r="F20" s="28">
        <v>325</v>
      </c>
      <c r="G20" s="28">
        <v>0</v>
      </c>
      <c r="H20" s="28">
        <v>1</v>
      </c>
      <c r="I20" s="28">
        <v>172</v>
      </c>
      <c r="J20" s="28">
        <v>0</v>
      </c>
      <c r="K20" s="28">
        <v>2</v>
      </c>
      <c r="L20" s="28">
        <v>2</v>
      </c>
      <c r="M20" s="28">
        <v>1</v>
      </c>
    </row>
    <row r="21" spans="1:13" x14ac:dyDescent="0.25">
      <c r="A21" s="28">
        <v>70</v>
      </c>
      <c r="B21" s="19" t="str">
        <f t="shared" si="0"/>
        <v>70+</v>
      </c>
      <c r="C21" s="28">
        <v>1</v>
      </c>
      <c r="D21" s="28">
        <v>0</v>
      </c>
      <c r="E21" s="28">
        <v>130</v>
      </c>
      <c r="F21" s="28">
        <v>322</v>
      </c>
      <c r="G21" s="28">
        <v>0</v>
      </c>
      <c r="H21" s="28">
        <v>0</v>
      </c>
      <c r="I21" s="28">
        <v>109</v>
      </c>
      <c r="J21" s="28">
        <v>0</v>
      </c>
      <c r="K21" s="28">
        <v>1</v>
      </c>
      <c r="L21" s="28">
        <v>2</v>
      </c>
      <c r="M21" s="28">
        <v>0</v>
      </c>
    </row>
    <row r="22" spans="1:13" x14ac:dyDescent="0.25">
      <c r="A22" s="28">
        <v>39</v>
      </c>
      <c r="B22" s="19" t="str">
        <f t="shared" si="0"/>
        <v>30-39</v>
      </c>
      <c r="C22" s="28">
        <v>1</v>
      </c>
      <c r="D22" s="28">
        <v>2</v>
      </c>
      <c r="E22" s="28">
        <v>140</v>
      </c>
      <c r="F22" s="28">
        <v>321</v>
      </c>
      <c r="G22" s="28">
        <v>0</v>
      </c>
      <c r="H22" s="28">
        <v>0</v>
      </c>
      <c r="I22" s="28">
        <v>182</v>
      </c>
      <c r="J22" s="28">
        <v>0</v>
      </c>
      <c r="K22" s="28">
        <v>2</v>
      </c>
      <c r="L22" s="28">
        <v>2</v>
      </c>
      <c r="M22" s="28">
        <v>1</v>
      </c>
    </row>
    <row r="23" spans="1:13" x14ac:dyDescent="0.25">
      <c r="A23" s="28">
        <v>58</v>
      </c>
      <c r="B23" s="19" t="str">
        <f t="shared" si="0"/>
        <v>50-59</v>
      </c>
      <c r="C23" s="28">
        <v>0</v>
      </c>
      <c r="D23" s="28">
        <v>1</v>
      </c>
      <c r="E23" s="28">
        <v>136</v>
      </c>
      <c r="F23" s="28">
        <v>319</v>
      </c>
      <c r="G23" s="28">
        <v>1</v>
      </c>
      <c r="H23" s="28">
        <v>0</v>
      </c>
      <c r="I23" s="28">
        <v>152</v>
      </c>
      <c r="J23" s="28">
        <v>0</v>
      </c>
      <c r="K23" s="28">
        <v>2</v>
      </c>
      <c r="L23" s="28">
        <v>2</v>
      </c>
      <c r="M23" s="28">
        <v>0</v>
      </c>
    </row>
    <row r="24" spans="1:13" x14ac:dyDescent="0.25">
      <c r="A24" s="28">
        <v>58</v>
      </c>
      <c r="B24" s="19" t="str">
        <f t="shared" si="0"/>
        <v>50-59</v>
      </c>
      <c r="C24" s="28">
        <v>1</v>
      </c>
      <c r="D24" s="28">
        <v>0</v>
      </c>
      <c r="E24" s="28">
        <v>114</v>
      </c>
      <c r="F24" s="28">
        <v>318</v>
      </c>
      <c r="G24" s="28">
        <v>0</v>
      </c>
      <c r="H24" s="28">
        <v>2</v>
      </c>
      <c r="I24" s="28">
        <v>140</v>
      </c>
      <c r="J24" s="28">
        <v>0</v>
      </c>
      <c r="K24" s="28">
        <v>0</v>
      </c>
      <c r="L24" s="28">
        <v>1</v>
      </c>
      <c r="M24" s="28">
        <v>0</v>
      </c>
    </row>
    <row r="25" spans="1:13" x14ac:dyDescent="0.25">
      <c r="A25" s="28">
        <v>60</v>
      </c>
      <c r="B25" s="19" t="str">
        <f t="shared" si="0"/>
        <v>60-69</v>
      </c>
      <c r="C25" s="28">
        <v>0</v>
      </c>
      <c r="D25" s="28">
        <v>2</v>
      </c>
      <c r="E25" s="28">
        <v>102</v>
      </c>
      <c r="F25" s="28">
        <v>318</v>
      </c>
      <c r="G25" s="28">
        <v>0</v>
      </c>
      <c r="H25" s="28">
        <v>1</v>
      </c>
      <c r="I25" s="28">
        <v>160</v>
      </c>
      <c r="J25" s="28">
        <v>0</v>
      </c>
      <c r="K25" s="28">
        <v>2</v>
      </c>
      <c r="L25" s="28">
        <v>2</v>
      </c>
      <c r="M25" s="28">
        <v>1</v>
      </c>
    </row>
    <row r="26" spans="1:13" x14ac:dyDescent="0.25">
      <c r="A26" s="28">
        <v>42</v>
      </c>
      <c r="B26" s="19" t="str">
        <f t="shared" si="0"/>
        <v>40-49</v>
      </c>
      <c r="C26" s="28">
        <v>1</v>
      </c>
      <c r="D26" s="28">
        <v>0</v>
      </c>
      <c r="E26" s="28">
        <v>136</v>
      </c>
      <c r="F26" s="28">
        <v>315</v>
      </c>
      <c r="G26" s="28">
        <v>0</v>
      </c>
      <c r="H26" s="28">
        <v>1</v>
      </c>
      <c r="I26" s="28">
        <v>125</v>
      </c>
      <c r="J26" s="28">
        <v>1</v>
      </c>
      <c r="K26" s="28">
        <v>1</v>
      </c>
      <c r="L26" s="28">
        <v>1</v>
      </c>
      <c r="M26" s="28">
        <v>0</v>
      </c>
    </row>
    <row r="27" spans="1:13" x14ac:dyDescent="0.25">
      <c r="A27" s="28">
        <v>43</v>
      </c>
      <c r="B27" s="19" t="str">
        <f t="shared" si="0"/>
        <v>40-49</v>
      </c>
      <c r="C27" s="28">
        <v>1</v>
      </c>
      <c r="D27" s="28">
        <v>2</v>
      </c>
      <c r="E27" s="28">
        <v>130</v>
      </c>
      <c r="F27" s="28">
        <v>315</v>
      </c>
      <c r="G27" s="28">
        <v>0</v>
      </c>
      <c r="H27" s="28">
        <v>1</v>
      </c>
      <c r="I27" s="28">
        <v>162</v>
      </c>
      <c r="J27" s="28">
        <v>0</v>
      </c>
      <c r="K27" s="28">
        <v>2</v>
      </c>
      <c r="L27" s="28">
        <v>2</v>
      </c>
      <c r="M27" s="28">
        <v>1</v>
      </c>
    </row>
    <row r="28" spans="1:13" x14ac:dyDescent="0.25">
      <c r="A28" s="28">
        <v>64</v>
      </c>
      <c r="B28" s="19" t="str">
        <f t="shared" si="0"/>
        <v>60-69</v>
      </c>
      <c r="C28" s="28">
        <v>0</v>
      </c>
      <c r="D28" s="28">
        <v>2</v>
      </c>
      <c r="E28" s="28">
        <v>140</v>
      </c>
      <c r="F28" s="28">
        <v>313</v>
      </c>
      <c r="G28" s="28">
        <v>0</v>
      </c>
      <c r="H28" s="28">
        <v>1</v>
      </c>
      <c r="I28" s="28">
        <v>133</v>
      </c>
      <c r="J28" s="28">
        <v>0</v>
      </c>
      <c r="K28" s="28">
        <v>2</v>
      </c>
      <c r="L28" s="28">
        <v>3</v>
      </c>
      <c r="M28" s="28">
        <v>1</v>
      </c>
    </row>
    <row r="29" spans="1:13" x14ac:dyDescent="0.25">
      <c r="A29" s="28">
        <v>46</v>
      </c>
      <c r="B29" s="19" t="str">
        <f t="shared" si="0"/>
        <v>40-49</v>
      </c>
      <c r="C29" s="28">
        <v>1</v>
      </c>
      <c r="D29" s="28">
        <v>0</v>
      </c>
      <c r="E29" s="28">
        <v>140</v>
      </c>
      <c r="F29" s="28">
        <v>311</v>
      </c>
      <c r="G29" s="28">
        <v>0</v>
      </c>
      <c r="H29" s="28">
        <v>1</v>
      </c>
      <c r="I29" s="28">
        <v>120</v>
      </c>
      <c r="J29" s="28">
        <v>1</v>
      </c>
      <c r="K29" s="28">
        <v>1</v>
      </c>
      <c r="L29" s="28">
        <v>3</v>
      </c>
      <c r="M29" s="28">
        <v>0</v>
      </c>
    </row>
    <row r="30" spans="1:13" x14ac:dyDescent="0.25">
      <c r="A30" s="28">
        <v>54</v>
      </c>
      <c r="B30" s="19" t="str">
        <f t="shared" si="0"/>
        <v>50-59</v>
      </c>
      <c r="C30" s="28">
        <v>1</v>
      </c>
      <c r="D30" s="28">
        <v>1</v>
      </c>
      <c r="E30" s="28">
        <v>108</v>
      </c>
      <c r="F30" s="28">
        <v>309</v>
      </c>
      <c r="G30" s="28">
        <v>0</v>
      </c>
      <c r="H30" s="28">
        <v>1</v>
      </c>
      <c r="I30" s="28">
        <v>156</v>
      </c>
      <c r="J30" s="28">
        <v>0</v>
      </c>
      <c r="K30" s="28">
        <v>2</v>
      </c>
      <c r="L30" s="28">
        <v>3</v>
      </c>
      <c r="M30" s="28">
        <v>1</v>
      </c>
    </row>
    <row r="31" spans="1:13" x14ac:dyDescent="0.25">
      <c r="A31" s="28">
        <v>64</v>
      </c>
      <c r="B31" s="19" t="str">
        <f t="shared" si="0"/>
        <v>60-69</v>
      </c>
      <c r="C31" s="28">
        <v>1</v>
      </c>
      <c r="D31" s="28">
        <v>2</v>
      </c>
      <c r="E31" s="28">
        <v>125</v>
      </c>
      <c r="F31" s="28">
        <v>309</v>
      </c>
      <c r="G31" s="28">
        <v>0</v>
      </c>
      <c r="H31" s="28">
        <v>1</v>
      </c>
      <c r="I31" s="28">
        <v>131</v>
      </c>
      <c r="J31" s="28">
        <v>1</v>
      </c>
      <c r="K31" s="28">
        <v>1</v>
      </c>
      <c r="L31" s="28">
        <v>3</v>
      </c>
      <c r="M31" s="28">
        <v>0</v>
      </c>
    </row>
    <row r="32" spans="1:13" x14ac:dyDescent="0.25">
      <c r="A32" s="28">
        <v>45</v>
      </c>
      <c r="B32" s="19" t="str">
        <f t="shared" si="0"/>
        <v>40-49</v>
      </c>
      <c r="C32" s="28">
        <v>1</v>
      </c>
      <c r="D32" s="28">
        <v>0</v>
      </c>
      <c r="E32" s="28">
        <v>142</v>
      </c>
      <c r="F32" s="28">
        <v>309</v>
      </c>
      <c r="G32" s="28">
        <v>0</v>
      </c>
      <c r="H32" s="28">
        <v>0</v>
      </c>
      <c r="I32" s="28">
        <v>147</v>
      </c>
      <c r="J32" s="28">
        <v>1</v>
      </c>
      <c r="K32" s="28">
        <v>1</v>
      </c>
      <c r="L32" s="28">
        <v>3</v>
      </c>
      <c r="M32" s="28">
        <v>0</v>
      </c>
    </row>
    <row r="33" spans="1:13" x14ac:dyDescent="0.25">
      <c r="A33" s="28">
        <v>51</v>
      </c>
      <c r="B33" s="19" t="str">
        <f t="shared" si="0"/>
        <v>50-59</v>
      </c>
      <c r="C33" s="28">
        <v>0</v>
      </c>
      <c r="D33" s="28">
        <v>2</v>
      </c>
      <c r="E33" s="28">
        <v>140</v>
      </c>
      <c r="F33" s="28">
        <v>308</v>
      </c>
      <c r="G33" s="28">
        <v>0</v>
      </c>
      <c r="H33" s="28">
        <v>0</v>
      </c>
      <c r="I33" s="28">
        <v>142</v>
      </c>
      <c r="J33" s="28">
        <v>0</v>
      </c>
      <c r="K33" s="28">
        <v>2</v>
      </c>
      <c r="L33" s="28">
        <v>2</v>
      </c>
      <c r="M33" s="28">
        <v>1</v>
      </c>
    </row>
    <row r="34" spans="1:13" x14ac:dyDescent="0.25">
      <c r="A34" s="28">
        <v>45</v>
      </c>
      <c r="B34" s="19" t="str">
        <f t="shared" si="0"/>
        <v>40-49</v>
      </c>
      <c r="C34" s="28">
        <v>1</v>
      </c>
      <c r="D34" s="28">
        <v>1</v>
      </c>
      <c r="E34" s="28">
        <v>128</v>
      </c>
      <c r="F34" s="28">
        <v>308</v>
      </c>
      <c r="G34" s="28">
        <v>0</v>
      </c>
      <c r="H34" s="28">
        <v>0</v>
      </c>
      <c r="I34" s="28">
        <v>170</v>
      </c>
      <c r="J34" s="28">
        <v>0</v>
      </c>
      <c r="K34" s="28">
        <v>2</v>
      </c>
      <c r="L34" s="28">
        <v>2</v>
      </c>
      <c r="M34" s="28">
        <v>1</v>
      </c>
    </row>
    <row r="35" spans="1:13" x14ac:dyDescent="0.25">
      <c r="A35" s="28">
        <v>61</v>
      </c>
      <c r="B35" s="19" t="str">
        <f t="shared" si="0"/>
        <v>60-69</v>
      </c>
      <c r="C35" s="28">
        <v>0</v>
      </c>
      <c r="D35" s="28">
        <v>0</v>
      </c>
      <c r="E35" s="28">
        <v>145</v>
      </c>
      <c r="F35" s="28">
        <v>307</v>
      </c>
      <c r="G35" s="28">
        <v>0</v>
      </c>
      <c r="H35" s="28">
        <v>0</v>
      </c>
      <c r="I35" s="28">
        <v>146</v>
      </c>
      <c r="J35" s="28">
        <v>1</v>
      </c>
      <c r="K35" s="28">
        <v>1</v>
      </c>
      <c r="L35" s="28">
        <v>3</v>
      </c>
      <c r="M35" s="28">
        <v>0</v>
      </c>
    </row>
    <row r="36" spans="1:13" x14ac:dyDescent="0.25">
      <c r="A36" s="28">
        <v>41</v>
      </c>
      <c r="B36" s="19" t="str">
        <f t="shared" si="0"/>
        <v>40-49</v>
      </c>
      <c r="C36" s="28">
        <v>0</v>
      </c>
      <c r="D36" s="28">
        <v>1</v>
      </c>
      <c r="E36" s="28">
        <v>126</v>
      </c>
      <c r="F36" s="28">
        <v>306</v>
      </c>
      <c r="G36" s="28">
        <v>0</v>
      </c>
      <c r="H36" s="28">
        <v>1</v>
      </c>
      <c r="I36" s="28">
        <v>163</v>
      </c>
      <c r="J36" s="28">
        <v>0</v>
      </c>
      <c r="K36" s="28">
        <v>2</v>
      </c>
      <c r="L36" s="28">
        <v>2</v>
      </c>
      <c r="M36" s="28">
        <v>1</v>
      </c>
    </row>
    <row r="37" spans="1:13" x14ac:dyDescent="0.25">
      <c r="A37" s="28">
        <v>51</v>
      </c>
      <c r="B37" s="19" t="str">
        <f t="shared" si="0"/>
        <v>50-59</v>
      </c>
      <c r="C37" s="28">
        <v>0</v>
      </c>
      <c r="D37" s="28">
        <v>0</v>
      </c>
      <c r="E37" s="28">
        <v>130</v>
      </c>
      <c r="F37" s="28">
        <v>305</v>
      </c>
      <c r="G37" s="28">
        <v>0</v>
      </c>
      <c r="H37" s="28">
        <v>1</v>
      </c>
      <c r="I37" s="28">
        <v>142</v>
      </c>
      <c r="J37" s="28">
        <v>1</v>
      </c>
      <c r="K37" s="28">
        <v>1</v>
      </c>
      <c r="L37" s="28">
        <v>3</v>
      </c>
      <c r="M37" s="28">
        <v>0</v>
      </c>
    </row>
    <row r="38" spans="1:13" x14ac:dyDescent="0.25">
      <c r="A38" s="28">
        <v>77</v>
      </c>
      <c r="B38" s="19" t="str">
        <f t="shared" si="0"/>
        <v>70+</v>
      </c>
      <c r="C38" s="28">
        <v>1</v>
      </c>
      <c r="D38" s="28">
        <v>0</v>
      </c>
      <c r="E38" s="28">
        <v>125</v>
      </c>
      <c r="F38" s="28">
        <v>304</v>
      </c>
      <c r="G38" s="28">
        <v>0</v>
      </c>
      <c r="H38" s="28">
        <v>0</v>
      </c>
      <c r="I38" s="28">
        <v>162</v>
      </c>
      <c r="J38" s="28">
        <v>1</v>
      </c>
      <c r="K38" s="28">
        <v>2</v>
      </c>
      <c r="L38" s="28">
        <v>2</v>
      </c>
      <c r="M38" s="28">
        <v>0</v>
      </c>
    </row>
    <row r="39" spans="1:13" x14ac:dyDescent="0.25">
      <c r="A39" s="28">
        <v>54</v>
      </c>
      <c r="B39" s="19" t="str">
        <f t="shared" si="0"/>
        <v>50-59</v>
      </c>
      <c r="C39" s="28">
        <v>0</v>
      </c>
      <c r="D39" s="28">
        <v>2</v>
      </c>
      <c r="E39" s="28">
        <v>135</v>
      </c>
      <c r="F39" s="28">
        <v>304</v>
      </c>
      <c r="G39" s="28">
        <v>1</v>
      </c>
      <c r="H39" s="28">
        <v>1</v>
      </c>
      <c r="I39" s="28">
        <v>170</v>
      </c>
      <c r="J39" s="28">
        <v>0</v>
      </c>
      <c r="K39" s="28">
        <v>2</v>
      </c>
      <c r="L39" s="28">
        <v>2</v>
      </c>
      <c r="M39" s="28">
        <v>1</v>
      </c>
    </row>
    <row r="40" spans="1:13" x14ac:dyDescent="0.25">
      <c r="A40" s="28">
        <v>57</v>
      </c>
      <c r="B40" s="19" t="str">
        <f t="shared" si="0"/>
        <v>50-59</v>
      </c>
      <c r="C40" s="28">
        <v>0</v>
      </c>
      <c r="D40" s="28">
        <v>0</v>
      </c>
      <c r="E40" s="28">
        <v>128</v>
      </c>
      <c r="F40" s="28">
        <v>303</v>
      </c>
      <c r="G40" s="28">
        <v>0</v>
      </c>
      <c r="H40" s="28">
        <v>0</v>
      </c>
      <c r="I40" s="28">
        <v>159</v>
      </c>
      <c r="J40" s="28">
        <v>0</v>
      </c>
      <c r="K40" s="28">
        <v>2</v>
      </c>
      <c r="L40" s="28">
        <v>2</v>
      </c>
      <c r="M40" s="28">
        <v>1</v>
      </c>
    </row>
    <row r="41" spans="1:13" x14ac:dyDescent="0.25">
      <c r="A41" s="28">
        <v>64</v>
      </c>
      <c r="B41" s="19" t="str">
        <f t="shared" si="0"/>
        <v>60-69</v>
      </c>
      <c r="C41" s="28">
        <v>0</v>
      </c>
      <c r="D41" s="28">
        <v>0</v>
      </c>
      <c r="E41" s="28">
        <v>130</v>
      </c>
      <c r="F41" s="28">
        <v>303</v>
      </c>
      <c r="G41" s="28">
        <v>0</v>
      </c>
      <c r="H41" s="28">
        <v>1</v>
      </c>
      <c r="I41" s="28">
        <v>122</v>
      </c>
      <c r="J41" s="28">
        <v>0</v>
      </c>
      <c r="K41" s="28">
        <v>1</v>
      </c>
      <c r="L41" s="28">
        <v>2</v>
      </c>
      <c r="M41" s="28">
        <v>1</v>
      </c>
    </row>
    <row r="42" spans="1:13" x14ac:dyDescent="0.25">
      <c r="A42" s="28">
        <v>43</v>
      </c>
      <c r="B42" s="19" t="str">
        <f t="shared" si="0"/>
        <v>40-49</v>
      </c>
      <c r="C42" s="28">
        <v>1</v>
      </c>
      <c r="D42" s="28">
        <v>0</v>
      </c>
      <c r="E42" s="28">
        <v>115</v>
      </c>
      <c r="F42" s="28">
        <v>303</v>
      </c>
      <c r="G42" s="28">
        <v>0</v>
      </c>
      <c r="H42" s="28">
        <v>1</v>
      </c>
      <c r="I42" s="28">
        <v>181</v>
      </c>
      <c r="J42" s="28">
        <v>0</v>
      </c>
      <c r="K42" s="28">
        <v>1</v>
      </c>
      <c r="L42" s="28">
        <v>2</v>
      </c>
      <c r="M42" s="28">
        <v>1</v>
      </c>
    </row>
    <row r="43" spans="1:13" x14ac:dyDescent="0.25">
      <c r="A43" s="28">
        <v>71</v>
      </c>
      <c r="B43" s="19" t="str">
        <f t="shared" si="0"/>
        <v>70+</v>
      </c>
      <c r="C43" s="28">
        <v>0</v>
      </c>
      <c r="D43" s="28">
        <v>1</v>
      </c>
      <c r="E43" s="28">
        <v>160</v>
      </c>
      <c r="F43" s="28">
        <v>302</v>
      </c>
      <c r="G43" s="28">
        <v>0</v>
      </c>
      <c r="H43" s="28">
        <v>1</v>
      </c>
      <c r="I43" s="28">
        <v>162</v>
      </c>
      <c r="J43" s="28">
        <v>0</v>
      </c>
      <c r="K43" s="28">
        <v>2</v>
      </c>
      <c r="L43" s="28">
        <v>2</v>
      </c>
      <c r="M43" s="28">
        <v>1</v>
      </c>
    </row>
    <row r="44" spans="1:13" x14ac:dyDescent="0.25">
      <c r="A44" s="28">
        <v>66</v>
      </c>
      <c r="B44" s="19" t="str">
        <f t="shared" si="0"/>
        <v>60-69</v>
      </c>
      <c r="C44" s="28">
        <v>1</v>
      </c>
      <c r="D44" s="28">
        <v>0</v>
      </c>
      <c r="E44" s="28">
        <v>120</v>
      </c>
      <c r="F44" s="28">
        <v>302</v>
      </c>
      <c r="G44" s="28">
        <v>0</v>
      </c>
      <c r="H44" s="28">
        <v>0</v>
      </c>
      <c r="I44" s="28">
        <v>151</v>
      </c>
      <c r="J44" s="28">
        <v>0</v>
      </c>
      <c r="K44" s="28">
        <v>1</v>
      </c>
      <c r="L44" s="28">
        <v>2</v>
      </c>
      <c r="M44" s="28">
        <v>1</v>
      </c>
    </row>
    <row r="45" spans="1:13" x14ac:dyDescent="0.25">
      <c r="A45" s="28">
        <v>58</v>
      </c>
      <c r="B45" s="19" t="str">
        <f t="shared" si="0"/>
        <v>50-59</v>
      </c>
      <c r="C45" s="28">
        <v>1</v>
      </c>
      <c r="D45" s="28">
        <v>0</v>
      </c>
      <c r="E45" s="28">
        <v>125</v>
      </c>
      <c r="F45" s="28">
        <v>300</v>
      </c>
      <c r="G45" s="28">
        <v>0</v>
      </c>
      <c r="H45" s="28">
        <v>0</v>
      </c>
      <c r="I45" s="28">
        <v>171</v>
      </c>
      <c r="J45" s="28">
        <v>0</v>
      </c>
      <c r="K45" s="28">
        <v>2</v>
      </c>
      <c r="L45" s="28">
        <v>3</v>
      </c>
      <c r="M45" s="28">
        <v>0</v>
      </c>
    </row>
    <row r="46" spans="1:13" x14ac:dyDescent="0.25">
      <c r="A46" s="28">
        <v>67</v>
      </c>
      <c r="B46" s="19" t="str">
        <f t="shared" si="0"/>
        <v>60-69</v>
      </c>
      <c r="C46" s="28">
        <v>1</v>
      </c>
      <c r="D46" s="28">
        <v>0</v>
      </c>
      <c r="E46" s="28">
        <v>100</v>
      </c>
      <c r="F46" s="28">
        <v>299</v>
      </c>
      <c r="G46" s="28">
        <v>0</v>
      </c>
      <c r="H46" s="28">
        <v>0</v>
      </c>
      <c r="I46" s="28">
        <v>125</v>
      </c>
      <c r="J46" s="28">
        <v>1</v>
      </c>
      <c r="K46" s="28">
        <v>1</v>
      </c>
      <c r="L46" s="28">
        <v>2</v>
      </c>
      <c r="M46" s="28">
        <v>0</v>
      </c>
    </row>
    <row r="47" spans="1:13" x14ac:dyDescent="0.25">
      <c r="A47" s="28">
        <v>51</v>
      </c>
      <c r="B47" s="19" t="str">
        <f t="shared" si="0"/>
        <v>50-59</v>
      </c>
      <c r="C47" s="28">
        <v>1</v>
      </c>
      <c r="D47" s="28">
        <v>0</v>
      </c>
      <c r="E47" s="28">
        <v>140</v>
      </c>
      <c r="F47" s="28">
        <v>299</v>
      </c>
      <c r="G47" s="28">
        <v>0</v>
      </c>
      <c r="H47" s="28">
        <v>1</v>
      </c>
      <c r="I47" s="28">
        <v>173</v>
      </c>
      <c r="J47" s="28">
        <v>1</v>
      </c>
      <c r="K47" s="28">
        <v>2</v>
      </c>
      <c r="L47" s="28">
        <v>3</v>
      </c>
      <c r="M47" s="28">
        <v>0</v>
      </c>
    </row>
    <row r="48" spans="1:13" x14ac:dyDescent="0.25">
      <c r="A48" s="28">
        <v>51</v>
      </c>
      <c r="B48" s="19" t="str">
        <f t="shared" si="0"/>
        <v>50-59</v>
      </c>
      <c r="C48" s="28">
        <v>1</v>
      </c>
      <c r="D48" s="28">
        <v>0</v>
      </c>
      <c r="E48" s="28">
        <v>140</v>
      </c>
      <c r="F48" s="28">
        <v>298</v>
      </c>
      <c r="G48" s="28">
        <v>0</v>
      </c>
      <c r="H48" s="28">
        <v>1</v>
      </c>
      <c r="I48" s="28">
        <v>122</v>
      </c>
      <c r="J48" s="28">
        <v>1</v>
      </c>
      <c r="K48" s="28">
        <v>1</v>
      </c>
      <c r="L48" s="28">
        <v>3</v>
      </c>
      <c r="M48" s="28">
        <v>0</v>
      </c>
    </row>
    <row r="49" spans="1:13" x14ac:dyDescent="0.25">
      <c r="A49" s="28">
        <v>52</v>
      </c>
      <c r="B49" s="19" t="str">
        <f t="shared" si="0"/>
        <v>50-59</v>
      </c>
      <c r="C49" s="28">
        <v>1</v>
      </c>
      <c r="D49" s="28">
        <v>3</v>
      </c>
      <c r="E49" s="28">
        <v>152</v>
      </c>
      <c r="F49" s="28">
        <v>298</v>
      </c>
      <c r="G49" s="28">
        <v>1</v>
      </c>
      <c r="H49" s="28">
        <v>1</v>
      </c>
      <c r="I49" s="28">
        <v>178</v>
      </c>
      <c r="J49" s="28">
        <v>0</v>
      </c>
      <c r="K49" s="28">
        <v>1</v>
      </c>
      <c r="L49" s="28">
        <v>3</v>
      </c>
      <c r="M49" s="28">
        <v>1</v>
      </c>
    </row>
    <row r="50" spans="1:13" x14ac:dyDescent="0.25">
      <c r="A50" s="28">
        <v>42</v>
      </c>
      <c r="B50" s="19" t="str">
        <f t="shared" si="0"/>
        <v>40-49</v>
      </c>
      <c r="C50" s="28">
        <v>1</v>
      </c>
      <c r="D50" s="28">
        <v>1</v>
      </c>
      <c r="E50" s="28">
        <v>120</v>
      </c>
      <c r="F50" s="28">
        <v>295</v>
      </c>
      <c r="G50" s="28">
        <v>0</v>
      </c>
      <c r="H50" s="28">
        <v>1</v>
      </c>
      <c r="I50" s="28">
        <v>162</v>
      </c>
      <c r="J50" s="28">
        <v>0</v>
      </c>
      <c r="K50" s="28">
        <v>2</v>
      </c>
      <c r="L50" s="28">
        <v>2</v>
      </c>
      <c r="M50" s="28">
        <v>1</v>
      </c>
    </row>
    <row r="51" spans="1:13" x14ac:dyDescent="0.25">
      <c r="A51" s="28">
        <v>51</v>
      </c>
      <c r="B51" s="19" t="str">
        <f t="shared" si="0"/>
        <v>50-59</v>
      </c>
      <c r="C51" s="28">
        <v>0</v>
      </c>
      <c r="D51" s="28">
        <v>2</v>
      </c>
      <c r="E51" s="28">
        <v>120</v>
      </c>
      <c r="F51" s="28">
        <v>295</v>
      </c>
      <c r="G51" s="28">
        <v>0</v>
      </c>
      <c r="H51" s="28">
        <v>0</v>
      </c>
      <c r="I51" s="28">
        <v>157</v>
      </c>
      <c r="J51" s="28">
        <v>0</v>
      </c>
      <c r="K51" s="28">
        <v>2</v>
      </c>
      <c r="L51" s="28">
        <v>2</v>
      </c>
      <c r="M51" s="28">
        <v>1</v>
      </c>
    </row>
    <row r="52" spans="1:13" x14ac:dyDescent="0.25">
      <c r="A52" s="28">
        <v>62</v>
      </c>
      <c r="B52" s="19" t="str">
        <f t="shared" si="0"/>
        <v>60-69</v>
      </c>
      <c r="C52" s="28">
        <v>0</v>
      </c>
      <c r="D52" s="28">
        <v>0</v>
      </c>
      <c r="E52" s="28">
        <v>138</v>
      </c>
      <c r="F52" s="28">
        <v>294</v>
      </c>
      <c r="G52" s="28">
        <v>1</v>
      </c>
      <c r="H52" s="28">
        <v>1</v>
      </c>
      <c r="I52" s="28">
        <v>106</v>
      </c>
      <c r="J52" s="28">
        <v>0</v>
      </c>
      <c r="K52" s="28">
        <v>1</v>
      </c>
      <c r="L52" s="28">
        <v>2</v>
      </c>
      <c r="M52" s="28">
        <v>0</v>
      </c>
    </row>
    <row r="53" spans="1:13" x14ac:dyDescent="0.25">
      <c r="A53" s="28">
        <v>56</v>
      </c>
      <c r="B53" s="19" t="str">
        <f t="shared" si="0"/>
        <v>50-59</v>
      </c>
      <c r="C53" s="28">
        <v>0</v>
      </c>
      <c r="D53" s="28">
        <v>1</v>
      </c>
      <c r="E53" s="28">
        <v>140</v>
      </c>
      <c r="F53" s="28">
        <v>294</v>
      </c>
      <c r="G53" s="28">
        <v>0</v>
      </c>
      <c r="H53" s="28">
        <v>0</v>
      </c>
      <c r="I53" s="28">
        <v>153</v>
      </c>
      <c r="J53" s="28">
        <v>0</v>
      </c>
      <c r="K53" s="28">
        <v>1</v>
      </c>
      <c r="L53" s="28">
        <v>2</v>
      </c>
      <c r="M53" s="28">
        <v>1</v>
      </c>
    </row>
    <row r="54" spans="1:13" x14ac:dyDescent="0.25">
      <c r="A54" s="28">
        <v>60</v>
      </c>
      <c r="B54" s="19" t="str">
        <f t="shared" si="0"/>
        <v>60-69</v>
      </c>
      <c r="C54" s="28">
        <v>1</v>
      </c>
      <c r="D54" s="28">
        <v>0</v>
      </c>
      <c r="E54" s="28">
        <v>140</v>
      </c>
      <c r="F54" s="28">
        <v>293</v>
      </c>
      <c r="G54" s="28">
        <v>0</v>
      </c>
      <c r="H54" s="28">
        <v>0</v>
      </c>
      <c r="I54" s="28">
        <v>170</v>
      </c>
      <c r="J54" s="28">
        <v>0</v>
      </c>
      <c r="K54" s="28">
        <v>1</v>
      </c>
      <c r="L54" s="28">
        <v>3</v>
      </c>
      <c r="M54" s="28">
        <v>0</v>
      </c>
    </row>
    <row r="55" spans="1:13" x14ac:dyDescent="0.25">
      <c r="A55" s="28">
        <v>44</v>
      </c>
      <c r="B55" s="19" t="str">
        <f t="shared" si="0"/>
        <v>40-49</v>
      </c>
      <c r="C55" s="28">
        <v>1</v>
      </c>
      <c r="D55" s="28">
        <v>0</v>
      </c>
      <c r="E55" s="28">
        <v>112</v>
      </c>
      <c r="F55" s="28">
        <v>290</v>
      </c>
      <c r="G55" s="28">
        <v>0</v>
      </c>
      <c r="H55" s="28">
        <v>0</v>
      </c>
      <c r="I55" s="28">
        <v>153</v>
      </c>
      <c r="J55" s="28">
        <v>0</v>
      </c>
      <c r="K55" s="28">
        <v>2</v>
      </c>
      <c r="L55" s="28">
        <v>2</v>
      </c>
      <c r="M55" s="28">
        <v>0</v>
      </c>
    </row>
    <row r="56" spans="1:13" x14ac:dyDescent="0.25">
      <c r="A56" s="28">
        <v>55</v>
      </c>
      <c r="B56" s="19" t="str">
        <f t="shared" si="0"/>
        <v>50-59</v>
      </c>
      <c r="C56" s="28">
        <v>1</v>
      </c>
      <c r="D56" s="28">
        <v>0</v>
      </c>
      <c r="E56" s="28">
        <v>160</v>
      </c>
      <c r="F56" s="28">
        <v>289</v>
      </c>
      <c r="G56" s="28">
        <v>0</v>
      </c>
      <c r="H56" s="28">
        <v>0</v>
      </c>
      <c r="I56" s="28">
        <v>145</v>
      </c>
      <c r="J56" s="28">
        <v>1</v>
      </c>
      <c r="K56" s="28">
        <v>1</v>
      </c>
      <c r="L56" s="28">
        <v>3</v>
      </c>
      <c r="M56" s="28">
        <v>0</v>
      </c>
    </row>
    <row r="57" spans="1:13" x14ac:dyDescent="0.25">
      <c r="A57" s="28">
        <v>57</v>
      </c>
      <c r="B57" s="19" t="str">
        <f t="shared" si="0"/>
        <v>50-59</v>
      </c>
      <c r="C57" s="28">
        <v>1</v>
      </c>
      <c r="D57" s="28">
        <v>0</v>
      </c>
      <c r="E57" s="28">
        <v>165</v>
      </c>
      <c r="F57" s="28">
        <v>289</v>
      </c>
      <c r="G57" s="28">
        <v>1</v>
      </c>
      <c r="H57" s="28">
        <v>0</v>
      </c>
      <c r="I57" s="28">
        <v>124</v>
      </c>
      <c r="J57" s="28">
        <v>0</v>
      </c>
      <c r="K57" s="28">
        <v>1</v>
      </c>
      <c r="L57" s="28">
        <v>3</v>
      </c>
      <c r="M57" s="28">
        <v>0</v>
      </c>
    </row>
    <row r="58" spans="1:13" x14ac:dyDescent="0.25">
      <c r="A58" s="28">
        <v>59</v>
      </c>
      <c r="B58" s="19" t="str">
        <f t="shared" si="0"/>
        <v>50-59</v>
      </c>
      <c r="C58" s="28">
        <v>1</v>
      </c>
      <c r="D58" s="28">
        <v>3</v>
      </c>
      <c r="E58" s="28">
        <v>170</v>
      </c>
      <c r="F58" s="28">
        <v>288</v>
      </c>
      <c r="G58" s="28">
        <v>0</v>
      </c>
      <c r="H58" s="28">
        <v>0</v>
      </c>
      <c r="I58" s="28">
        <v>159</v>
      </c>
      <c r="J58" s="28">
        <v>0</v>
      </c>
      <c r="K58" s="28">
        <v>1</v>
      </c>
      <c r="L58" s="28">
        <v>3</v>
      </c>
      <c r="M58" s="28">
        <v>0</v>
      </c>
    </row>
    <row r="59" spans="1:13" x14ac:dyDescent="0.25">
      <c r="A59" s="28">
        <v>56</v>
      </c>
      <c r="B59" s="19" t="str">
        <f t="shared" si="0"/>
        <v>50-59</v>
      </c>
      <c r="C59" s="28">
        <v>0</v>
      </c>
      <c r="D59" s="28">
        <v>0</v>
      </c>
      <c r="E59" s="28">
        <v>200</v>
      </c>
      <c r="F59" s="28">
        <v>288</v>
      </c>
      <c r="G59" s="28">
        <v>1</v>
      </c>
      <c r="H59" s="28">
        <v>0</v>
      </c>
      <c r="I59" s="28">
        <v>133</v>
      </c>
      <c r="J59" s="28">
        <v>1</v>
      </c>
      <c r="K59" s="28">
        <v>0</v>
      </c>
      <c r="L59" s="28">
        <v>3</v>
      </c>
      <c r="M59" s="28">
        <v>0</v>
      </c>
    </row>
    <row r="60" spans="1:13" x14ac:dyDescent="0.25">
      <c r="A60" s="28">
        <v>54</v>
      </c>
      <c r="B60" s="19" t="str">
        <f t="shared" si="0"/>
        <v>50-59</v>
      </c>
      <c r="C60" s="28">
        <v>0</v>
      </c>
      <c r="D60" s="28">
        <v>1</v>
      </c>
      <c r="E60" s="28">
        <v>132</v>
      </c>
      <c r="F60" s="28">
        <v>288</v>
      </c>
      <c r="G60" s="28">
        <v>1</v>
      </c>
      <c r="H60" s="28">
        <v>0</v>
      </c>
      <c r="I60" s="28">
        <v>159</v>
      </c>
      <c r="J60" s="28">
        <v>1</v>
      </c>
      <c r="K60" s="28">
        <v>2</v>
      </c>
      <c r="L60" s="28">
        <v>2</v>
      </c>
      <c r="M60" s="28">
        <v>1</v>
      </c>
    </row>
    <row r="61" spans="1:13" x14ac:dyDescent="0.25">
      <c r="A61" s="28">
        <v>54</v>
      </c>
      <c r="B61" s="19" t="str">
        <f t="shared" si="0"/>
        <v>50-59</v>
      </c>
      <c r="C61" s="28">
        <v>1</v>
      </c>
      <c r="D61" s="28">
        <v>0</v>
      </c>
      <c r="E61" s="28">
        <v>122</v>
      </c>
      <c r="F61" s="28">
        <v>286</v>
      </c>
      <c r="G61" s="28">
        <v>0</v>
      </c>
      <c r="H61" s="28">
        <v>0</v>
      </c>
      <c r="I61" s="28">
        <v>116</v>
      </c>
      <c r="J61" s="28">
        <v>1</v>
      </c>
      <c r="K61" s="28">
        <v>1</v>
      </c>
      <c r="L61" s="28">
        <v>2</v>
      </c>
      <c r="M61" s="28">
        <v>0</v>
      </c>
    </row>
    <row r="62" spans="1:13" x14ac:dyDescent="0.25">
      <c r="A62" s="28">
        <v>67</v>
      </c>
      <c r="B62" s="19" t="str">
        <f t="shared" si="0"/>
        <v>60-69</v>
      </c>
      <c r="C62" s="28">
        <v>1</v>
      </c>
      <c r="D62" s="28">
        <v>0</v>
      </c>
      <c r="E62" s="28">
        <v>160</v>
      </c>
      <c r="F62" s="28">
        <v>286</v>
      </c>
      <c r="G62" s="28">
        <v>0</v>
      </c>
      <c r="H62" s="28">
        <v>0</v>
      </c>
      <c r="I62" s="28">
        <v>108</v>
      </c>
      <c r="J62" s="28">
        <v>1</v>
      </c>
      <c r="K62" s="28">
        <v>1</v>
      </c>
      <c r="L62" s="28">
        <v>2</v>
      </c>
      <c r="M62" s="28">
        <v>0</v>
      </c>
    </row>
    <row r="63" spans="1:13" x14ac:dyDescent="0.25">
      <c r="A63" s="28">
        <v>58</v>
      </c>
      <c r="B63" s="19" t="str">
        <f t="shared" si="0"/>
        <v>50-59</v>
      </c>
      <c r="C63" s="28">
        <v>1</v>
      </c>
      <c r="D63" s="28">
        <v>1</v>
      </c>
      <c r="E63" s="28">
        <v>120</v>
      </c>
      <c r="F63" s="28">
        <v>284</v>
      </c>
      <c r="G63" s="28">
        <v>0</v>
      </c>
      <c r="H63" s="28">
        <v>0</v>
      </c>
      <c r="I63" s="28">
        <v>160</v>
      </c>
      <c r="J63" s="28">
        <v>0</v>
      </c>
      <c r="K63" s="28">
        <v>1</v>
      </c>
      <c r="L63" s="28">
        <v>2</v>
      </c>
      <c r="M63" s="28">
        <v>0</v>
      </c>
    </row>
    <row r="64" spans="1:13" x14ac:dyDescent="0.25">
      <c r="A64" s="28">
        <v>58</v>
      </c>
      <c r="B64" s="19" t="str">
        <f t="shared" si="0"/>
        <v>50-59</v>
      </c>
      <c r="C64" s="28">
        <v>0</v>
      </c>
      <c r="D64" s="28">
        <v>3</v>
      </c>
      <c r="E64" s="28">
        <v>150</v>
      </c>
      <c r="F64" s="28">
        <v>283</v>
      </c>
      <c r="G64" s="28">
        <v>1</v>
      </c>
      <c r="H64" s="28">
        <v>0</v>
      </c>
      <c r="I64" s="28">
        <v>162</v>
      </c>
      <c r="J64" s="28">
        <v>0</v>
      </c>
      <c r="K64" s="28">
        <v>2</v>
      </c>
      <c r="L64" s="28">
        <v>2</v>
      </c>
      <c r="M64" s="28">
        <v>1</v>
      </c>
    </row>
    <row r="65" spans="1:13" x14ac:dyDescent="0.25">
      <c r="A65" s="28">
        <v>54</v>
      </c>
      <c r="B65" s="19" t="str">
        <f t="shared" si="0"/>
        <v>50-59</v>
      </c>
      <c r="C65" s="28">
        <v>1</v>
      </c>
      <c r="D65" s="28">
        <v>1</v>
      </c>
      <c r="E65" s="28">
        <v>192</v>
      </c>
      <c r="F65" s="28">
        <v>283</v>
      </c>
      <c r="G65" s="28">
        <v>0</v>
      </c>
      <c r="H65" s="28">
        <v>0</v>
      </c>
      <c r="I65" s="28">
        <v>195</v>
      </c>
      <c r="J65" s="28">
        <v>0</v>
      </c>
      <c r="K65" s="28">
        <v>2</v>
      </c>
      <c r="L65" s="28">
        <v>3</v>
      </c>
      <c r="M65" s="28">
        <v>0</v>
      </c>
    </row>
    <row r="66" spans="1:13" x14ac:dyDescent="0.25">
      <c r="A66" s="28">
        <v>56</v>
      </c>
      <c r="B66" s="19" t="str">
        <f t="shared" ref="B66:B129" si="1">IF(A66&lt;30,"20-29",IF(A66&lt;40,"30-39",IF(A66&lt;50,"40-49",IF(A66&lt;60,"50-59",IF(A66&lt;70,"60-69",IF(A66&lt;80,"70+"))))))</f>
        <v>50-59</v>
      </c>
      <c r="C66" s="28">
        <v>1</v>
      </c>
      <c r="D66" s="28">
        <v>0</v>
      </c>
      <c r="E66" s="28">
        <v>130</v>
      </c>
      <c r="F66" s="28">
        <v>283</v>
      </c>
      <c r="G66" s="28">
        <v>1</v>
      </c>
      <c r="H66" s="28">
        <v>0</v>
      </c>
      <c r="I66" s="28">
        <v>103</v>
      </c>
      <c r="J66" s="28">
        <v>1</v>
      </c>
      <c r="K66" s="28">
        <v>0</v>
      </c>
      <c r="L66" s="28">
        <v>3</v>
      </c>
      <c r="M66" s="28">
        <v>0</v>
      </c>
    </row>
    <row r="67" spans="1:13" x14ac:dyDescent="0.25">
      <c r="A67" s="28">
        <v>53</v>
      </c>
      <c r="B67" s="19" t="str">
        <f t="shared" si="1"/>
        <v>50-59</v>
      </c>
      <c r="C67" s="28">
        <v>1</v>
      </c>
      <c r="D67" s="28">
        <v>0</v>
      </c>
      <c r="E67" s="28">
        <v>123</v>
      </c>
      <c r="F67" s="28">
        <v>282</v>
      </c>
      <c r="G67" s="28">
        <v>0</v>
      </c>
      <c r="H67" s="28">
        <v>1</v>
      </c>
      <c r="I67" s="28">
        <v>95</v>
      </c>
      <c r="J67" s="28">
        <v>1</v>
      </c>
      <c r="K67" s="28">
        <v>1</v>
      </c>
      <c r="L67" s="28">
        <v>3</v>
      </c>
      <c r="M67" s="28">
        <v>0</v>
      </c>
    </row>
    <row r="68" spans="1:13" x14ac:dyDescent="0.25">
      <c r="A68" s="28">
        <v>65</v>
      </c>
      <c r="B68" s="19" t="str">
        <f t="shared" si="1"/>
        <v>60-69</v>
      </c>
      <c r="C68" s="28">
        <v>1</v>
      </c>
      <c r="D68" s="28">
        <v>3</v>
      </c>
      <c r="E68" s="28">
        <v>138</v>
      </c>
      <c r="F68" s="28">
        <v>282</v>
      </c>
      <c r="G68" s="28">
        <v>1</v>
      </c>
      <c r="H68" s="28">
        <v>0</v>
      </c>
      <c r="I68" s="28">
        <v>174</v>
      </c>
      <c r="J68" s="28">
        <v>0</v>
      </c>
      <c r="K68" s="28">
        <v>1</v>
      </c>
      <c r="L68" s="28">
        <v>2</v>
      </c>
      <c r="M68" s="28">
        <v>0</v>
      </c>
    </row>
    <row r="69" spans="1:13" x14ac:dyDescent="0.25">
      <c r="A69" s="28">
        <v>60</v>
      </c>
      <c r="B69" s="19" t="str">
        <f t="shared" si="1"/>
        <v>60-69</v>
      </c>
      <c r="C69" s="28">
        <v>1</v>
      </c>
      <c r="D69" s="28">
        <v>0</v>
      </c>
      <c r="E69" s="28">
        <v>145</v>
      </c>
      <c r="F69" s="28">
        <v>282</v>
      </c>
      <c r="G69" s="28">
        <v>0</v>
      </c>
      <c r="H69" s="28">
        <v>0</v>
      </c>
      <c r="I69" s="28">
        <v>142</v>
      </c>
      <c r="J69" s="28">
        <v>1</v>
      </c>
      <c r="K69" s="28">
        <v>1</v>
      </c>
      <c r="L69" s="28">
        <v>3</v>
      </c>
      <c r="M69" s="28">
        <v>0</v>
      </c>
    </row>
    <row r="70" spans="1:13" x14ac:dyDescent="0.25">
      <c r="A70" s="28">
        <v>35</v>
      </c>
      <c r="B70" s="19" t="str">
        <f t="shared" si="1"/>
        <v>30-39</v>
      </c>
      <c r="C70" s="28">
        <v>1</v>
      </c>
      <c r="D70" s="28">
        <v>0</v>
      </c>
      <c r="E70" s="28">
        <v>126</v>
      </c>
      <c r="F70" s="28">
        <v>282</v>
      </c>
      <c r="G70" s="28">
        <v>0</v>
      </c>
      <c r="H70" s="28">
        <v>0</v>
      </c>
      <c r="I70" s="28">
        <v>156</v>
      </c>
      <c r="J70" s="28">
        <v>1</v>
      </c>
      <c r="K70" s="28">
        <v>2</v>
      </c>
      <c r="L70" s="28">
        <v>3</v>
      </c>
      <c r="M70" s="28">
        <v>0</v>
      </c>
    </row>
    <row r="71" spans="1:13" x14ac:dyDescent="0.25">
      <c r="A71" s="28">
        <v>62</v>
      </c>
      <c r="B71" s="19" t="str">
        <f t="shared" si="1"/>
        <v>60-69</v>
      </c>
      <c r="C71" s="28">
        <v>1</v>
      </c>
      <c r="D71" s="28">
        <v>1</v>
      </c>
      <c r="E71" s="28">
        <v>120</v>
      </c>
      <c r="F71" s="28">
        <v>281</v>
      </c>
      <c r="G71" s="28">
        <v>0</v>
      </c>
      <c r="H71" s="28">
        <v>0</v>
      </c>
      <c r="I71" s="28">
        <v>103</v>
      </c>
      <c r="J71" s="28">
        <v>0</v>
      </c>
      <c r="K71" s="28">
        <v>1</v>
      </c>
      <c r="L71" s="28">
        <v>3</v>
      </c>
      <c r="M71" s="28">
        <v>0</v>
      </c>
    </row>
    <row r="72" spans="1:13" x14ac:dyDescent="0.25">
      <c r="A72" s="28">
        <v>66</v>
      </c>
      <c r="B72" s="19" t="str">
        <f t="shared" si="1"/>
        <v>60-69</v>
      </c>
      <c r="C72" s="28">
        <v>0</v>
      </c>
      <c r="D72" s="28">
        <v>2</v>
      </c>
      <c r="E72" s="28">
        <v>146</v>
      </c>
      <c r="F72" s="28">
        <v>278</v>
      </c>
      <c r="G72" s="28">
        <v>0</v>
      </c>
      <c r="H72" s="28">
        <v>0</v>
      </c>
      <c r="I72" s="28">
        <v>152</v>
      </c>
      <c r="J72" s="28">
        <v>0</v>
      </c>
      <c r="K72" s="28">
        <v>1</v>
      </c>
      <c r="L72" s="28">
        <v>2</v>
      </c>
      <c r="M72" s="28">
        <v>1</v>
      </c>
    </row>
    <row r="73" spans="1:13" x14ac:dyDescent="0.25">
      <c r="A73" s="28">
        <v>67</v>
      </c>
      <c r="B73" s="19" t="str">
        <f t="shared" si="1"/>
        <v>60-69</v>
      </c>
      <c r="C73" s="28">
        <v>0</v>
      </c>
      <c r="D73" s="28">
        <v>2</v>
      </c>
      <c r="E73" s="28">
        <v>152</v>
      </c>
      <c r="F73" s="28">
        <v>277</v>
      </c>
      <c r="G73" s="28">
        <v>0</v>
      </c>
      <c r="H73" s="28">
        <v>1</v>
      </c>
      <c r="I73" s="28">
        <v>172</v>
      </c>
      <c r="J73" s="28">
        <v>0</v>
      </c>
      <c r="K73" s="28">
        <v>2</v>
      </c>
      <c r="L73" s="28">
        <v>2</v>
      </c>
      <c r="M73" s="28">
        <v>1</v>
      </c>
    </row>
    <row r="74" spans="1:13" x14ac:dyDescent="0.25">
      <c r="A74" s="28">
        <v>68</v>
      </c>
      <c r="B74" s="19" t="str">
        <f t="shared" si="1"/>
        <v>60-69</v>
      </c>
      <c r="C74" s="28">
        <v>1</v>
      </c>
      <c r="D74" s="28">
        <v>2</v>
      </c>
      <c r="E74" s="28">
        <v>118</v>
      </c>
      <c r="F74" s="28">
        <v>277</v>
      </c>
      <c r="G74" s="28">
        <v>0</v>
      </c>
      <c r="H74" s="28">
        <v>1</v>
      </c>
      <c r="I74" s="28">
        <v>151</v>
      </c>
      <c r="J74" s="28">
        <v>0</v>
      </c>
      <c r="K74" s="28">
        <v>2</v>
      </c>
      <c r="L74" s="28">
        <v>3</v>
      </c>
      <c r="M74" s="28">
        <v>1</v>
      </c>
    </row>
    <row r="75" spans="1:13" x14ac:dyDescent="0.25">
      <c r="A75" s="28">
        <v>57</v>
      </c>
      <c r="B75" s="19" t="str">
        <f t="shared" si="1"/>
        <v>50-59</v>
      </c>
      <c r="C75" s="28">
        <v>1</v>
      </c>
      <c r="D75" s="28">
        <v>0</v>
      </c>
      <c r="E75" s="28">
        <v>150</v>
      </c>
      <c r="F75" s="28">
        <v>276</v>
      </c>
      <c r="G75" s="28">
        <v>0</v>
      </c>
      <c r="H75" s="28">
        <v>0</v>
      </c>
      <c r="I75" s="28">
        <v>112</v>
      </c>
      <c r="J75" s="28">
        <v>1</v>
      </c>
      <c r="K75" s="28">
        <v>1</v>
      </c>
      <c r="L75" s="28">
        <v>1</v>
      </c>
      <c r="M75" s="28">
        <v>0</v>
      </c>
    </row>
    <row r="76" spans="1:13" x14ac:dyDescent="0.25">
      <c r="A76" s="28">
        <v>47</v>
      </c>
      <c r="B76" s="19" t="str">
        <f t="shared" si="1"/>
        <v>40-49</v>
      </c>
      <c r="C76" s="28">
        <v>1</v>
      </c>
      <c r="D76" s="28">
        <v>0</v>
      </c>
      <c r="E76" s="28">
        <v>110</v>
      </c>
      <c r="F76" s="28">
        <v>275</v>
      </c>
      <c r="G76" s="28">
        <v>0</v>
      </c>
      <c r="H76" s="28">
        <v>0</v>
      </c>
      <c r="I76" s="28">
        <v>118</v>
      </c>
      <c r="J76" s="28">
        <v>1</v>
      </c>
      <c r="K76" s="28">
        <v>1</v>
      </c>
      <c r="L76" s="28">
        <v>2</v>
      </c>
      <c r="M76" s="28">
        <v>0</v>
      </c>
    </row>
    <row r="77" spans="1:13" x14ac:dyDescent="0.25">
      <c r="A77" s="28">
        <v>48</v>
      </c>
      <c r="B77" s="19" t="str">
        <f t="shared" si="1"/>
        <v>40-49</v>
      </c>
      <c r="C77" s="28">
        <v>0</v>
      </c>
      <c r="D77" s="28">
        <v>2</v>
      </c>
      <c r="E77" s="28">
        <v>130</v>
      </c>
      <c r="F77" s="28">
        <v>275</v>
      </c>
      <c r="G77" s="28">
        <v>0</v>
      </c>
      <c r="H77" s="28">
        <v>1</v>
      </c>
      <c r="I77" s="28">
        <v>139</v>
      </c>
      <c r="J77" s="28">
        <v>0</v>
      </c>
      <c r="K77" s="28">
        <v>2</v>
      </c>
      <c r="L77" s="28">
        <v>2</v>
      </c>
      <c r="M77" s="28">
        <v>1</v>
      </c>
    </row>
    <row r="78" spans="1:13" x14ac:dyDescent="0.25">
      <c r="A78" s="28">
        <v>57</v>
      </c>
      <c r="B78" s="19" t="str">
        <f t="shared" si="1"/>
        <v>50-59</v>
      </c>
      <c r="C78" s="28">
        <v>1</v>
      </c>
      <c r="D78" s="28">
        <v>0</v>
      </c>
      <c r="E78" s="28">
        <v>152</v>
      </c>
      <c r="F78" s="28">
        <v>274</v>
      </c>
      <c r="G78" s="28">
        <v>0</v>
      </c>
      <c r="H78" s="28">
        <v>1</v>
      </c>
      <c r="I78" s="28">
        <v>88</v>
      </c>
      <c r="J78" s="28">
        <v>1</v>
      </c>
      <c r="K78" s="28">
        <v>1</v>
      </c>
      <c r="L78" s="28">
        <v>3</v>
      </c>
      <c r="M78" s="28">
        <v>0</v>
      </c>
    </row>
    <row r="79" spans="1:13" x14ac:dyDescent="0.25">
      <c r="A79" s="28">
        <v>48</v>
      </c>
      <c r="B79" s="19" t="str">
        <f t="shared" si="1"/>
        <v>40-49</v>
      </c>
      <c r="C79" s="28">
        <v>1</v>
      </c>
      <c r="D79" s="28">
        <v>0</v>
      </c>
      <c r="E79" s="28">
        <v>124</v>
      </c>
      <c r="F79" s="28">
        <v>274</v>
      </c>
      <c r="G79" s="28">
        <v>0</v>
      </c>
      <c r="H79" s="28">
        <v>0</v>
      </c>
      <c r="I79" s="28">
        <v>166</v>
      </c>
      <c r="J79" s="28">
        <v>0</v>
      </c>
      <c r="K79" s="28">
        <v>1</v>
      </c>
      <c r="L79" s="28">
        <v>3</v>
      </c>
      <c r="M79" s="28">
        <v>0</v>
      </c>
    </row>
    <row r="80" spans="1:13" x14ac:dyDescent="0.25">
      <c r="A80" s="28">
        <v>68</v>
      </c>
      <c r="B80" s="19" t="str">
        <f t="shared" si="1"/>
        <v>60-69</v>
      </c>
      <c r="C80" s="28">
        <v>1</v>
      </c>
      <c r="D80" s="28">
        <v>2</v>
      </c>
      <c r="E80" s="28">
        <v>180</v>
      </c>
      <c r="F80" s="28">
        <v>274</v>
      </c>
      <c r="G80" s="28">
        <v>1</v>
      </c>
      <c r="H80" s="28">
        <v>0</v>
      </c>
      <c r="I80" s="28">
        <v>150</v>
      </c>
      <c r="J80" s="28">
        <v>1</v>
      </c>
      <c r="K80" s="28">
        <v>1</v>
      </c>
      <c r="L80" s="28">
        <v>3</v>
      </c>
      <c r="M80" s="28">
        <v>0</v>
      </c>
    </row>
    <row r="81" spans="1:13" x14ac:dyDescent="0.25">
      <c r="A81" s="28">
        <v>54</v>
      </c>
      <c r="B81" s="19" t="str">
        <f t="shared" si="1"/>
        <v>50-59</v>
      </c>
      <c r="C81" s="28">
        <v>1</v>
      </c>
      <c r="D81" s="28">
        <v>2</v>
      </c>
      <c r="E81" s="28">
        <v>125</v>
      </c>
      <c r="F81" s="28">
        <v>273</v>
      </c>
      <c r="G81" s="28">
        <v>0</v>
      </c>
      <c r="H81" s="28">
        <v>0</v>
      </c>
      <c r="I81" s="28">
        <v>152</v>
      </c>
      <c r="J81" s="28">
        <v>0</v>
      </c>
      <c r="K81" s="28">
        <v>0</v>
      </c>
      <c r="L81" s="28">
        <v>2</v>
      </c>
      <c r="M81" s="28">
        <v>1</v>
      </c>
    </row>
    <row r="82" spans="1:13" x14ac:dyDescent="0.25">
      <c r="A82" s="28">
        <v>59</v>
      </c>
      <c r="B82" s="19" t="str">
        <f t="shared" si="1"/>
        <v>50-59</v>
      </c>
      <c r="C82" s="28">
        <v>1</v>
      </c>
      <c r="D82" s="28">
        <v>3</v>
      </c>
      <c r="E82" s="28">
        <v>160</v>
      </c>
      <c r="F82" s="28">
        <v>273</v>
      </c>
      <c r="G82" s="28">
        <v>0</v>
      </c>
      <c r="H82" s="28">
        <v>0</v>
      </c>
      <c r="I82" s="28">
        <v>125</v>
      </c>
      <c r="J82" s="28">
        <v>0</v>
      </c>
      <c r="K82" s="28">
        <v>2</v>
      </c>
      <c r="L82" s="28">
        <v>2</v>
      </c>
      <c r="M82" s="28">
        <v>0</v>
      </c>
    </row>
    <row r="83" spans="1:13" x14ac:dyDescent="0.25">
      <c r="A83" s="28">
        <v>59</v>
      </c>
      <c r="B83" s="19" t="str">
        <f t="shared" si="1"/>
        <v>50-59</v>
      </c>
      <c r="C83" s="28">
        <v>1</v>
      </c>
      <c r="D83" s="28">
        <v>0</v>
      </c>
      <c r="E83" s="28">
        <v>138</v>
      </c>
      <c r="F83" s="28">
        <v>271</v>
      </c>
      <c r="G83" s="28">
        <v>0</v>
      </c>
      <c r="H83" s="28">
        <v>0</v>
      </c>
      <c r="I83" s="28">
        <v>182</v>
      </c>
      <c r="J83" s="28">
        <v>0</v>
      </c>
      <c r="K83" s="28">
        <v>2</v>
      </c>
      <c r="L83" s="28">
        <v>2</v>
      </c>
      <c r="M83" s="28">
        <v>1</v>
      </c>
    </row>
    <row r="84" spans="1:13" x14ac:dyDescent="0.25">
      <c r="A84" s="28">
        <v>49</v>
      </c>
      <c r="B84" s="19" t="str">
        <f t="shared" si="1"/>
        <v>40-49</v>
      </c>
      <c r="C84" s="28">
        <v>0</v>
      </c>
      <c r="D84" s="28">
        <v>1</v>
      </c>
      <c r="E84" s="28">
        <v>134</v>
      </c>
      <c r="F84" s="28">
        <v>271</v>
      </c>
      <c r="G84" s="28">
        <v>0</v>
      </c>
      <c r="H84" s="28">
        <v>1</v>
      </c>
      <c r="I84" s="28">
        <v>162</v>
      </c>
      <c r="J84" s="28">
        <v>0</v>
      </c>
      <c r="K84" s="28">
        <v>1</v>
      </c>
      <c r="L84" s="28">
        <v>2</v>
      </c>
      <c r="M84" s="28">
        <v>1</v>
      </c>
    </row>
    <row r="85" spans="1:13" x14ac:dyDescent="0.25">
      <c r="A85" s="28">
        <v>58</v>
      </c>
      <c r="B85" s="19" t="str">
        <f t="shared" si="1"/>
        <v>50-59</v>
      </c>
      <c r="C85" s="28">
        <v>1</v>
      </c>
      <c r="D85" s="28">
        <v>0</v>
      </c>
      <c r="E85" s="28">
        <v>150</v>
      </c>
      <c r="F85" s="28">
        <v>270</v>
      </c>
      <c r="G85" s="28">
        <v>0</v>
      </c>
      <c r="H85" s="28">
        <v>0</v>
      </c>
      <c r="I85" s="28">
        <v>111</v>
      </c>
      <c r="J85" s="28">
        <v>1</v>
      </c>
      <c r="K85" s="28">
        <v>2</v>
      </c>
      <c r="L85" s="28">
        <v>3</v>
      </c>
      <c r="M85" s="28">
        <v>0</v>
      </c>
    </row>
    <row r="86" spans="1:13" x14ac:dyDescent="0.25">
      <c r="A86" s="28">
        <v>59</v>
      </c>
      <c r="B86" s="19" t="str">
        <f t="shared" si="1"/>
        <v>50-59</v>
      </c>
      <c r="C86" s="28">
        <v>1</v>
      </c>
      <c r="D86" s="28">
        <v>3</v>
      </c>
      <c r="E86" s="28">
        <v>178</v>
      </c>
      <c r="F86" s="28">
        <v>270</v>
      </c>
      <c r="G86" s="28">
        <v>0</v>
      </c>
      <c r="H86" s="28">
        <v>0</v>
      </c>
      <c r="I86" s="28">
        <v>145</v>
      </c>
      <c r="J86" s="28">
        <v>0</v>
      </c>
      <c r="K86" s="28">
        <v>0</v>
      </c>
      <c r="L86" s="28">
        <v>3</v>
      </c>
      <c r="M86" s="28">
        <v>1</v>
      </c>
    </row>
    <row r="87" spans="1:13" x14ac:dyDescent="0.25">
      <c r="A87" s="28">
        <v>70</v>
      </c>
      <c r="B87" s="19" t="str">
        <f t="shared" si="1"/>
        <v>70+</v>
      </c>
      <c r="C87" s="28">
        <v>1</v>
      </c>
      <c r="D87" s="28">
        <v>2</v>
      </c>
      <c r="E87" s="28">
        <v>160</v>
      </c>
      <c r="F87" s="28">
        <v>269</v>
      </c>
      <c r="G87" s="28">
        <v>0</v>
      </c>
      <c r="H87" s="28">
        <v>1</v>
      </c>
      <c r="I87" s="28">
        <v>112</v>
      </c>
      <c r="J87" s="28">
        <v>1</v>
      </c>
      <c r="K87" s="28">
        <v>1</v>
      </c>
      <c r="L87" s="28">
        <v>3</v>
      </c>
      <c r="M87" s="28">
        <v>0</v>
      </c>
    </row>
    <row r="88" spans="1:13" x14ac:dyDescent="0.25">
      <c r="A88" s="28">
        <v>49</v>
      </c>
      <c r="B88" s="19" t="str">
        <f t="shared" si="1"/>
        <v>40-49</v>
      </c>
      <c r="C88" s="28">
        <v>0</v>
      </c>
      <c r="D88" s="28">
        <v>0</v>
      </c>
      <c r="E88" s="28">
        <v>130</v>
      </c>
      <c r="F88" s="28">
        <v>269</v>
      </c>
      <c r="G88" s="28">
        <v>0</v>
      </c>
      <c r="H88" s="28">
        <v>1</v>
      </c>
      <c r="I88" s="28">
        <v>163</v>
      </c>
      <c r="J88" s="28">
        <v>0</v>
      </c>
      <c r="K88" s="28">
        <v>2</v>
      </c>
      <c r="L88" s="28">
        <v>2</v>
      </c>
      <c r="M88" s="28">
        <v>1</v>
      </c>
    </row>
    <row r="89" spans="1:13" x14ac:dyDescent="0.25">
      <c r="A89" s="28">
        <v>74</v>
      </c>
      <c r="B89" s="19" t="str">
        <f t="shared" si="1"/>
        <v>70+</v>
      </c>
      <c r="C89" s="28">
        <v>0</v>
      </c>
      <c r="D89" s="28">
        <v>1</v>
      </c>
      <c r="E89" s="28">
        <v>120</v>
      </c>
      <c r="F89" s="28">
        <v>269</v>
      </c>
      <c r="G89" s="28">
        <v>0</v>
      </c>
      <c r="H89" s="28">
        <v>0</v>
      </c>
      <c r="I89" s="28">
        <v>121</v>
      </c>
      <c r="J89" s="28">
        <v>1</v>
      </c>
      <c r="K89" s="28">
        <v>2</v>
      </c>
      <c r="L89" s="28">
        <v>2</v>
      </c>
      <c r="M89" s="28">
        <v>1</v>
      </c>
    </row>
    <row r="90" spans="1:13" x14ac:dyDescent="0.25">
      <c r="A90" s="28">
        <v>63</v>
      </c>
      <c r="B90" s="19" t="str">
        <f t="shared" si="1"/>
        <v>60-69</v>
      </c>
      <c r="C90" s="28">
        <v>0</v>
      </c>
      <c r="D90" s="28">
        <v>0</v>
      </c>
      <c r="E90" s="28">
        <v>108</v>
      </c>
      <c r="F90" s="28">
        <v>269</v>
      </c>
      <c r="G90" s="28">
        <v>0</v>
      </c>
      <c r="H90" s="28">
        <v>1</v>
      </c>
      <c r="I90" s="28">
        <v>169</v>
      </c>
      <c r="J90" s="28">
        <v>1</v>
      </c>
      <c r="K90" s="28">
        <v>1</v>
      </c>
      <c r="L90" s="28">
        <v>2</v>
      </c>
      <c r="M90" s="28">
        <v>0</v>
      </c>
    </row>
    <row r="91" spans="1:13" x14ac:dyDescent="0.25">
      <c r="A91" s="28">
        <v>65</v>
      </c>
      <c r="B91" s="19" t="str">
        <f t="shared" si="1"/>
        <v>60-69</v>
      </c>
      <c r="C91" s="28">
        <v>0</v>
      </c>
      <c r="D91" s="28">
        <v>2</v>
      </c>
      <c r="E91" s="28">
        <v>155</v>
      </c>
      <c r="F91" s="28">
        <v>269</v>
      </c>
      <c r="G91" s="28">
        <v>0</v>
      </c>
      <c r="H91" s="28">
        <v>1</v>
      </c>
      <c r="I91" s="28">
        <v>148</v>
      </c>
      <c r="J91" s="28">
        <v>0</v>
      </c>
      <c r="K91" s="28">
        <v>2</v>
      </c>
      <c r="L91" s="28">
        <v>2</v>
      </c>
      <c r="M91" s="28">
        <v>1</v>
      </c>
    </row>
    <row r="92" spans="1:13" x14ac:dyDescent="0.25">
      <c r="A92" s="28">
        <v>62</v>
      </c>
      <c r="B92" s="19" t="str">
        <f t="shared" si="1"/>
        <v>60-69</v>
      </c>
      <c r="C92" s="28">
        <v>0</v>
      </c>
      <c r="D92" s="28">
        <v>0</v>
      </c>
      <c r="E92" s="28">
        <v>140</v>
      </c>
      <c r="F92" s="28">
        <v>268</v>
      </c>
      <c r="G92" s="28">
        <v>0</v>
      </c>
      <c r="H92" s="28">
        <v>0</v>
      </c>
      <c r="I92" s="28">
        <v>160</v>
      </c>
      <c r="J92" s="28">
        <v>0</v>
      </c>
      <c r="K92" s="28">
        <v>0</v>
      </c>
      <c r="L92" s="28">
        <v>2</v>
      </c>
      <c r="M92" s="28">
        <v>0</v>
      </c>
    </row>
    <row r="93" spans="1:13" x14ac:dyDescent="0.25">
      <c r="A93" s="28">
        <v>41</v>
      </c>
      <c r="B93" s="19" t="str">
        <f t="shared" si="1"/>
        <v>40-49</v>
      </c>
      <c r="C93" s="28">
        <v>0</v>
      </c>
      <c r="D93" s="28">
        <v>2</v>
      </c>
      <c r="E93" s="28">
        <v>112</v>
      </c>
      <c r="F93" s="28">
        <v>268</v>
      </c>
      <c r="G93" s="28">
        <v>0</v>
      </c>
      <c r="H93" s="28">
        <v>0</v>
      </c>
      <c r="I93" s="28">
        <v>172</v>
      </c>
      <c r="J93" s="28">
        <v>1</v>
      </c>
      <c r="K93" s="28">
        <v>2</v>
      </c>
      <c r="L93" s="28">
        <v>2</v>
      </c>
      <c r="M93" s="28">
        <v>1</v>
      </c>
    </row>
    <row r="94" spans="1:13" x14ac:dyDescent="0.25">
      <c r="A94" s="28">
        <v>54</v>
      </c>
      <c r="B94" s="19" t="str">
        <f t="shared" si="1"/>
        <v>50-59</v>
      </c>
      <c r="C94" s="28">
        <v>0</v>
      </c>
      <c r="D94" s="28">
        <v>2</v>
      </c>
      <c r="E94" s="28">
        <v>108</v>
      </c>
      <c r="F94" s="28">
        <v>267</v>
      </c>
      <c r="G94" s="28">
        <v>0</v>
      </c>
      <c r="H94" s="28">
        <v>0</v>
      </c>
      <c r="I94" s="28">
        <v>167</v>
      </c>
      <c r="J94" s="28">
        <v>0</v>
      </c>
      <c r="K94" s="28">
        <v>2</v>
      </c>
      <c r="L94" s="28">
        <v>2</v>
      </c>
      <c r="M94" s="28">
        <v>1</v>
      </c>
    </row>
    <row r="95" spans="1:13" x14ac:dyDescent="0.25">
      <c r="A95" s="28">
        <v>62</v>
      </c>
      <c r="B95" s="19" t="str">
        <f t="shared" si="1"/>
        <v>60-69</v>
      </c>
      <c r="C95" s="28">
        <v>1</v>
      </c>
      <c r="D95" s="28">
        <v>0</v>
      </c>
      <c r="E95" s="28">
        <v>120</v>
      </c>
      <c r="F95" s="28">
        <v>267</v>
      </c>
      <c r="G95" s="28">
        <v>0</v>
      </c>
      <c r="H95" s="28">
        <v>1</v>
      </c>
      <c r="I95" s="28">
        <v>99</v>
      </c>
      <c r="J95" s="28">
        <v>1</v>
      </c>
      <c r="K95" s="28">
        <v>1</v>
      </c>
      <c r="L95" s="28">
        <v>3</v>
      </c>
      <c r="M95" s="28">
        <v>0</v>
      </c>
    </row>
    <row r="96" spans="1:13" x14ac:dyDescent="0.25">
      <c r="A96" s="28">
        <v>54</v>
      </c>
      <c r="B96" s="19" t="str">
        <f t="shared" si="1"/>
        <v>50-59</v>
      </c>
      <c r="C96" s="28">
        <v>1</v>
      </c>
      <c r="D96" s="28">
        <v>0</v>
      </c>
      <c r="E96" s="28">
        <v>124</v>
      </c>
      <c r="F96" s="28">
        <v>266</v>
      </c>
      <c r="G96" s="28">
        <v>0</v>
      </c>
      <c r="H96" s="28">
        <v>0</v>
      </c>
      <c r="I96" s="28">
        <v>109</v>
      </c>
      <c r="J96" s="28">
        <v>1</v>
      </c>
      <c r="K96" s="28">
        <v>1</v>
      </c>
      <c r="L96" s="28">
        <v>3</v>
      </c>
      <c r="M96" s="28">
        <v>0</v>
      </c>
    </row>
    <row r="97" spans="1:13" x14ac:dyDescent="0.25">
      <c r="A97" s="28">
        <v>49</v>
      </c>
      <c r="B97" s="19" t="str">
        <f t="shared" si="1"/>
        <v>40-49</v>
      </c>
      <c r="C97" s="28">
        <v>1</v>
      </c>
      <c r="D97" s="28">
        <v>1</v>
      </c>
      <c r="E97" s="28">
        <v>130</v>
      </c>
      <c r="F97" s="28">
        <v>266</v>
      </c>
      <c r="G97" s="28">
        <v>0</v>
      </c>
      <c r="H97" s="28">
        <v>1</v>
      </c>
      <c r="I97" s="28">
        <v>171</v>
      </c>
      <c r="J97" s="28">
        <v>0</v>
      </c>
      <c r="K97" s="28">
        <v>2</v>
      </c>
      <c r="L97" s="28">
        <v>2</v>
      </c>
      <c r="M97" s="28">
        <v>1</v>
      </c>
    </row>
    <row r="98" spans="1:13" x14ac:dyDescent="0.25">
      <c r="A98" s="28">
        <v>71</v>
      </c>
      <c r="B98" s="19" t="str">
        <f t="shared" si="1"/>
        <v>70+</v>
      </c>
      <c r="C98" s="28">
        <v>0</v>
      </c>
      <c r="D98" s="28">
        <v>2</v>
      </c>
      <c r="E98" s="28">
        <v>110</v>
      </c>
      <c r="F98" s="28">
        <v>265</v>
      </c>
      <c r="G98" s="28">
        <v>1</v>
      </c>
      <c r="H98" s="28">
        <v>0</v>
      </c>
      <c r="I98" s="28">
        <v>130</v>
      </c>
      <c r="J98" s="28">
        <v>0</v>
      </c>
      <c r="K98" s="28">
        <v>2</v>
      </c>
      <c r="L98" s="28">
        <v>2</v>
      </c>
      <c r="M98" s="28">
        <v>1</v>
      </c>
    </row>
    <row r="99" spans="1:13" x14ac:dyDescent="0.25">
      <c r="A99" s="28">
        <v>42</v>
      </c>
      <c r="B99" s="19" t="str">
        <f t="shared" si="1"/>
        <v>40-49</v>
      </c>
      <c r="C99" s="28">
        <v>0</v>
      </c>
      <c r="D99" s="28">
        <v>0</v>
      </c>
      <c r="E99" s="28">
        <v>102</v>
      </c>
      <c r="F99" s="28">
        <v>265</v>
      </c>
      <c r="G99" s="28">
        <v>0</v>
      </c>
      <c r="H99" s="28">
        <v>0</v>
      </c>
      <c r="I99" s="28">
        <v>122</v>
      </c>
      <c r="J99" s="28">
        <v>0</v>
      </c>
      <c r="K99" s="28">
        <v>1</v>
      </c>
      <c r="L99" s="28">
        <v>2</v>
      </c>
      <c r="M99" s="28">
        <v>1</v>
      </c>
    </row>
    <row r="100" spans="1:13" x14ac:dyDescent="0.25">
      <c r="A100" s="28">
        <v>53</v>
      </c>
      <c r="B100" s="19" t="str">
        <f t="shared" si="1"/>
        <v>50-59</v>
      </c>
      <c r="C100" s="28">
        <v>0</v>
      </c>
      <c r="D100" s="28">
        <v>0</v>
      </c>
      <c r="E100" s="28">
        <v>130</v>
      </c>
      <c r="F100" s="28">
        <v>264</v>
      </c>
      <c r="G100" s="28">
        <v>0</v>
      </c>
      <c r="H100" s="28">
        <v>0</v>
      </c>
      <c r="I100" s="28">
        <v>143</v>
      </c>
      <c r="J100" s="28">
        <v>0</v>
      </c>
      <c r="K100" s="28">
        <v>1</v>
      </c>
      <c r="L100" s="28">
        <v>2</v>
      </c>
      <c r="M100" s="28">
        <v>1</v>
      </c>
    </row>
    <row r="101" spans="1:13" x14ac:dyDescent="0.25">
      <c r="A101" s="28">
        <v>45</v>
      </c>
      <c r="B101" s="19" t="str">
        <f t="shared" si="1"/>
        <v>40-49</v>
      </c>
      <c r="C101" s="28">
        <v>1</v>
      </c>
      <c r="D101" s="28">
        <v>3</v>
      </c>
      <c r="E101" s="28">
        <v>110</v>
      </c>
      <c r="F101" s="28">
        <v>264</v>
      </c>
      <c r="G101" s="28">
        <v>0</v>
      </c>
      <c r="H101" s="28">
        <v>1</v>
      </c>
      <c r="I101" s="28">
        <v>132</v>
      </c>
      <c r="J101" s="28">
        <v>0</v>
      </c>
      <c r="K101" s="28">
        <v>1</v>
      </c>
      <c r="L101" s="28">
        <v>3</v>
      </c>
      <c r="M101" s="28">
        <v>0</v>
      </c>
    </row>
    <row r="102" spans="1:13" x14ac:dyDescent="0.25">
      <c r="A102" s="28">
        <v>64</v>
      </c>
      <c r="B102" s="19" t="str">
        <f t="shared" si="1"/>
        <v>60-69</v>
      </c>
      <c r="C102" s="28">
        <v>1</v>
      </c>
      <c r="D102" s="28">
        <v>0</v>
      </c>
      <c r="E102" s="28">
        <v>128</v>
      </c>
      <c r="F102" s="28">
        <v>263</v>
      </c>
      <c r="G102" s="28">
        <v>0</v>
      </c>
      <c r="H102" s="28">
        <v>1</v>
      </c>
      <c r="I102" s="28">
        <v>105</v>
      </c>
      <c r="J102" s="28">
        <v>1</v>
      </c>
      <c r="K102" s="28">
        <v>1</v>
      </c>
      <c r="L102" s="28">
        <v>3</v>
      </c>
      <c r="M102" s="28">
        <v>1</v>
      </c>
    </row>
    <row r="103" spans="1:13" x14ac:dyDescent="0.25">
      <c r="A103" s="28">
        <v>44</v>
      </c>
      <c r="B103" s="19" t="str">
        <f t="shared" si="1"/>
        <v>40-49</v>
      </c>
      <c r="C103" s="28">
        <v>1</v>
      </c>
      <c r="D103" s="28">
        <v>1</v>
      </c>
      <c r="E103" s="28">
        <v>120</v>
      </c>
      <c r="F103" s="28">
        <v>263</v>
      </c>
      <c r="G103" s="28">
        <v>0</v>
      </c>
      <c r="H103" s="28">
        <v>1</v>
      </c>
      <c r="I103" s="28">
        <v>173</v>
      </c>
      <c r="J103" s="28">
        <v>0</v>
      </c>
      <c r="K103" s="28">
        <v>2</v>
      </c>
      <c r="L103" s="28">
        <v>3</v>
      </c>
      <c r="M103" s="28">
        <v>1</v>
      </c>
    </row>
    <row r="104" spans="1:13" x14ac:dyDescent="0.25">
      <c r="A104" s="28">
        <v>62</v>
      </c>
      <c r="B104" s="19" t="str">
        <f t="shared" si="1"/>
        <v>60-69</v>
      </c>
      <c r="C104" s="28">
        <v>0</v>
      </c>
      <c r="D104" s="28">
        <v>2</v>
      </c>
      <c r="E104" s="28">
        <v>130</v>
      </c>
      <c r="F104" s="28">
        <v>263</v>
      </c>
      <c r="G104" s="28">
        <v>0</v>
      </c>
      <c r="H104" s="28">
        <v>1</v>
      </c>
      <c r="I104" s="28">
        <v>97</v>
      </c>
      <c r="J104" s="28">
        <v>0</v>
      </c>
      <c r="K104" s="28">
        <v>1</v>
      </c>
      <c r="L104" s="28">
        <v>3</v>
      </c>
      <c r="M104" s="28">
        <v>0</v>
      </c>
    </row>
    <row r="105" spans="1:13" x14ac:dyDescent="0.25">
      <c r="A105" s="28">
        <v>55</v>
      </c>
      <c r="B105" s="19" t="str">
        <f t="shared" si="1"/>
        <v>50-59</v>
      </c>
      <c r="C105" s="28">
        <v>1</v>
      </c>
      <c r="D105" s="28">
        <v>1</v>
      </c>
      <c r="E105" s="28">
        <v>130</v>
      </c>
      <c r="F105" s="28">
        <v>262</v>
      </c>
      <c r="G105" s="28">
        <v>0</v>
      </c>
      <c r="H105" s="28">
        <v>1</v>
      </c>
      <c r="I105" s="28">
        <v>155</v>
      </c>
      <c r="J105" s="28">
        <v>0</v>
      </c>
      <c r="K105" s="28">
        <v>2</v>
      </c>
      <c r="L105" s="28">
        <v>2</v>
      </c>
      <c r="M105" s="28">
        <v>1</v>
      </c>
    </row>
    <row r="106" spans="1:13" x14ac:dyDescent="0.25">
      <c r="A106" s="28">
        <v>51</v>
      </c>
      <c r="B106" s="19" t="str">
        <f t="shared" si="1"/>
        <v>50-59</v>
      </c>
      <c r="C106" s="28">
        <v>1</v>
      </c>
      <c r="D106" s="28">
        <v>0</v>
      </c>
      <c r="E106" s="28">
        <v>140</v>
      </c>
      <c r="F106" s="28">
        <v>261</v>
      </c>
      <c r="G106" s="28">
        <v>0</v>
      </c>
      <c r="H106" s="28">
        <v>0</v>
      </c>
      <c r="I106" s="28">
        <v>186</v>
      </c>
      <c r="J106" s="28">
        <v>1</v>
      </c>
      <c r="K106" s="28">
        <v>2</v>
      </c>
      <c r="L106" s="28">
        <v>2</v>
      </c>
      <c r="M106" s="28">
        <v>1</v>
      </c>
    </row>
    <row r="107" spans="1:13" x14ac:dyDescent="0.25">
      <c r="A107" s="28">
        <v>57</v>
      </c>
      <c r="B107" s="19" t="str">
        <f t="shared" si="1"/>
        <v>50-59</v>
      </c>
      <c r="C107" s="28">
        <v>1</v>
      </c>
      <c r="D107" s="28">
        <v>1</v>
      </c>
      <c r="E107" s="28">
        <v>124</v>
      </c>
      <c r="F107" s="28">
        <v>261</v>
      </c>
      <c r="G107" s="28">
        <v>0</v>
      </c>
      <c r="H107" s="28">
        <v>1</v>
      </c>
      <c r="I107" s="28">
        <v>141</v>
      </c>
      <c r="J107" s="28">
        <v>0</v>
      </c>
      <c r="K107" s="28">
        <v>2</v>
      </c>
      <c r="L107" s="28">
        <v>3</v>
      </c>
      <c r="M107" s="28">
        <v>0</v>
      </c>
    </row>
    <row r="108" spans="1:13" x14ac:dyDescent="0.25">
      <c r="A108" s="28">
        <v>61</v>
      </c>
      <c r="B108" s="19" t="str">
        <f t="shared" si="1"/>
        <v>60-69</v>
      </c>
      <c r="C108" s="28">
        <v>1</v>
      </c>
      <c r="D108" s="28">
        <v>0</v>
      </c>
      <c r="E108" s="28">
        <v>120</v>
      </c>
      <c r="F108" s="28">
        <v>260</v>
      </c>
      <c r="G108" s="28">
        <v>0</v>
      </c>
      <c r="H108" s="28">
        <v>1</v>
      </c>
      <c r="I108" s="28">
        <v>140</v>
      </c>
      <c r="J108" s="28">
        <v>1</v>
      </c>
      <c r="K108" s="28">
        <v>1</v>
      </c>
      <c r="L108" s="28">
        <v>3</v>
      </c>
      <c r="M108" s="28">
        <v>0</v>
      </c>
    </row>
    <row r="109" spans="1:13" x14ac:dyDescent="0.25">
      <c r="A109" s="28">
        <v>45</v>
      </c>
      <c r="B109" s="19" t="str">
        <f t="shared" si="1"/>
        <v>40-49</v>
      </c>
      <c r="C109" s="28">
        <v>1</v>
      </c>
      <c r="D109" s="28">
        <v>0</v>
      </c>
      <c r="E109" s="28">
        <v>115</v>
      </c>
      <c r="F109" s="28">
        <v>260</v>
      </c>
      <c r="G109" s="28">
        <v>0</v>
      </c>
      <c r="H109" s="28">
        <v>0</v>
      </c>
      <c r="I109" s="28">
        <v>185</v>
      </c>
      <c r="J109" s="28">
        <v>0</v>
      </c>
      <c r="K109" s="28">
        <v>2</v>
      </c>
      <c r="L109" s="28">
        <v>2</v>
      </c>
      <c r="M109" s="28">
        <v>1</v>
      </c>
    </row>
    <row r="110" spans="1:13" x14ac:dyDescent="0.25">
      <c r="A110" s="28">
        <v>58</v>
      </c>
      <c r="B110" s="19" t="str">
        <f t="shared" si="1"/>
        <v>50-59</v>
      </c>
      <c r="C110" s="28">
        <v>1</v>
      </c>
      <c r="D110" s="28">
        <v>0</v>
      </c>
      <c r="E110" s="28">
        <v>128</v>
      </c>
      <c r="F110" s="28">
        <v>259</v>
      </c>
      <c r="G110" s="28">
        <v>0</v>
      </c>
      <c r="H110" s="28">
        <v>0</v>
      </c>
      <c r="I110" s="28">
        <v>130</v>
      </c>
      <c r="J110" s="28">
        <v>1</v>
      </c>
      <c r="K110" s="28">
        <v>1</v>
      </c>
      <c r="L110" s="28">
        <v>3</v>
      </c>
      <c r="M110" s="28">
        <v>0</v>
      </c>
    </row>
    <row r="111" spans="1:13" x14ac:dyDescent="0.25">
      <c r="A111" s="28">
        <v>54</v>
      </c>
      <c r="B111" s="19" t="str">
        <f t="shared" si="1"/>
        <v>50-59</v>
      </c>
      <c r="C111" s="28">
        <v>1</v>
      </c>
      <c r="D111" s="28">
        <v>2</v>
      </c>
      <c r="E111" s="28">
        <v>120</v>
      </c>
      <c r="F111" s="28">
        <v>258</v>
      </c>
      <c r="G111" s="28">
        <v>0</v>
      </c>
      <c r="H111" s="28">
        <v>0</v>
      </c>
      <c r="I111" s="28">
        <v>147</v>
      </c>
      <c r="J111" s="28">
        <v>0</v>
      </c>
      <c r="K111" s="28">
        <v>1</v>
      </c>
      <c r="L111" s="28">
        <v>3</v>
      </c>
      <c r="M111" s="28">
        <v>1</v>
      </c>
    </row>
    <row r="112" spans="1:13" x14ac:dyDescent="0.25">
      <c r="A112" s="28">
        <v>60</v>
      </c>
      <c r="B112" s="19" t="str">
        <f t="shared" si="1"/>
        <v>60-69</v>
      </c>
      <c r="C112" s="28">
        <v>1</v>
      </c>
      <c r="D112" s="28">
        <v>0</v>
      </c>
      <c r="E112" s="28">
        <v>125</v>
      </c>
      <c r="F112" s="28">
        <v>258</v>
      </c>
      <c r="G112" s="28">
        <v>0</v>
      </c>
      <c r="H112" s="28">
        <v>0</v>
      </c>
      <c r="I112" s="28">
        <v>141</v>
      </c>
      <c r="J112" s="28">
        <v>1</v>
      </c>
      <c r="K112" s="28">
        <v>1</v>
      </c>
      <c r="L112" s="28">
        <v>3</v>
      </c>
      <c r="M112" s="28">
        <v>0</v>
      </c>
    </row>
    <row r="113" spans="1:13" x14ac:dyDescent="0.25">
      <c r="A113" s="28">
        <v>60</v>
      </c>
      <c r="B113" s="19" t="str">
        <f t="shared" si="1"/>
        <v>60-69</v>
      </c>
      <c r="C113" s="28">
        <v>0</v>
      </c>
      <c r="D113" s="28">
        <v>0</v>
      </c>
      <c r="E113" s="28">
        <v>150</v>
      </c>
      <c r="F113" s="28">
        <v>258</v>
      </c>
      <c r="G113" s="28">
        <v>0</v>
      </c>
      <c r="H113" s="28">
        <v>0</v>
      </c>
      <c r="I113" s="28">
        <v>157</v>
      </c>
      <c r="J113" s="28">
        <v>0</v>
      </c>
      <c r="K113" s="28">
        <v>1</v>
      </c>
      <c r="L113" s="28">
        <v>3</v>
      </c>
      <c r="M113" s="28">
        <v>0</v>
      </c>
    </row>
    <row r="114" spans="1:13" x14ac:dyDescent="0.25">
      <c r="A114" s="28">
        <v>47</v>
      </c>
      <c r="B114" s="19" t="str">
        <f t="shared" si="1"/>
        <v>40-49</v>
      </c>
      <c r="C114" s="28">
        <v>1</v>
      </c>
      <c r="D114" s="28">
        <v>2</v>
      </c>
      <c r="E114" s="28">
        <v>138</v>
      </c>
      <c r="F114" s="28">
        <v>257</v>
      </c>
      <c r="G114" s="28">
        <v>0</v>
      </c>
      <c r="H114" s="28">
        <v>0</v>
      </c>
      <c r="I114" s="28">
        <v>156</v>
      </c>
      <c r="J114" s="28">
        <v>0</v>
      </c>
      <c r="K114" s="28">
        <v>2</v>
      </c>
      <c r="L114" s="28">
        <v>2</v>
      </c>
      <c r="M114" s="28">
        <v>1</v>
      </c>
    </row>
    <row r="115" spans="1:13" x14ac:dyDescent="0.25">
      <c r="A115" s="28">
        <v>56</v>
      </c>
      <c r="B115" s="19" t="str">
        <f t="shared" si="1"/>
        <v>50-59</v>
      </c>
      <c r="C115" s="28">
        <v>1</v>
      </c>
      <c r="D115" s="28">
        <v>2</v>
      </c>
      <c r="E115" s="28">
        <v>130</v>
      </c>
      <c r="F115" s="28">
        <v>256</v>
      </c>
      <c r="G115" s="28">
        <v>1</v>
      </c>
      <c r="H115" s="28">
        <v>0</v>
      </c>
      <c r="I115" s="28">
        <v>142</v>
      </c>
      <c r="J115" s="28">
        <v>1</v>
      </c>
      <c r="K115" s="28">
        <v>1</v>
      </c>
      <c r="L115" s="28">
        <v>1</v>
      </c>
      <c r="M115" s="28">
        <v>0</v>
      </c>
    </row>
    <row r="116" spans="1:13" x14ac:dyDescent="0.25">
      <c r="A116" s="28">
        <v>48</v>
      </c>
      <c r="B116" s="19" t="str">
        <f t="shared" si="1"/>
        <v>40-49</v>
      </c>
      <c r="C116" s="28">
        <v>1</v>
      </c>
      <c r="D116" s="28">
        <v>0</v>
      </c>
      <c r="E116" s="28">
        <v>130</v>
      </c>
      <c r="F116" s="28">
        <v>256</v>
      </c>
      <c r="G116" s="28">
        <v>1</v>
      </c>
      <c r="H116" s="28">
        <v>0</v>
      </c>
      <c r="I116" s="28">
        <v>150</v>
      </c>
      <c r="J116" s="28">
        <v>1</v>
      </c>
      <c r="K116" s="28">
        <v>2</v>
      </c>
      <c r="L116" s="28">
        <v>3</v>
      </c>
      <c r="M116" s="28">
        <v>0</v>
      </c>
    </row>
    <row r="117" spans="1:13" x14ac:dyDescent="0.25">
      <c r="A117" s="28">
        <v>51</v>
      </c>
      <c r="B117" s="19" t="str">
        <f t="shared" si="1"/>
        <v>50-59</v>
      </c>
      <c r="C117" s="28">
        <v>0</v>
      </c>
      <c r="D117" s="28">
        <v>2</v>
      </c>
      <c r="E117" s="28">
        <v>130</v>
      </c>
      <c r="F117" s="28">
        <v>256</v>
      </c>
      <c r="G117" s="28">
        <v>0</v>
      </c>
      <c r="H117" s="28">
        <v>0</v>
      </c>
      <c r="I117" s="28">
        <v>149</v>
      </c>
      <c r="J117" s="28">
        <v>0</v>
      </c>
      <c r="K117" s="28">
        <v>2</v>
      </c>
      <c r="L117" s="28">
        <v>2</v>
      </c>
      <c r="M117" s="28">
        <v>1</v>
      </c>
    </row>
    <row r="118" spans="1:13" x14ac:dyDescent="0.25">
      <c r="A118" s="28">
        <v>48</v>
      </c>
      <c r="B118" s="19" t="str">
        <f t="shared" si="1"/>
        <v>40-49</v>
      </c>
      <c r="C118" s="28">
        <v>1</v>
      </c>
      <c r="D118" s="28">
        <v>2</v>
      </c>
      <c r="E118" s="28">
        <v>124</v>
      </c>
      <c r="F118" s="28">
        <v>255</v>
      </c>
      <c r="G118" s="28">
        <v>1</v>
      </c>
      <c r="H118" s="28">
        <v>1</v>
      </c>
      <c r="I118" s="28">
        <v>175</v>
      </c>
      <c r="J118" s="28">
        <v>0</v>
      </c>
      <c r="K118" s="28">
        <v>2</v>
      </c>
      <c r="L118" s="28">
        <v>2</v>
      </c>
      <c r="M118" s="28">
        <v>1</v>
      </c>
    </row>
    <row r="119" spans="1:13" x14ac:dyDescent="0.25">
      <c r="A119" s="28">
        <v>52</v>
      </c>
      <c r="B119" s="19" t="str">
        <f t="shared" si="1"/>
        <v>50-59</v>
      </c>
      <c r="C119" s="28">
        <v>1</v>
      </c>
      <c r="D119" s="28">
        <v>0</v>
      </c>
      <c r="E119" s="28">
        <v>128</v>
      </c>
      <c r="F119" s="28">
        <v>255</v>
      </c>
      <c r="G119" s="28">
        <v>0</v>
      </c>
      <c r="H119" s="28">
        <v>1</v>
      </c>
      <c r="I119" s="28">
        <v>161</v>
      </c>
      <c r="J119" s="28">
        <v>1</v>
      </c>
      <c r="K119" s="28">
        <v>2</v>
      </c>
      <c r="L119" s="28">
        <v>3</v>
      </c>
      <c r="M119" s="28">
        <v>0</v>
      </c>
    </row>
    <row r="120" spans="1:13" x14ac:dyDescent="0.25">
      <c r="A120" s="28">
        <v>50</v>
      </c>
      <c r="B120" s="19" t="str">
        <f t="shared" si="1"/>
        <v>50-59</v>
      </c>
      <c r="C120" s="28">
        <v>0</v>
      </c>
      <c r="D120" s="28">
        <v>0</v>
      </c>
      <c r="E120" s="28">
        <v>110</v>
      </c>
      <c r="F120" s="28">
        <v>254</v>
      </c>
      <c r="G120" s="28">
        <v>0</v>
      </c>
      <c r="H120" s="28">
        <v>0</v>
      </c>
      <c r="I120" s="28">
        <v>159</v>
      </c>
      <c r="J120" s="28">
        <v>0</v>
      </c>
      <c r="K120" s="28">
        <v>2</v>
      </c>
      <c r="L120" s="28">
        <v>2</v>
      </c>
      <c r="M120" s="28">
        <v>1</v>
      </c>
    </row>
    <row r="121" spans="1:13" x14ac:dyDescent="0.25">
      <c r="A121" s="28">
        <v>67</v>
      </c>
      <c r="B121" s="19" t="str">
        <f t="shared" si="1"/>
        <v>60-69</v>
      </c>
      <c r="C121" s="28">
        <v>1</v>
      </c>
      <c r="D121" s="28">
        <v>0</v>
      </c>
      <c r="E121" s="28">
        <v>125</v>
      </c>
      <c r="F121" s="28">
        <v>254</v>
      </c>
      <c r="G121" s="28">
        <v>1</v>
      </c>
      <c r="H121" s="28">
        <v>1</v>
      </c>
      <c r="I121" s="28">
        <v>163</v>
      </c>
      <c r="J121" s="28">
        <v>0</v>
      </c>
      <c r="K121" s="28">
        <v>1</v>
      </c>
      <c r="L121" s="28">
        <v>3</v>
      </c>
      <c r="M121" s="28">
        <v>0</v>
      </c>
    </row>
    <row r="122" spans="1:13" x14ac:dyDescent="0.25">
      <c r="A122" s="28">
        <v>63</v>
      </c>
      <c r="B122" s="19" t="str">
        <f t="shared" si="1"/>
        <v>60-69</v>
      </c>
      <c r="C122" s="28">
        <v>1</v>
      </c>
      <c r="D122" s="28">
        <v>0</v>
      </c>
      <c r="E122" s="28">
        <v>130</v>
      </c>
      <c r="F122" s="28">
        <v>254</v>
      </c>
      <c r="G122" s="28">
        <v>0</v>
      </c>
      <c r="H122" s="28">
        <v>0</v>
      </c>
      <c r="I122" s="28">
        <v>147</v>
      </c>
      <c r="J122" s="28">
        <v>0</v>
      </c>
      <c r="K122" s="28">
        <v>1</v>
      </c>
      <c r="L122" s="28">
        <v>3</v>
      </c>
      <c r="M122" s="28">
        <v>0</v>
      </c>
    </row>
    <row r="123" spans="1:13" x14ac:dyDescent="0.25">
      <c r="A123" s="28">
        <v>65</v>
      </c>
      <c r="B123" s="19" t="str">
        <f t="shared" si="1"/>
        <v>60-69</v>
      </c>
      <c r="C123" s="28">
        <v>1</v>
      </c>
      <c r="D123" s="28">
        <v>0</v>
      </c>
      <c r="E123" s="28">
        <v>135</v>
      </c>
      <c r="F123" s="28">
        <v>254</v>
      </c>
      <c r="G123" s="28">
        <v>0</v>
      </c>
      <c r="H123" s="28">
        <v>0</v>
      </c>
      <c r="I123" s="28">
        <v>127</v>
      </c>
      <c r="J123" s="28">
        <v>0</v>
      </c>
      <c r="K123" s="28">
        <v>1</v>
      </c>
      <c r="L123" s="28">
        <v>3</v>
      </c>
      <c r="M123" s="28">
        <v>0</v>
      </c>
    </row>
    <row r="124" spans="1:13" x14ac:dyDescent="0.25">
      <c r="A124" s="28">
        <v>69</v>
      </c>
      <c r="B124" s="19" t="str">
        <f t="shared" si="1"/>
        <v>60-69</v>
      </c>
      <c r="C124" s="28">
        <v>1</v>
      </c>
      <c r="D124" s="28">
        <v>2</v>
      </c>
      <c r="E124" s="28">
        <v>140</v>
      </c>
      <c r="F124" s="28">
        <v>254</v>
      </c>
      <c r="G124" s="28">
        <v>0</v>
      </c>
      <c r="H124" s="28">
        <v>0</v>
      </c>
      <c r="I124" s="28">
        <v>146</v>
      </c>
      <c r="J124" s="28">
        <v>0</v>
      </c>
      <c r="K124" s="28">
        <v>1</v>
      </c>
      <c r="L124" s="28">
        <v>3</v>
      </c>
      <c r="M124" s="28">
        <v>0</v>
      </c>
    </row>
    <row r="125" spans="1:13" x14ac:dyDescent="0.25">
      <c r="A125" s="28">
        <v>60</v>
      </c>
      <c r="B125" s="19" t="str">
        <f t="shared" si="1"/>
        <v>60-69</v>
      </c>
      <c r="C125" s="28">
        <v>1</v>
      </c>
      <c r="D125" s="28">
        <v>0</v>
      </c>
      <c r="E125" s="28">
        <v>130</v>
      </c>
      <c r="F125" s="28">
        <v>253</v>
      </c>
      <c r="G125" s="28">
        <v>0</v>
      </c>
      <c r="H125" s="28">
        <v>1</v>
      </c>
      <c r="I125" s="28">
        <v>144</v>
      </c>
      <c r="J125" s="28">
        <v>1</v>
      </c>
      <c r="K125" s="28">
        <v>2</v>
      </c>
      <c r="L125" s="28">
        <v>3</v>
      </c>
      <c r="M125" s="28">
        <v>0</v>
      </c>
    </row>
    <row r="126" spans="1:13" x14ac:dyDescent="0.25">
      <c r="A126" s="28">
        <v>47</v>
      </c>
      <c r="B126" s="19" t="str">
        <f t="shared" si="1"/>
        <v>40-49</v>
      </c>
      <c r="C126" s="28">
        <v>1</v>
      </c>
      <c r="D126" s="28">
        <v>2</v>
      </c>
      <c r="E126" s="28">
        <v>130</v>
      </c>
      <c r="F126" s="28">
        <v>253</v>
      </c>
      <c r="G126" s="28">
        <v>0</v>
      </c>
      <c r="H126" s="28">
        <v>1</v>
      </c>
      <c r="I126" s="28">
        <v>179</v>
      </c>
      <c r="J126" s="28">
        <v>0</v>
      </c>
      <c r="K126" s="28">
        <v>2</v>
      </c>
      <c r="L126" s="28">
        <v>2</v>
      </c>
      <c r="M126" s="28">
        <v>1</v>
      </c>
    </row>
    <row r="127" spans="1:13" x14ac:dyDescent="0.25">
      <c r="A127" s="28">
        <v>63</v>
      </c>
      <c r="B127" s="19" t="str">
        <f t="shared" si="1"/>
        <v>60-69</v>
      </c>
      <c r="C127" s="28">
        <v>0</v>
      </c>
      <c r="D127" s="28">
        <v>2</v>
      </c>
      <c r="E127" s="28">
        <v>135</v>
      </c>
      <c r="F127" s="28">
        <v>252</v>
      </c>
      <c r="G127" s="28">
        <v>0</v>
      </c>
      <c r="H127" s="28">
        <v>0</v>
      </c>
      <c r="I127" s="28">
        <v>172</v>
      </c>
      <c r="J127" s="28">
        <v>0</v>
      </c>
      <c r="K127" s="28">
        <v>2</v>
      </c>
      <c r="L127" s="28">
        <v>2</v>
      </c>
      <c r="M127" s="28">
        <v>1</v>
      </c>
    </row>
    <row r="128" spans="1:13" x14ac:dyDescent="0.25">
      <c r="A128" s="28">
        <v>41</v>
      </c>
      <c r="B128" s="19" t="str">
        <f t="shared" si="1"/>
        <v>40-49</v>
      </c>
      <c r="C128" s="28">
        <v>1</v>
      </c>
      <c r="D128" s="28">
        <v>2</v>
      </c>
      <c r="E128" s="28">
        <v>112</v>
      </c>
      <c r="F128" s="28">
        <v>250</v>
      </c>
      <c r="G128" s="28">
        <v>0</v>
      </c>
      <c r="H128" s="28">
        <v>1</v>
      </c>
      <c r="I128" s="28">
        <v>179</v>
      </c>
      <c r="J128" s="28">
        <v>0</v>
      </c>
      <c r="K128" s="28">
        <v>2</v>
      </c>
      <c r="L128" s="28">
        <v>2</v>
      </c>
      <c r="M128" s="28">
        <v>1</v>
      </c>
    </row>
    <row r="129" spans="1:13" x14ac:dyDescent="0.25">
      <c r="A129" s="28">
        <v>37</v>
      </c>
      <c r="B129" s="19" t="str">
        <f t="shared" si="1"/>
        <v>30-39</v>
      </c>
      <c r="C129" s="28">
        <v>1</v>
      </c>
      <c r="D129" s="28">
        <v>2</v>
      </c>
      <c r="E129" s="28">
        <v>130</v>
      </c>
      <c r="F129" s="28">
        <v>250</v>
      </c>
      <c r="G129" s="28">
        <v>0</v>
      </c>
      <c r="H129" s="28">
        <v>1</v>
      </c>
      <c r="I129" s="28">
        <v>187</v>
      </c>
      <c r="J129" s="28">
        <v>0</v>
      </c>
      <c r="K129" s="28">
        <v>0</v>
      </c>
      <c r="L129" s="28">
        <v>2</v>
      </c>
      <c r="M129" s="28">
        <v>1</v>
      </c>
    </row>
    <row r="130" spans="1:13" x14ac:dyDescent="0.25">
      <c r="A130" s="28">
        <v>55</v>
      </c>
      <c r="B130" s="19" t="str">
        <f t="shared" ref="B130:B193" si="2">IF(A130&lt;30,"20-29",IF(A130&lt;40,"30-39",IF(A130&lt;50,"40-49",IF(A130&lt;60,"50-59",IF(A130&lt;70,"60-69",IF(A130&lt;80,"70+"))))))</f>
        <v>50-59</v>
      </c>
      <c r="C130" s="28">
        <v>0</v>
      </c>
      <c r="D130" s="28">
        <v>1</v>
      </c>
      <c r="E130" s="28">
        <v>135</v>
      </c>
      <c r="F130" s="28">
        <v>250</v>
      </c>
      <c r="G130" s="28">
        <v>0</v>
      </c>
      <c r="H130" s="28">
        <v>0</v>
      </c>
      <c r="I130" s="28">
        <v>161</v>
      </c>
      <c r="J130" s="28">
        <v>0</v>
      </c>
      <c r="K130" s="28">
        <v>1</v>
      </c>
      <c r="L130" s="28">
        <v>2</v>
      </c>
      <c r="M130" s="28">
        <v>1</v>
      </c>
    </row>
    <row r="131" spans="1:13" x14ac:dyDescent="0.25">
      <c r="A131" s="28">
        <v>46</v>
      </c>
      <c r="B131" s="19" t="str">
        <f t="shared" si="2"/>
        <v>40-49</v>
      </c>
      <c r="C131" s="28">
        <v>1</v>
      </c>
      <c r="D131" s="28">
        <v>0</v>
      </c>
      <c r="E131" s="28">
        <v>120</v>
      </c>
      <c r="F131" s="28">
        <v>249</v>
      </c>
      <c r="G131" s="28">
        <v>0</v>
      </c>
      <c r="H131" s="28">
        <v>0</v>
      </c>
      <c r="I131" s="28">
        <v>144</v>
      </c>
      <c r="J131" s="28">
        <v>0</v>
      </c>
      <c r="K131" s="28">
        <v>2</v>
      </c>
      <c r="L131" s="28">
        <v>3</v>
      </c>
      <c r="M131" s="28">
        <v>0</v>
      </c>
    </row>
    <row r="132" spans="1:13" x14ac:dyDescent="0.25">
      <c r="A132" s="28">
        <v>56</v>
      </c>
      <c r="B132" s="19" t="str">
        <f t="shared" si="2"/>
        <v>50-59</v>
      </c>
      <c r="C132" s="28">
        <v>1</v>
      </c>
      <c r="D132" s="28">
        <v>0</v>
      </c>
      <c r="E132" s="28">
        <v>125</v>
      </c>
      <c r="F132" s="28">
        <v>249</v>
      </c>
      <c r="G132" s="28">
        <v>1</v>
      </c>
      <c r="H132" s="28">
        <v>0</v>
      </c>
      <c r="I132" s="28">
        <v>144</v>
      </c>
      <c r="J132" s="28">
        <v>1</v>
      </c>
      <c r="K132" s="28">
        <v>1</v>
      </c>
      <c r="L132" s="28">
        <v>2</v>
      </c>
      <c r="M132" s="28">
        <v>0</v>
      </c>
    </row>
    <row r="133" spans="1:13" x14ac:dyDescent="0.25">
      <c r="A133" s="28">
        <v>59</v>
      </c>
      <c r="B133" s="19" t="str">
        <f t="shared" si="2"/>
        <v>50-59</v>
      </c>
      <c r="C133" s="28">
        <v>0</v>
      </c>
      <c r="D133" s="28">
        <v>0</v>
      </c>
      <c r="E133" s="28">
        <v>174</v>
      </c>
      <c r="F133" s="28">
        <v>249</v>
      </c>
      <c r="G133" s="28">
        <v>0</v>
      </c>
      <c r="H133" s="28">
        <v>1</v>
      </c>
      <c r="I133" s="28">
        <v>143</v>
      </c>
      <c r="J133" s="28">
        <v>1</v>
      </c>
      <c r="K133" s="28">
        <v>1</v>
      </c>
      <c r="L133" s="28">
        <v>2</v>
      </c>
      <c r="M133" s="28">
        <v>0</v>
      </c>
    </row>
    <row r="134" spans="1:13" x14ac:dyDescent="0.25">
      <c r="A134" s="28">
        <v>58</v>
      </c>
      <c r="B134" s="19" t="str">
        <f t="shared" si="2"/>
        <v>50-59</v>
      </c>
      <c r="C134" s="28">
        <v>0</v>
      </c>
      <c r="D134" s="28">
        <v>0</v>
      </c>
      <c r="E134" s="28">
        <v>100</v>
      </c>
      <c r="F134" s="28">
        <v>248</v>
      </c>
      <c r="G134" s="28">
        <v>0</v>
      </c>
      <c r="H134" s="28">
        <v>0</v>
      </c>
      <c r="I134" s="28">
        <v>122</v>
      </c>
      <c r="J134" s="28">
        <v>0</v>
      </c>
      <c r="K134" s="28">
        <v>1</v>
      </c>
      <c r="L134" s="28">
        <v>2</v>
      </c>
      <c r="M134" s="28">
        <v>1</v>
      </c>
    </row>
    <row r="135" spans="1:13" x14ac:dyDescent="0.25">
      <c r="A135" s="28">
        <v>65</v>
      </c>
      <c r="B135" s="19" t="str">
        <f t="shared" si="2"/>
        <v>60-69</v>
      </c>
      <c r="C135" s="28">
        <v>1</v>
      </c>
      <c r="D135" s="28">
        <v>0</v>
      </c>
      <c r="E135" s="28">
        <v>110</v>
      </c>
      <c r="F135" s="28">
        <v>248</v>
      </c>
      <c r="G135" s="28">
        <v>0</v>
      </c>
      <c r="H135" s="28">
        <v>0</v>
      </c>
      <c r="I135" s="28">
        <v>158</v>
      </c>
      <c r="J135" s="28">
        <v>0</v>
      </c>
      <c r="K135" s="28">
        <v>2</v>
      </c>
      <c r="L135" s="28">
        <v>1</v>
      </c>
      <c r="M135" s="28">
        <v>0</v>
      </c>
    </row>
    <row r="136" spans="1:13" x14ac:dyDescent="0.25">
      <c r="A136" s="28">
        <v>43</v>
      </c>
      <c r="B136" s="19" t="str">
        <f t="shared" si="2"/>
        <v>40-49</v>
      </c>
      <c r="C136" s="28">
        <v>1</v>
      </c>
      <c r="D136" s="28">
        <v>0</v>
      </c>
      <c r="E136" s="28">
        <v>132</v>
      </c>
      <c r="F136" s="28">
        <v>247</v>
      </c>
      <c r="G136" s="28">
        <v>1</v>
      </c>
      <c r="H136" s="28">
        <v>0</v>
      </c>
      <c r="I136" s="28">
        <v>143</v>
      </c>
      <c r="J136" s="28">
        <v>1</v>
      </c>
      <c r="K136" s="28">
        <v>1</v>
      </c>
      <c r="L136" s="28">
        <v>3</v>
      </c>
      <c r="M136" s="28">
        <v>0</v>
      </c>
    </row>
    <row r="137" spans="1:13" x14ac:dyDescent="0.25">
      <c r="A137" s="28">
        <v>43</v>
      </c>
      <c r="B137" s="19" t="str">
        <f t="shared" si="2"/>
        <v>40-49</v>
      </c>
      <c r="C137" s="28">
        <v>1</v>
      </c>
      <c r="D137" s="28">
        <v>0</v>
      </c>
      <c r="E137" s="28">
        <v>150</v>
      </c>
      <c r="F137" s="28">
        <v>247</v>
      </c>
      <c r="G137" s="28">
        <v>0</v>
      </c>
      <c r="H137" s="28">
        <v>1</v>
      </c>
      <c r="I137" s="28">
        <v>171</v>
      </c>
      <c r="J137" s="28">
        <v>0</v>
      </c>
      <c r="K137" s="28">
        <v>2</v>
      </c>
      <c r="L137" s="28">
        <v>2</v>
      </c>
      <c r="M137" s="28">
        <v>1</v>
      </c>
    </row>
    <row r="138" spans="1:13" x14ac:dyDescent="0.25">
      <c r="A138" s="28">
        <v>64</v>
      </c>
      <c r="B138" s="19" t="str">
        <f t="shared" si="2"/>
        <v>60-69</v>
      </c>
      <c r="C138" s="28">
        <v>1</v>
      </c>
      <c r="D138" s="28">
        <v>0</v>
      </c>
      <c r="E138" s="28">
        <v>120</v>
      </c>
      <c r="F138" s="28">
        <v>246</v>
      </c>
      <c r="G138" s="28">
        <v>0</v>
      </c>
      <c r="H138" s="28">
        <v>0</v>
      </c>
      <c r="I138" s="28">
        <v>96</v>
      </c>
      <c r="J138" s="28">
        <v>1</v>
      </c>
      <c r="K138" s="28">
        <v>0</v>
      </c>
      <c r="L138" s="28">
        <v>2</v>
      </c>
      <c r="M138" s="28">
        <v>0</v>
      </c>
    </row>
    <row r="139" spans="1:13" x14ac:dyDescent="0.25">
      <c r="A139" s="28">
        <v>66</v>
      </c>
      <c r="B139" s="19" t="str">
        <f t="shared" si="2"/>
        <v>60-69</v>
      </c>
      <c r="C139" s="28">
        <v>1</v>
      </c>
      <c r="D139" s="28">
        <v>1</v>
      </c>
      <c r="E139" s="28">
        <v>160</v>
      </c>
      <c r="F139" s="28">
        <v>246</v>
      </c>
      <c r="G139" s="28">
        <v>0</v>
      </c>
      <c r="H139" s="28">
        <v>1</v>
      </c>
      <c r="I139" s="28">
        <v>120</v>
      </c>
      <c r="J139" s="28">
        <v>1</v>
      </c>
      <c r="K139" s="28">
        <v>1</v>
      </c>
      <c r="L139" s="28">
        <v>1</v>
      </c>
      <c r="M139" s="28">
        <v>0</v>
      </c>
    </row>
    <row r="140" spans="1:13" x14ac:dyDescent="0.25">
      <c r="A140" s="28">
        <v>53</v>
      </c>
      <c r="B140" s="19" t="str">
        <f t="shared" si="2"/>
        <v>50-59</v>
      </c>
      <c r="C140" s="28">
        <v>1</v>
      </c>
      <c r="D140" s="28">
        <v>2</v>
      </c>
      <c r="E140" s="28">
        <v>130</v>
      </c>
      <c r="F140" s="28">
        <v>246</v>
      </c>
      <c r="G140" s="28">
        <v>1</v>
      </c>
      <c r="H140" s="28">
        <v>0</v>
      </c>
      <c r="I140" s="28">
        <v>173</v>
      </c>
      <c r="J140" s="28">
        <v>0</v>
      </c>
      <c r="K140" s="28">
        <v>2</v>
      </c>
      <c r="L140" s="28">
        <v>2</v>
      </c>
      <c r="M140" s="28">
        <v>1</v>
      </c>
    </row>
    <row r="141" spans="1:13" x14ac:dyDescent="0.25">
      <c r="A141" s="28">
        <v>48</v>
      </c>
      <c r="B141" s="19" t="str">
        <f t="shared" si="2"/>
        <v>40-49</v>
      </c>
      <c r="C141" s="28">
        <v>1</v>
      </c>
      <c r="D141" s="28">
        <v>1</v>
      </c>
      <c r="E141" s="28">
        <v>130</v>
      </c>
      <c r="F141" s="28">
        <v>245</v>
      </c>
      <c r="G141" s="28">
        <v>0</v>
      </c>
      <c r="H141" s="28">
        <v>0</v>
      </c>
      <c r="I141" s="28">
        <v>180</v>
      </c>
      <c r="J141" s="28">
        <v>0</v>
      </c>
      <c r="K141" s="28">
        <v>1</v>
      </c>
      <c r="L141" s="28">
        <v>2</v>
      </c>
      <c r="M141" s="28">
        <v>1</v>
      </c>
    </row>
    <row r="142" spans="1:13" x14ac:dyDescent="0.25">
      <c r="A142" s="28">
        <v>51</v>
      </c>
      <c r="B142" s="19" t="str">
        <f t="shared" si="2"/>
        <v>50-59</v>
      </c>
      <c r="C142" s="28">
        <v>1</v>
      </c>
      <c r="D142" s="28">
        <v>2</v>
      </c>
      <c r="E142" s="28">
        <v>125</v>
      </c>
      <c r="F142" s="28">
        <v>245</v>
      </c>
      <c r="G142" s="28">
        <v>1</v>
      </c>
      <c r="H142" s="28">
        <v>0</v>
      </c>
      <c r="I142" s="28">
        <v>166</v>
      </c>
      <c r="J142" s="28">
        <v>0</v>
      </c>
      <c r="K142" s="28">
        <v>1</v>
      </c>
      <c r="L142" s="28">
        <v>2</v>
      </c>
      <c r="M142" s="28">
        <v>1</v>
      </c>
    </row>
    <row r="143" spans="1:13" x14ac:dyDescent="0.25">
      <c r="A143" s="28">
        <v>70</v>
      </c>
      <c r="B143" s="19" t="str">
        <f t="shared" si="2"/>
        <v>70+</v>
      </c>
      <c r="C143" s="28">
        <v>1</v>
      </c>
      <c r="D143" s="28">
        <v>1</v>
      </c>
      <c r="E143" s="28">
        <v>156</v>
      </c>
      <c r="F143" s="28">
        <v>245</v>
      </c>
      <c r="G143" s="28">
        <v>0</v>
      </c>
      <c r="H143" s="28">
        <v>0</v>
      </c>
      <c r="I143" s="28">
        <v>143</v>
      </c>
      <c r="J143" s="28">
        <v>0</v>
      </c>
      <c r="K143" s="28">
        <v>2</v>
      </c>
      <c r="L143" s="28">
        <v>2</v>
      </c>
      <c r="M143" s="28">
        <v>1</v>
      </c>
    </row>
    <row r="144" spans="1:13" x14ac:dyDescent="0.25">
      <c r="A144" s="28">
        <v>50</v>
      </c>
      <c r="B144" s="19" t="str">
        <f t="shared" si="2"/>
        <v>50-59</v>
      </c>
      <c r="C144" s="28">
        <v>0</v>
      </c>
      <c r="D144" s="28">
        <v>1</v>
      </c>
      <c r="E144" s="28">
        <v>120</v>
      </c>
      <c r="F144" s="28">
        <v>244</v>
      </c>
      <c r="G144" s="28">
        <v>0</v>
      </c>
      <c r="H144" s="28">
        <v>1</v>
      </c>
      <c r="I144" s="28">
        <v>162</v>
      </c>
      <c r="J144" s="28">
        <v>0</v>
      </c>
      <c r="K144" s="28">
        <v>2</v>
      </c>
      <c r="L144" s="28">
        <v>2</v>
      </c>
      <c r="M144" s="28">
        <v>1</v>
      </c>
    </row>
    <row r="145" spans="1:13" x14ac:dyDescent="0.25">
      <c r="A145" s="28">
        <v>42</v>
      </c>
      <c r="B145" s="19" t="str">
        <f t="shared" si="2"/>
        <v>40-49</v>
      </c>
      <c r="C145" s="28">
        <v>1</v>
      </c>
      <c r="D145" s="28">
        <v>3</v>
      </c>
      <c r="E145" s="28">
        <v>148</v>
      </c>
      <c r="F145" s="28">
        <v>244</v>
      </c>
      <c r="G145" s="28">
        <v>0</v>
      </c>
      <c r="H145" s="28">
        <v>0</v>
      </c>
      <c r="I145" s="28">
        <v>178</v>
      </c>
      <c r="J145" s="28">
        <v>0</v>
      </c>
      <c r="K145" s="28">
        <v>2</v>
      </c>
      <c r="L145" s="28">
        <v>2</v>
      </c>
      <c r="M145" s="28">
        <v>1</v>
      </c>
    </row>
    <row r="146" spans="1:13" x14ac:dyDescent="0.25">
      <c r="A146" s="28">
        <v>62</v>
      </c>
      <c r="B146" s="19" t="str">
        <f t="shared" si="2"/>
        <v>60-69</v>
      </c>
      <c r="C146" s="28">
        <v>0</v>
      </c>
      <c r="D146" s="28">
        <v>0</v>
      </c>
      <c r="E146" s="28">
        <v>150</v>
      </c>
      <c r="F146" s="28">
        <v>244</v>
      </c>
      <c r="G146" s="28">
        <v>0</v>
      </c>
      <c r="H146" s="28">
        <v>1</v>
      </c>
      <c r="I146" s="28">
        <v>154</v>
      </c>
      <c r="J146" s="28">
        <v>1</v>
      </c>
      <c r="K146" s="28">
        <v>1</v>
      </c>
      <c r="L146" s="28">
        <v>2</v>
      </c>
      <c r="M146" s="28">
        <v>0</v>
      </c>
    </row>
    <row r="147" spans="1:13" x14ac:dyDescent="0.25">
      <c r="A147" s="28">
        <v>50</v>
      </c>
      <c r="B147" s="19" t="str">
        <f t="shared" si="2"/>
        <v>50-59</v>
      </c>
      <c r="C147" s="28">
        <v>1</v>
      </c>
      <c r="D147" s="28">
        <v>0</v>
      </c>
      <c r="E147" s="28">
        <v>150</v>
      </c>
      <c r="F147" s="28">
        <v>243</v>
      </c>
      <c r="G147" s="28">
        <v>0</v>
      </c>
      <c r="H147" s="28">
        <v>0</v>
      </c>
      <c r="I147" s="28">
        <v>128</v>
      </c>
      <c r="J147" s="28">
        <v>0</v>
      </c>
      <c r="K147" s="28">
        <v>1</v>
      </c>
      <c r="L147" s="28">
        <v>3</v>
      </c>
      <c r="M147" s="28">
        <v>0</v>
      </c>
    </row>
    <row r="148" spans="1:13" x14ac:dyDescent="0.25">
      <c r="A148" s="28">
        <v>61</v>
      </c>
      <c r="B148" s="19" t="str">
        <f t="shared" si="2"/>
        <v>60-69</v>
      </c>
      <c r="C148" s="28">
        <v>1</v>
      </c>
      <c r="D148" s="28">
        <v>2</v>
      </c>
      <c r="E148" s="28">
        <v>150</v>
      </c>
      <c r="F148" s="28">
        <v>243</v>
      </c>
      <c r="G148" s="28">
        <v>1</v>
      </c>
      <c r="H148" s="28">
        <v>1</v>
      </c>
      <c r="I148" s="28">
        <v>137</v>
      </c>
      <c r="J148" s="28">
        <v>1</v>
      </c>
      <c r="K148" s="28">
        <v>1</v>
      </c>
      <c r="L148" s="28">
        <v>2</v>
      </c>
      <c r="M148" s="28">
        <v>1</v>
      </c>
    </row>
    <row r="149" spans="1:13" x14ac:dyDescent="0.25">
      <c r="A149" s="28">
        <v>46</v>
      </c>
      <c r="B149" s="19" t="str">
        <f t="shared" si="2"/>
        <v>40-49</v>
      </c>
      <c r="C149" s="28">
        <v>0</v>
      </c>
      <c r="D149" s="28">
        <v>0</v>
      </c>
      <c r="E149" s="28">
        <v>138</v>
      </c>
      <c r="F149" s="28">
        <v>243</v>
      </c>
      <c r="G149" s="28">
        <v>0</v>
      </c>
      <c r="H149" s="28">
        <v>0</v>
      </c>
      <c r="I149" s="28">
        <v>152</v>
      </c>
      <c r="J149" s="28">
        <v>1</v>
      </c>
      <c r="K149" s="28">
        <v>1</v>
      </c>
      <c r="L149" s="28">
        <v>2</v>
      </c>
      <c r="M149" s="28">
        <v>1</v>
      </c>
    </row>
    <row r="150" spans="1:13" x14ac:dyDescent="0.25">
      <c r="A150" s="28">
        <v>47</v>
      </c>
      <c r="B150" s="19" t="str">
        <f t="shared" si="2"/>
        <v>40-49</v>
      </c>
      <c r="C150" s="28">
        <v>1</v>
      </c>
      <c r="D150" s="28">
        <v>2</v>
      </c>
      <c r="E150" s="28">
        <v>108</v>
      </c>
      <c r="F150" s="28">
        <v>243</v>
      </c>
      <c r="G150" s="28">
        <v>0</v>
      </c>
      <c r="H150" s="28">
        <v>1</v>
      </c>
      <c r="I150" s="28">
        <v>152</v>
      </c>
      <c r="J150" s="28">
        <v>0</v>
      </c>
      <c r="K150" s="28">
        <v>2</v>
      </c>
      <c r="L150" s="28">
        <v>2</v>
      </c>
      <c r="M150" s="28">
        <v>0</v>
      </c>
    </row>
    <row r="151" spans="1:13" x14ac:dyDescent="0.25">
      <c r="A151" s="28">
        <v>44</v>
      </c>
      <c r="B151" s="19" t="str">
        <f t="shared" si="2"/>
        <v>40-49</v>
      </c>
      <c r="C151" s="28">
        <v>0</v>
      </c>
      <c r="D151" s="28">
        <v>2</v>
      </c>
      <c r="E151" s="28">
        <v>118</v>
      </c>
      <c r="F151" s="28">
        <v>242</v>
      </c>
      <c r="G151" s="28">
        <v>0</v>
      </c>
      <c r="H151" s="28">
        <v>1</v>
      </c>
      <c r="I151" s="28">
        <v>149</v>
      </c>
      <c r="J151" s="28">
        <v>0</v>
      </c>
      <c r="K151" s="28">
        <v>1</v>
      </c>
      <c r="L151" s="28">
        <v>2</v>
      </c>
      <c r="M151" s="28">
        <v>1</v>
      </c>
    </row>
    <row r="152" spans="1:13" x14ac:dyDescent="0.25">
      <c r="A152" s="28">
        <v>57</v>
      </c>
      <c r="B152" s="19" t="str">
        <f t="shared" si="2"/>
        <v>50-59</v>
      </c>
      <c r="C152" s="28">
        <v>0</v>
      </c>
      <c r="D152" s="28">
        <v>0</v>
      </c>
      <c r="E152" s="28">
        <v>140</v>
      </c>
      <c r="F152" s="28">
        <v>241</v>
      </c>
      <c r="G152" s="28">
        <v>0</v>
      </c>
      <c r="H152" s="28">
        <v>1</v>
      </c>
      <c r="I152" s="28">
        <v>123</v>
      </c>
      <c r="J152" s="28">
        <v>1</v>
      </c>
      <c r="K152" s="28">
        <v>1</v>
      </c>
      <c r="L152" s="28">
        <v>3</v>
      </c>
      <c r="M152" s="28">
        <v>0</v>
      </c>
    </row>
    <row r="153" spans="1:13" x14ac:dyDescent="0.25">
      <c r="A153" s="28">
        <v>60</v>
      </c>
      <c r="B153" s="19" t="str">
        <f t="shared" si="2"/>
        <v>60-69</v>
      </c>
      <c r="C153" s="28">
        <v>0</v>
      </c>
      <c r="D153" s="28">
        <v>3</v>
      </c>
      <c r="E153" s="28">
        <v>150</v>
      </c>
      <c r="F153" s="28">
        <v>240</v>
      </c>
      <c r="G153" s="28">
        <v>0</v>
      </c>
      <c r="H153" s="28">
        <v>1</v>
      </c>
      <c r="I153" s="28">
        <v>171</v>
      </c>
      <c r="J153" s="28">
        <v>0</v>
      </c>
      <c r="K153" s="28">
        <v>2</v>
      </c>
      <c r="L153" s="28">
        <v>2</v>
      </c>
      <c r="M153" s="28">
        <v>1</v>
      </c>
    </row>
    <row r="154" spans="1:13" x14ac:dyDescent="0.25">
      <c r="A154" s="28">
        <v>56</v>
      </c>
      <c r="B154" s="19" t="str">
        <f t="shared" si="2"/>
        <v>50-59</v>
      </c>
      <c r="C154" s="28">
        <v>1</v>
      </c>
      <c r="D154" s="28">
        <v>1</v>
      </c>
      <c r="E154" s="28">
        <v>120</v>
      </c>
      <c r="F154" s="28">
        <v>240</v>
      </c>
      <c r="G154" s="28">
        <v>0</v>
      </c>
      <c r="H154" s="28">
        <v>1</v>
      </c>
      <c r="I154" s="28">
        <v>169</v>
      </c>
      <c r="J154" s="28">
        <v>0</v>
      </c>
      <c r="K154" s="28">
        <v>0</v>
      </c>
      <c r="L154" s="28">
        <v>2</v>
      </c>
      <c r="M154" s="28">
        <v>1</v>
      </c>
    </row>
    <row r="155" spans="1:13" x14ac:dyDescent="0.25">
      <c r="A155" s="28">
        <v>42</v>
      </c>
      <c r="B155" s="19" t="str">
        <f t="shared" si="2"/>
        <v>40-49</v>
      </c>
      <c r="C155" s="28">
        <v>1</v>
      </c>
      <c r="D155" s="28">
        <v>2</v>
      </c>
      <c r="E155" s="28">
        <v>120</v>
      </c>
      <c r="F155" s="28">
        <v>240</v>
      </c>
      <c r="G155" s="28">
        <v>1</v>
      </c>
      <c r="H155" s="28">
        <v>1</v>
      </c>
      <c r="I155" s="28">
        <v>194</v>
      </c>
      <c r="J155" s="28">
        <v>0</v>
      </c>
      <c r="K155" s="28">
        <v>0</v>
      </c>
      <c r="L155" s="28">
        <v>3</v>
      </c>
      <c r="M155" s="28">
        <v>1</v>
      </c>
    </row>
    <row r="156" spans="1:13" x14ac:dyDescent="0.25">
      <c r="A156" s="28">
        <v>58</v>
      </c>
      <c r="B156" s="19" t="str">
        <f t="shared" si="2"/>
        <v>50-59</v>
      </c>
      <c r="C156" s="28">
        <v>1</v>
      </c>
      <c r="D156" s="28">
        <v>2</v>
      </c>
      <c r="E156" s="28">
        <v>105</v>
      </c>
      <c r="F156" s="28">
        <v>240</v>
      </c>
      <c r="G156" s="28">
        <v>0</v>
      </c>
      <c r="H156" s="28">
        <v>0</v>
      </c>
      <c r="I156" s="28">
        <v>154</v>
      </c>
      <c r="J156" s="28">
        <v>1</v>
      </c>
      <c r="K156" s="28">
        <v>1</v>
      </c>
      <c r="L156" s="28">
        <v>3</v>
      </c>
      <c r="M156" s="28">
        <v>1</v>
      </c>
    </row>
    <row r="157" spans="1:13" x14ac:dyDescent="0.25">
      <c r="A157" s="28">
        <v>59</v>
      </c>
      <c r="B157" s="19" t="str">
        <f t="shared" si="2"/>
        <v>50-59</v>
      </c>
      <c r="C157" s="28">
        <v>1</v>
      </c>
      <c r="D157" s="28">
        <v>0</v>
      </c>
      <c r="E157" s="28">
        <v>110</v>
      </c>
      <c r="F157" s="28">
        <v>239</v>
      </c>
      <c r="G157" s="28">
        <v>0</v>
      </c>
      <c r="H157" s="28">
        <v>0</v>
      </c>
      <c r="I157" s="28">
        <v>142</v>
      </c>
      <c r="J157" s="28">
        <v>1</v>
      </c>
      <c r="K157" s="28">
        <v>1</v>
      </c>
      <c r="L157" s="28">
        <v>3</v>
      </c>
      <c r="M157" s="28">
        <v>0</v>
      </c>
    </row>
    <row r="158" spans="1:13" x14ac:dyDescent="0.25">
      <c r="A158" s="28">
        <v>54</v>
      </c>
      <c r="B158" s="19" t="str">
        <f t="shared" si="2"/>
        <v>50-59</v>
      </c>
      <c r="C158" s="28">
        <v>1</v>
      </c>
      <c r="D158" s="28">
        <v>0</v>
      </c>
      <c r="E158" s="28">
        <v>110</v>
      </c>
      <c r="F158" s="28">
        <v>239</v>
      </c>
      <c r="G158" s="28">
        <v>0</v>
      </c>
      <c r="H158" s="28">
        <v>1</v>
      </c>
      <c r="I158" s="28">
        <v>126</v>
      </c>
      <c r="J158" s="28">
        <v>1</v>
      </c>
      <c r="K158" s="28">
        <v>1</v>
      </c>
      <c r="L158" s="28">
        <v>3</v>
      </c>
      <c r="M158" s="28">
        <v>0</v>
      </c>
    </row>
    <row r="159" spans="1:13" x14ac:dyDescent="0.25">
      <c r="A159" s="28">
        <v>54</v>
      </c>
      <c r="B159" s="19" t="str">
        <f t="shared" si="2"/>
        <v>50-59</v>
      </c>
      <c r="C159" s="28">
        <v>1</v>
      </c>
      <c r="D159" s="28">
        <v>0</v>
      </c>
      <c r="E159" s="28">
        <v>140</v>
      </c>
      <c r="F159" s="28">
        <v>239</v>
      </c>
      <c r="G159" s="28">
        <v>0</v>
      </c>
      <c r="H159" s="28">
        <v>1</v>
      </c>
      <c r="I159" s="28">
        <v>160</v>
      </c>
      <c r="J159" s="28">
        <v>0</v>
      </c>
      <c r="K159" s="28">
        <v>2</v>
      </c>
      <c r="L159" s="28">
        <v>2</v>
      </c>
      <c r="M159" s="28">
        <v>1</v>
      </c>
    </row>
    <row r="160" spans="1:13" x14ac:dyDescent="0.25">
      <c r="A160" s="28">
        <v>69</v>
      </c>
      <c r="B160" s="19" t="str">
        <f t="shared" si="2"/>
        <v>60-69</v>
      </c>
      <c r="C160" s="28">
        <v>0</v>
      </c>
      <c r="D160" s="28">
        <v>3</v>
      </c>
      <c r="E160" s="28">
        <v>140</v>
      </c>
      <c r="F160" s="28">
        <v>239</v>
      </c>
      <c r="G160" s="28">
        <v>0</v>
      </c>
      <c r="H160" s="28">
        <v>1</v>
      </c>
      <c r="I160" s="28">
        <v>151</v>
      </c>
      <c r="J160" s="28">
        <v>0</v>
      </c>
      <c r="K160" s="28">
        <v>2</v>
      </c>
      <c r="L160" s="28">
        <v>2</v>
      </c>
      <c r="M160" s="28">
        <v>1</v>
      </c>
    </row>
    <row r="161" spans="1:13" x14ac:dyDescent="0.25">
      <c r="A161" s="28">
        <v>67</v>
      </c>
      <c r="B161" s="19" t="str">
        <f t="shared" si="2"/>
        <v>60-69</v>
      </c>
      <c r="C161" s="28">
        <v>1</v>
      </c>
      <c r="D161" s="28">
        <v>0</v>
      </c>
      <c r="E161" s="28">
        <v>120</v>
      </c>
      <c r="F161" s="28">
        <v>237</v>
      </c>
      <c r="G161" s="28">
        <v>0</v>
      </c>
      <c r="H161" s="28">
        <v>1</v>
      </c>
      <c r="I161" s="28">
        <v>71</v>
      </c>
      <c r="J161" s="28">
        <v>0</v>
      </c>
      <c r="K161" s="28">
        <v>1</v>
      </c>
      <c r="L161" s="28">
        <v>2</v>
      </c>
      <c r="M161" s="28">
        <v>0</v>
      </c>
    </row>
    <row r="162" spans="1:13" x14ac:dyDescent="0.25">
      <c r="A162" s="28">
        <v>45</v>
      </c>
      <c r="B162" s="19" t="str">
        <f t="shared" si="2"/>
        <v>40-49</v>
      </c>
      <c r="C162" s="28">
        <v>0</v>
      </c>
      <c r="D162" s="28">
        <v>0</v>
      </c>
      <c r="E162" s="28">
        <v>138</v>
      </c>
      <c r="F162" s="28">
        <v>236</v>
      </c>
      <c r="G162" s="28">
        <v>0</v>
      </c>
      <c r="H162" s="28">
        <v>0</v>
      </c>
      <c r="I162" s="28">
        <v>152</v>
      </c>
      <c r="J162" s="28">
        <v>1</v>
      </c>
      <c r="K162" s="28">
        <v>1</v>
      </c>
      <c r="L162" s="28">
        <v>2</v>
      </c>
      <c r="M162" s="28">
        <v>1</v>
      </c>
    </row>
    <row r="163" spans="1:13" x14ac:dyDescent="0.25">
      <c r="A163" s="28">
        <v>56</v>
      </c>
      <c r="B163" s="19" t="str">
        <f t="shared" si="2"/>
        <v>50-59</v>
      </c>
      <c r="C163" s="28">
        <v>1</v>
      </c>
      <c r="D163" s="28">
        <v>1</v>
      </c>
      <c r="E163" s="28">
        <v>120</v>
      </c>
      <c r="F163" s="28">
        <v>236</v>
      </c>
      <c r="G163" s="28">
        <v>0</v>
      </c>
      <c r="H163" s="28">
        <v>1</v>
      </c>
      <c r="I163" s="28">
        <v>178</v>
      </c>
      <c r="J163" s="28">
        <v>0</v>
      </c>
      <c r="K163" s="28">
        <v>2</v>
      </c>
      <c r="L163" s="28">
        <v>2</v>
      </c>
      <c r="M163" s="28">
        <v>1</v>
      </c>
    </row>
    <row r="164" spans="1:13" x14ac:dyDescent="0.25">
      <c r="A164" s="28">
        <v>57</v>
      </c>
      <c r="B164" s="19" t="str">
        <f t="shared" si="2"/>
        <v>50-59</v>
      </c>
      <c r="C164" s="28">
        <v>0</v>
      </c>
      <c r="D164" s="28">
        <v>1</v>
      </c>
      <c r="E164" s="28">
        <v>130</v>
      </c>
      <c r="F164" s="28">
        <v>236</v>
      </c>
      <c r="G164" s="28">
        <v>0</v>
      </c>
      <c r="H164" s="28">
        <v>0</v>
      </c>
      <c r="I164" s="28">
        <v>174</v>
      </c>
      <c r="J164" s="28">
        <v>0</v>
      </c>
      <c r="K164" s="28">
        <v>1</v>
      </c>
      <c r="L164" s="28">
        <v>2</v>
      </c>
      <c r="M164" s="28">
        <v>0</v>
      </c>
    </row>
    <row r="165" spans="1:13" x14ac:dyDescent="0.25">
      <c r="A165" s="28">
        <v>41</v>
      </c>
      <c r="B165" s="19" t="str">
        <f t="shared" si="2"/>
        <v>40-49</v>
      </c>
      <c r="C165" s="28">
        <v>1</v>
      </c>
      <c r="D165" s="28">
        <v>1</v>
      </c>
      <c r="E165" s="28">
        <v>110</v>
      </c>
      <c r="F165" s="28">
        <v>235</v>
      </c>
      <c r="G165" s="28">
        <v>0</v>
      </c>
      <c r="H165" s="28">
        <v>1</v>
      </c>
      <c r="I165" s="28">
        <v>153</v>
      </c>
      <c r="J165" s="28">
        <v>0</v>
      </c>
      <c r="K165" s="28">
        <v>2</v>
      </c>
      <c r="L165" s="28">
        <v>2</v>
      </c>
      <c r="M165" s="28">
        <v>1</v>
      </c>
    </row>
    <row r="166" spans="1:13" x14ac:dyDescent="0.25">
      <c r="A166" s="28">
        <v>44</v>
      </c>
      <c r="B166" s="19" t="str">
        <f t="shared" si="2"/>
        <v>40-49</v>
      </c>
      <c r="C166" s="28">
        <v>1</v>
      </c>
      <c r="D166" s="28">
        <v>2</v>
      </c>
      <c r="E166" s="28">
        <v>140</v>
      </c>
      <c r="F166" s="28">
        <v>235</v>
      </c>
      <c r="G166" s="28">
        <v>0</v>
      </c>
      <c r="H166" s="28">
        <v>0</v>
      </c>
      <c r="I166" s="28">
        <v>180</v>
      </c>
      <c r="J166" s="28">
        <v>0</v>
      </c>
      <c r="K166" s="28">
        <v>2</v>
      </c>
      <c r="L166" s="28">
        <v>2</v>
      </c>
      <c r="M166" s="28">
        <v>1</v>
      </c>
    </row>
    <row r="167" spans="1:13" x14ac:dyDescent="0.25">
      <c r="A167" s="28">
        <v>61</v>
      </c>
      <c r="B167" s="19" t="str">
        <f t="shared" si="2"/>
        <v>60-69</v>
      </c>
      <c r="C167" s="28">
        <v>1</v>
      </c>
      <c r="D167" s="28">
        <v>3</v>
      </c>
      <c r="E167" s="28">
        <v>134</v>
      </c>
      <c r="F167" s="28">
        <v>234</v>
      </c>
      <c r="G167" s="28">
        <v>0</v>
      </c>
      <c r="H167" s="28">
        <v>1</v>
      </c>
      <c r="I167" s="28">
        <v>145</v>
      </c>
      <c r="J167" s="28">
        <v>0</v>
      </c>
      <c r="K167" s="28">
        <v>1</v>
      </c>
      <c r="L167" s="28">
        <v>2</v>
      </c>
      <c r="M167" s="28">
        <v>0</v>
      </c>
    </row>
    <row r="168" spans="1:13" x14ac:dyDescent="0.25">
      <c r="A168" s="28">
        <v>69</v>
      </c>
      <c r="B168" s="19" t="str">
        <f t="shared" si="2"/>
        <v>60-69</v>
      </c>
      <c r="C168" s="28">
        <v>1</v>
      </c>
      <c r="D168" s="28">
        <v>3</v>
      </c>
      <c r="E168" s="28">
        <v>160</v>
      </c>
      <c r="F168" s="28">
        <v>234</v>
      </c>
      <c r="G168" s="28">
        <v>1</v>
      </c>
      <c r="H168" s="28">
        <v>0</v>
      </c>
      <c r="I168" s="28">
        <v>131</v>
      </c>
      <c r="J168" s="28">
        <v>0</v>
      </c>
      <c r="K168" s="28">
        <v>1</v>
      </c>
      <c r="L168" s="28">
        <v>2</v>
      </c>
      <c r="M168" s="28">
        <v>1</v>
      </c>
    </row>
    <row r="169" spans="1:13" x14ac:dyDescent="0.25">
      <c r="A169" s="28">
        <v>58</v>
      </c>
      <c r="B169" s="19" t="str">
        <f t="shared" si="2"/>
        <v>50-59</v>
      </c>
      <c r="C169" s="28">
        <v>1</v>
      </c>
      <c r="D169" s="28">
        <v>0</v>
      </c>
      <c r="E169" s="28">
        <v>100</v>
      </c>
      <c r="F169" s="28">
        <v>234</v>
      </c>
      <c r="G169" s="28">
        <v>0</v>
      </c>
      <c r="H169" s="28">
        <v>1</v>
      </c>
      <c r="I169" s="28">
        <v>156</v>
      </c>
      <c r="J169" s="28">
        <v>0</v>
      </c>
      <c r="K169" s="28">
        <v>2</v>
      </c>
      <c r="L169" s="28">
        <v>3</v>
      </c>
      <c r="M169" s="28">
        <v>0</v>
      </c>
    </row>
    <row r="170" spans="1:13" x14ac:dyDescent="0.25">
      <c r="A170" s="28">
        <v>45</v>
      </c>
      <c r="B170" s="19" t="str">
        <f t="shared" si="2"/>
        <v>40-49</v>
      </c>
      <c r="C170" s="28">
        <v>0</v>
      </c>
      <c r="D170" s="28">
        <v>1</v>
      </c>
      <c r="E170" s="28">
        <v>130</v>
      </c>
      <c r="F170" s="28">
        <v>234</v>
      </c>
      <c r="G170" s="28">
        <v>0</v>
      </c>
      <c r="H170" s="28">
        <v>0</v>
      </c>
      <c r="I170" s="28">
        <v>175</v>
      </c>
      <c r="J170" s="28">
        <v>0</v>
      </c>
      <c r="K170" s="28">
        <v>1</v>
      </c>
      <c r="L170" s="28">
        <v>2</v>
      </c>
      <c r="M170" s="28">
        <v>1</v>
      </c>
    </row>
    <row r="171" spans="1:13" x14ac:dyDescent="0.25">
      <c r="A171" s="28">
        <v>59</v>
      </c>
      <c r="B171" s="19" t="str">
        <f t="shared" si="2"/>
        <v>50-59</v>
      </c>
      <c r="C171" s="28">
        <v>1</v>
      </c>
      <c r="D171" s="28">
        <v>0</v>
      </c>
      <c r="E171" s="28">
        <v>135</v>
      </c>
      <c r="F171" s="28">
        <v>234</v>
      </c>
      <c r="G171" s="28">
        <v>0</v>
      </c>
      <c r="H171" s="28">
        <v>1</v>
      </c>
      <c r="I171" s="28">
        <v>161</v>
      </c>
      <c r="J171" s="28">
        <v>0</v>
      </c>
      <c r="K171" s="28">
        <v>1</v>
      </c>
      <c r="L171" s="28">
        <v>3</v>
      </c>
      <c r="M171" s="28">
        <v>1</v>
      </c>
    </row>
    <row r="172" spans="1:13" x14ac:dyDescent="0.25">
      <c r="A172" s="28">
        <v>53</v>
      </c>
      <c r="B172" s="19" t="str">
        <f t="shared" si="2"/>
        <v>50-59</v>
      </c>
      <c r="C172" s="28">
        <v>0</v>
      </c>
      <c r="D172" s="28">
        <v>0</v>
      </c>
      <c r="E172" s="28">
        <v>138</v>
      </c>
      <c r="F172" s="28">
        <v>234</v>
      </c>
      <c r="G172" s="28">
        <v>0</v>
      </c>
      <c r="H172" s="28">
        <v>0</v>
      </c>
      <c r="I172" s="28">
        <v>160</v>
      </c>
      <c r="J172" s="28">
        <v>0</v>
      </c>
      <c r="K172" s="28">
        <v>2</v>
      </c>
      <c r="L172" s="28">
        <v>2</v>
      </c>
      <c r="M172" s="28">
        <v>1</v>
      </c>
    </row>
    <row r="173" spans="1:13" x14ac:dyDescent="0.25">
      <c r="A173" s="28">
        <v>44</v>
      </c>
      <c r="B173" s="19" t="str">
        <f t="shared" si="2"/>
        <v>40-49</v>
      </c>
      <c r="C173" s="28">
        <v>1</v>
      </c>
      <c r="D173" s="28">
        <v>2</v>
      </c>
      <c r="E173" s="28">
        <v>130</v>
      </c>
      <c r="F173" s="28">
        <v>233</v>
      </c>
      <c r="G173" s="28">
        <v>0</v>
      </c>
      <c r="H173" s="28">
        <v>1</v>
      </c>
      <c r="I173" s="28">
        <v>179</v>
      </c>
      <c r="J173" s="28">
        <v>1</v>
      </c>
      <c r="K173" s="28">
        <v>2</v>
      </c>
      <c r="L173" s="28">
        <v>2</v>
      </c>
      <c r="M173" s="28">
        <v>1</v>
      </c>
    </row>
    <row r="174" spans="1:13" x14ac:dyDescent="0.25">
      <c r="A174" s="28">
        <v>50</v>
      </c>
      <c r="B174" s="19" t="str">
        <f t="shared" si="2"/>
        <v>50-59</v>
      </c>
      <c r="C174" s="28">
        <v>1</v>
      </c>
      <c r="D174" s="28">
        <v>2</v>
      </c>
      <c r="E174" s="28">
        <v>140</v>
      </c>
      <c r="F174" s="28">
        <v>233</v>
      </c>
      <c r="G174" s="28">
        <v>0</v>
      </c>
      <c r="H174" s="28">
        <v>1</v>
      </c>
      <c r="I174" s="28">
        <v>163</v>
      </c>
      <c r="J174" s="28">
        <v>0</v>
      </c>
      <c r="K174" s="28">
        <v>1</v>
      </c>
      <c r="L174" s="28">
        <v>3</v>
      </c>
      <c r="M174" s="28">
        <v>0</v>
      </c>
    </row>
    <row r="175" spans="1:13" x14ac:dyDescent="0.25">
      <c r="A175" s="28">
        <v>52</v>
      </c>
      <c r="B175" s="19" t="str">
        <f t="shared" si="2"/>
        <v>50-59</v>
      </c>
      <c r="C175" s="28">
        <v>1</v>
      </c>
      <c r="D175" s="28">
        <v>0</v>
      </c>
      <c r="E175" s="28">
        <v>108</v>
      </c>
      <c r="F175" s="28">
        <v>233</v>
      </c>
      <c r="G175" s="28">
        <v>1</v>
      </c>
      <c r="H175" s="28">
        <v>1</v>
      </c>
      <c r="I175" s="28">
        <v>147</v>
      </c>
      <c r="J175" s="28">
        <v>0</v>
      </c>
      <c r="K175" s="28">
        <v>2</v>
      </c>
      <c r="L175" s="28">
        <v>3</v>
      </c>
      <c r="M175" s="28">
        <v>1</v>
      </c>
    </row>
    <row r="176" spans="1:13" x14ac:dyDescent="0.25">
      <c r="A176" s="28">
        <v>63</v>
      </c>
      <c r="B176" s="19" t="str">
        <f t="shared" si="2"/>
        <v>60-69</v>
      </c>
      <c r="C176" s="28">
        <v>1</v>
      </c>
      <c r="D176" s="28">
        <v>3</v>
      </c>
      <c r="E176" s="28">
        <v>145</v>
      </c>
      <c r="F176" s="28">
        <v>233</v>
      </c>
      <c r="G176" s="28">
        <v>1</v>
      </c>
      <c r="H176" s="28">
        <v>0</v>
      </c>
      <c r="I176" s="28">
        <v>150</v>
      </c>
      <c r="J176" s="28">
        <v>0</v>
      </c>
      <c r="K176" s="28">
        <v>0</v>
      </c>
      <c r="L176" s="28">
        <v>1</v>
      </c>
      <c r="M176" s="28">
        <v>1</v>
      </c>
    </row>
    <row r="177" spans="1:13" x14ac:dyDescent="0.25">
      <c r="A177" s="28">
        <v>57</v>
      </c>
      <c r="B177" s="19" t="str">
        <f t="shared" si="2"/>
        <v>50-59</v>
      </c>
      <c r="C177" s="28">
        <v>1</v>
      </c>
      <c r="D177" s="28">
        <v>1</v>
      </c>
      <c r="E177" s="28">
        <v>154</v>
      </c>
      <c r="F177" s="28">
        <v>232</v>
      </c>
      <c r="G177" s="28">
        <v>0</v>
      </c>
      <c r="H177" s="28">
        <v>0</v>
      </c>
      <c r="I177" s="28">
        <v>164</v>
      </c>
      <c r="J177" s="28">
        <v>0</v>
      </c>
      <c r="K177" s="28">
        <v>2</v>
      </c>
      <c r="L177" s="28">
        <v>2</v>
      </c>
      <c r="M177" s="28">
        <v>0</v>
      </c>
    </row>
    <row r="178" spans="1:13" x14ac:dyDescent="0.25">
      <c r="A178" s="28">
        <v>54</v>
      </c>
      <c r="B178" s="19" t="str">
        <f t="shared" si="2"/>
        <v>50-59</v>
      </c>
      <c r="C178" s="28">
        <v>1</v>
      </c>
      <c r="D178" s="28">
        <v>2</v>
      </c>
      <c r="E178" s="28">
        <v>150</v>
      </c>
      <c r="F178" s="28">
        <v>232</v>
      </c>
      <c r="G178" s="28">
        <v>0</v>
      </c>
      <c r="H178" s="28">
        <v>0</v>
      </c>
      <c r="I178" s="28">
        <v>165</v>
      </c>
      <c r="J178" s="28">
        <v>0</v>
      </c>
      <c r="K178" s="28">
        <v>2</v>
      </c>
      <c r="L178" s="28">
        <v>3</v>
      </c>
      <c r="M178" s="28">
        <v>1</v>
      </c>
    </row>
    <row r="179" spans="1:13" x14ac:dyDescent="0.25">
      <c r="A179" s="28">
        <v>46</v>
      </c>
      <c r="B179" s="19" t="str">
        <f t="shared" si="2"/>
        <v>40-49</v>
      </c>
      <c r="C179" s="28">
        <v>1</v>
      </c>
      <c r="D179" s="28">
        <v>2</v>
      </c>
      <c r="E179" s="28">
        <v>150</v>
      </c>
      <c r="F179" s="28">
        <v>231</v>
      </c>
      <c r="G179" s="28">
        <v>0</v>
      </c>
      <c r="H179" s="28">
        <v>1</v>
      </c>
      <c r="I179" s="28">
        <v>147</v>
      </c>
      <c r="J179" s="28">
        <v>0</v>
      </c>
      <c r="K179" s="28">
        <v>1</v>
      </c>
      <c r="L179" s="28">
        <v>2</v>
      </c>
      <c r="M179" s="28">
        <v>0</v>
      </c>
    </row>
    <row r="180" spans="1:13" x14ac:dyDescent="0.25">
      <c r="A180" s="28">
        <v>62</v>
      </c>
      <c r="B180" s="19" t="str">
        <f t="shared" si="2"/>
        <v>60-69</v>
      </c>
      <c r="C180" s="28">
        <v>1</v>
      </c>
      <c r="D180" s="28">
        <v>2</v>
      </c>
      <c r="E180" s="28">
        <v>130</v>
      </c>
      <c r="F180" s="28">
        <v>231</v>
      </c>
      <c r="G180" s="28">
        <v>0</v>
      </c>
      <c r="H180" s="28">
        <v>1</v>
      </c>
      <c r="I180" s="28">
        <v>146</v>
      </c>
      <c r="J180" s="28">
        <v>0</v>
      </c>
      <c r="K180" s="28">
        <v>1</v>
      </c>
      <c r="L180" s="28">
        <v>3</v>
      </c>
      <c r="M180" s="28">
        <v>1</v>
      </c>
    </row>
    <row r="181" spans="1:13" x14ac:dyDescent="0.25">
      <c r="A181" s="28">
        <v>38</v>
      </c>
      <c r="B181" s="19" t="str">
        <f t="shared" si="2"/>
        <v>30-39</v>
      </c>
      <c r="C181" s="28">
        <v>1</v>
      </c>
      <c r="D181" s="28">
        <v>3</v>
      </c>
      <c r="E181" s="28">
        <v>120</v>
      </c>
      <c r="F181" s="28">
        <v>231</v>
      </c>
      <c r="G181" s="28">
        <v>0</v>
      </c>
      <c r="H181" s="28">
        <v>1</v>
      </c>
      <c r="I181" s="28">
        <v>182</v>
      </c>
      <c r="J181" s="28">
        <v>1</v>
      </c>
      <c r="K181" s="28">
        <v>1</v>
      </c>
      <c r="L181" s="28">
        <v>3</v>
      </c>
      <c r="M181" s="28">
        <v>0</v>
      </c>
    </row>
    <row r="182" spans="1:13" x14ac:dyDescent="0.25">
      <c r="A182" s="28">
        <v>60</v>
      </c>
      <c r="B182" s="19" t="str">
        <f t="shared" si="2"/>
        <v>60-69</v>
      </c>
      <c r="C182" s="28">
        <v>1</v>
      </c>
      <c r="D182" s="28">
        <v>0</v>
      </c>
      <c r="E182" s="28">
        <v>117</v>
      </c>
      <c r="F182" s="28">
        <v>230</v>
      </c>
      <c r="G182" s="28">
        <v>1</v>
      </c>
      <c r="H182" s="28">
        <v>1</v>
      </c>
      <c r="I182" s="28">
        <v>160</v>
      </c>
      <c r="J182" s="28">
        <v>1</v>
      </c>
      <c r="K182" s="28">
        <v>2</v>
      </c>
      <c r="L182" s="28">
        <v>3</v>
      </c>
      <c r="M182" s="28">
        <v>0</v>
      </c>
    </row>
    <row r="183" spans="1:13" x14ac:dyDescent="0.25">
      <c r="A183" s="28">
        <v>58</v>
      </c>
      <c r="B183" s="19" t="str">
        <f t="shared" si="2"/>
        <v>50-59</v>
      </c>
      <c r="C183" s="28">
        <v>1</v>
      </c>
      <c r="D183" s="28">
        <v>2</v>
      </c>
      <c r="E183" s="28">
        <v>112</v>
      </c>
      <c r="F183" s="28">
        <v>230</v>
      </c>
      <c r="G183" s="28">
        <v>0</v>
      </c>
      <c r="H183" s="28">
        <v>0</v>
      </c>
      <c r="I183" s="28">
        <v>165</v>
      </c>
      <c r="J183" s="28">
        <v>0</v>
      </c>
      <c r="K183" s="28">
        <v>1</v>
      </c>
      <c r="L183" s="28">
        <v>3</v>
      </c>
      <c r="M183" s="28">
        <v>0</v>
      </c>
    </row>
    <row r="184" spans="1:13" x14ac:dyDescent="0.25">
      <c r="A184" s="28">
        <v>52</v>
      </c>
      <c r="B184" s="19" t="str">
        <f t="shared" si="2"/>
        <v>50-59</v>
      </c>
      <c r="C184" s="28">
        <v>1</v>
      </c>
      <c r="D184" s="28">
        <v>0</v>
      </c>
      <c r="E184" s="28">
        <v>112</v>
      </c>
      <c r="F184" s="28">
        <v>230</v>
      </c>
      <c r="G184" s="28">
        <v>0</v>
      </c>
      <c r="H184" s="28">
        <v>1</v>
      </c>
      <c r="I184" s="28">
        <v>160</v>
      </c>
      <c r="J184" s="28">
        <v>0</v>
      </c>
      <c r="K184" s="28">
        <v>2</v>
      </c>
      <c r="L184" s="28">
        <v>2</v>
      </c>
      <c r="M184" s="28">
        <v>0</v>
      </c>
    </row>
    <row r="185" spans="1:13" x14ac:dyDescent="0.25">
      <c r="A185" s="28">
        <v>57</v>
      </c>
      <c r="B185" s="19" t="str">
        <f t="shared" si="2"/>
        <v>50-59</v>
      </c>
      <c r="C185" s="28">
        <v>1</v>
      </c>
      <c r="D185" s="28">
        <v>2</v>
      </c>
      <c r="E185" s="28">
        <v>128</v>
      </c>
      <c r="F185" s="28">
        <v>229</v>
      </c>
      <c r="G185" s="28">
        <v>0</v>
      </c>
      <c r="H185" s="28">
        <v>0</v>
      </c>
      <c r="I185" s="28">
        <v>150</v>
      </c>
      <c r="J185" s="28">
        <v>0</v>
      </c>
      <c r="K185" s="28">
        <v>1</v>
      </c>
      <c r="L185" s="28">
        <v>3</v>
      </c>
      <c r="M185" s="28">
        <v>0</v>
      </c>
    </row>
    <row r="186" spans="1:13" x14ac:dyDescent="0.25">
      <c r="A186" s="28">
        <v>48</v>
      </c>
      <c r="B186" s="19" t="str">
        <f t="shared" si="2"/>
        <v>40-49</v>
      </c>
      <c r="C186" s="28">
        <v>1</v>
      </c>
      <c r="D186" s="28">
        <v>1</v>
      </c>
      <c r="E186" s="28">
        <v>110</v>
      </c>
      <c r="F186" s="28">
        <v>229</v>
      </c>
      <c r="G186" s="28">
        <v>0</v>
      </c>
      <c r="H186" s="28">
        <v>1</v>
      </c>
      <c r="I186" s="28">
        <v>168</v>
      </c>
      <c r="J186" s="28">
        <v>0</v>
      </c>
      <c r="K186" s="28">
        <v>0</v>
      </c>
      <c r="L186" s="28">
        <v>3</v>
      </c>
      <c r="M186" s="28">
        <v>0</v>
      </c>
    </row>
    <row r="187" spans="1:13" x14ac:dyDescent="0.25">
      <c r="A187" s="28">
        <v>67</v>
      </c>
      <c r="B187" s="19" t="str">
        <f t="shared" si="2"/>
        <v>60-69</v>
      </c>
      <c r="C187" s="28">
        <v>1</v>
      </c>
      <c r="D187" s="28">
        <v>0</v>
      </c>
      <c r="E187" s="28">
        <v>120</v>
      </c>
      <c r="F187" s="28">
        <v>229</v>
      </c>
      <c r="G187" s="28">
        <v>0</v>
      </c>
      <c r="H187" s="28">
        <v>0</v>
      </c>
      <c r="I187" s="28">
        <v>129</v>
      </c>
      <c r="J187" s="28">
        <v>1</v>
      </c>
      <c r="K187" s="28">
        <v>1</v>
      </c>
      <c r="L187" s="28">
        <v>3</v>
      </c>
      <c r="M187" s="28">
        <v>0</v>
      </c>
    </row>
    <row r="188" spans="1:13" x14ac:dyDescent="0.25">
      <c r="A188" s="28">
        <v>66</v>
      </c>
      <c r="B188" s="19" t="str">
        <f t="shared" si="2"/>
        <v>60-69</v>
      </c>
      <c r="C188" s="28">
        <v>0</v>
      </c>
      <c r="D188" s="28">
        <v>0</v>
      </c>
      <c r="E188" s="28">
        <v>178</v>
      </c>
      <c r="F188" s="28">
        <v>228</v>
      </c>
      <c r="G188" s="28">
        <v>1</v>
      </c>
      <c r="H188" s="28">
        <v>1</v>
      </c>
      <c r="I188" s="28">
        <v>165</v>
      </c>
      <c r="J188" s="28">
        <v>1</v>
      </c>
      <c r="K188" s="28">
        <v>1</v>
      </c>
      <c r="L188" s="28">
        <v>3</v>
      </c>
      <c r="M188" s="28">
        <v>0</v>
      </c>
    </row>
    <row r="189" spans="1:13" x14ac:dyDescent="0.25">
      <c r="A189" s="28">
        <v>66</v>
      </c>
      <c r="B189" s="19" t="str">
        <f t="shared" si="2"/>
        <v>60-69</v>
      </c>
      <c r="C189" s="28">
        <v>1</v>
      </c>
      <c r="D189" s="28">
        <v>0</v>
      </c>
      <c r="E189" s="28">
        <v>160</v>
      </c>
      <c r="F189" s="28">
        <v>228</v>
      </c>
      <c r="G189" s="28">
        <v>0</v>
      </c>
      <c r="H189" s="28">
        <v>0</v>
      </c>
      <c r="I189" s="28">
        <v>138</v>
      </c>
      <c r="J189" s="28">
        <v>0</v>
      </c>
      <c r="K189" s="28">
        <v>2</v>
      </c>
      <c r="L189" s="28">
        <v>1</v>
      </c>
      <c r="M189" s="28">
        <v>1</v>
      </c>
    </row>
    <row r="190" spans="1:13" x14ac:dyDescent="0.25">
      <c r="A190" s="28">
        <v>64</v>
      </c>
      <c r="B190" s="19" t="str">
        <f t="shared" si="2"/>
        <v>60-69</v>
      </c>
      <c r="C190" s="28">
        <v>1</v>
      </c>
      <c r="D190" s="28">
        <v>3</v>
      </c>
      <c r="E190" s="28">
        <v>170</v>
      </c>
      <c r="F190" s="28">
        <v>227</v>
      </c>
      <c r="G190" s="28">
        <v>0</v>
      </c>
      <c r="H190" s="28">
        <v>0</v>
      </c>
      <c r="I190" s="28">
        <v>155</v>
      </c>
      <c r="J190" s="28">
        <v>0</v>
      </c>
      <c r="K190" s="28">
        <v>1</v>
      </c>
      <c r="L190" s="28">
        <v>3</v>
      </c>
      <c r="M190" s="28">
        <v>1</v>
      </c>
    </row>
    <row r="191" spans="1:13" x14ac:dyDescent="0.25">
      <c r="A191" s="28">
        <v>51</v>
      </c>
      <c r="B191" s="19" t="str">
        <f t="shared" si="2"/>
        <v>50-59</v>
      </c>
      <c r="C191" s="28">
        <v>1</v>
      </c>
      <c r="D191" s="28">
        <v>2</v>
      </c>
      <c r="E191" s="28">
        <v>94</v>
      </c>
      <c r="F191" s="28">
        <v>227</v>
      </c>
      <c r="G191" s="28">
        <v>0</v>
      </c>
      <c r="H191" s="28">
        <v>1</v>
      </c>
      <c r="I191" s="28">
        <v>154</v>
      </c>
      <c r="J191" s="28">
        <v>1</v>
      </c>
      <c r="K191" s="28">
        <v>2</v>
      </c>
      <c r="L191" s="28">
        <v>3</v>
      </c>
      <c r="M191" s="28">
        <v>1</v>
      </c>
    </row>
    <row r="192" spans="1:13" x14ac:dyDescent="0.25">
      <c r="A192" s="28">
        <v>42</v>
      </c>
      <c r="B192" s="19" t="str">
        <f t="shared" si="2"/>
        <v>40-49</v>
      </c>
      <c r="C192" s="28">
        <v>1</v>
      </c>
      <c r="D192" s="28">
        <v>0</v>
      </c>
      <c r="E192" s="28">
        <v>140</v>
      </c>
      <c r="F192" s="28">
        <v>226</v>
      </c>
      <c r="G192" s="28">
        <v>0</v>
      </c>
      <c r="H192" s="28">
        <v>1</v>
      </c>
      <c r="I192" s="28">
        <v>178</v>
      </c>
      <c r="J192" s="28">
        <v>0</v>
      </c>
      <c r="K192" s="28">
        <v>2</v>
      </c>
      <c r="L192" s="28">
        <v>2</v>
      </c>
      <c r="M192" s="28">
        <v>1</v>
      </c>
    </row>
    <row r="193" spans="1:13" x14ac:dyDescent="0.25">
      <c r="A193" s="28">
        <v>53</v>
      </c>
      <c r="B193" s="19" t="str">
        <f t="shared" si="2"/>
        <v>50-59</v>
      </c>
      <c r="C193" s="28">
        <v>1</v>
      </c>
      <c r="D193" s="28">
        <v>0</v>
      </c>
      <c r="E193" s="28">
        <v>142</v>
      </c>
      <c r="F193" s="28">
        <v>226</v>
      </c>
      <c r="G193" s="28">
        <v>0</v>
      </c>
      <c r="H193" s="28">
        <v>0</v>
      </c>
      <c r="I193" s="28">
        <v>111</v>
      </c>
      <c r="J193" s="28">
        <v>1</v>
      </c>
      <c r="K193" s="28">
        <v>2</v>
      </c>
      <c r="L193" s="28">
        <v>3</v>
      </c>
      <c r="M193" s="28">
        <v>1</v>
      </c>
    </row>
    <row r="194" spans="1:13" x14ac:dyDescent="0.25">
      <c r="A194" s="28">
        <v>44</v>
      </c>
      <c r="B194" s="19" t="str">
        <f t="shared" ref="B194:B257" si="3">IF(A194&lt;30,"20-29",IF(A194&lt;40,"30-39",IF(A194&lt;50,"40-49",IF(A194&lt;60,"50-59",IF(A194&lt;70,"60-69",IF(A194&lt;80,"70+"))))))</f>
        <v>40-49</v>
      </c>
      <c r="C194" s="28">
        <v>1</v>
      </c>
      <c r="D194" s="28">
        <v>2</v>
      </c>
      <c r="E194" s="28">
        <v>120</v>
      </c>
      <c r="F194" s="28">
        <v>226</v>
      </c>
      <c r="G194" s="28">
        <v>0</v>
      </c>
      <c r="H194" s="28">
        <v>1</v>
      </c>
      <c r="I194" s="28">
        <v>169</v>
      </c>
      <c r="J194" s="28">
        <v>0</v>
      </c>
      <c r="K194" s="28">
        <v>2</v>
      </c>
      <c r="L194" s="28">
        <v>2</v>
      </c>
      <c r="M194" s="28">
        <v>1</v>
      </c>
    </row>
    <row r="195" spans="1:13" x14ac:dyDescent="0.25">
      <c r="A195" s="28">
        <v>66</v>
      </c>
      <c r="B195" s="19" t="str">
        <f t="shared" si="3"/>
        <v>60-69</v>
      </c>
      <c r="C195" s="28">
        <v>0</v>
      </c>
      <c r="D195" s="28">
        <v>3</v>
      </c>
      <c r="E195" s="28">
        <v>150</v>
      </c>
      <c r="F195" s="28">
        <v>226</v>
      </c>
      <c r="G195" s="28">
        <v>0</v>
      </c>
      <c r="H195" s="28">
        <v>1</v>
      </c>
      <c r="I195" s="28">
        <v>114</v>
      </c>
      <c r="J195" s="28">
        <v>0</v>
      </c>
      <c r="K195" s="28">
        <v>0</v>
      </c>
      <c r="L195" s="28">
        <v>2</v>
      </c>
      <c r="M195" s="28">
        <v>1</v>
      </c>
    </row>
    <row r="196" spans="1:13" x14ac:dyDescent="0.25">
      <c r="A196" s="28">
        <v>58</v>
      </c>
      <c r="B196" s="19" t="str">
        <f t="shared" si="3"/>
        <v>50-59</v>
      </c>
      <c r="C196" s="28">
        <v>0</v>
      </c>
      <c r="D196" s="28">
        <v>0</v>
      </c>
      <c r="E196" s="28">
        <v>170</v>
      </c>
      <c r="F196" s="28">
        <v>225</v>
      </c>
      <c r="G196" s="28">
        <v>1</v>
      </c>
      <c r="H196" s="28">
        <v>0</v>
      </c>
      <c r="I196" s="28">
        <v>146</v>
      </c>
      <c r="J196" s="28">
        <v>1</v>
      </c>
      <c r="K196" s="28">
        <v>1</v>
      </c>
      <c r="L196" s="28">
        <v>1</v>
      </c>
      <c r="M196" s="28">
        <v>0</v>
      </c>
    </row>
    <row r="197" spans="1:13" x14ac:dyDescent="0.25">
      <c r="A197" s="28">
        <v>65</v>
      </c>
      <c r="B197" s="19" t="str">
        <f t="shared" si="3"/>
        <v>60-69</v>
      </c>
      <c r="C197" s="28">
        <v>0</v>
      </c>
      <c r="D197" s="28">
        <v>0</v>
      </c>
      <c r="E197" s="28">
        <v>150</v>
      </c>
      <c r="F197" s="28">
        <v>225</v>
      </c>
      <c r="G197" s="28">
        <v>0</v>
      </c>
      <c r="H197" s="28">
        <v>0</v>
      </c>
      <c r="I197" s="28">
        <v>114</v>
      </c>
      <c r="J197" s="28">
        <v>0</v>
      </c>
      <c r="K197" s="28">
        <v>1</v>
      </c>
      <c r="L197" s="28">
        <v>3</v>
      </c>
      <c r="M197" s="28">
        <v>0</v>
      </c>
    </row>
    <row r="198" spans="1:13" x14ac:dyDescent="0.25">
      <c r="A198" s="28">
        <v>58</v>
      </c>
      <c r="B198" s="19" t="str">
        <f t="shared" si="3"/>
        <v>50-59</v>
      </c>
      <c r="C198" s="28">
        <v>1</v>
      </c>
      <c r="D198" s="28">
        <v>2</v>
      </c>
      <c r="E198" s="28">
        <v>132</v>
      </c>
      <c r="F198" s="28">
        <v>224</v>
      </c>
      <c r="G198" s="28">
        <v>0</v>
      </c>
      <c r="H198" s="28">
        <v>0</v>
      </c>
      <c r="I198" s="28">
        <v>173</v>
      </c>
      <c r="J198" s="28">
        <v>0</v>
      </c>
      <c r="K198" s="28">
        <v>2</v>
      </c>
      <c r="L198" s="28">
        <v>3</v>
      </c>
      <c r="M198" s="28">
        <v>0</v>
      </c>
    </row>
    <row r="199" spans="1:13" x14ac:dyDescent="0.25">
      <c r="A199" s="28">
        <v>67</v>
      </c>
      <c r="B199" s="19" t="str">
        <f t="shared" si="3"/>
        <v>60-69</v>
      </c>
      <c r="C199" s="28">
        <v>0</v>
      </c>
      <c r="D199" s="28">
        <v>0</v>
      </c>
      <c r="E199" s="28">
        <v>106</v>
      </c>
      <c r="F199" s="28">
        <v>223</v>
      </c>
      <c r="G199" s="28">
        <v>0</v>
      </c>
      <c r="H199" s="28">
        <v>1</v>
      </c>
      <c r="I199" s="28">
        <v>142</v>
      </c>
      <c r="J199" s="28">
        <v>0</v>
      </c>
      <c r="K199" s="28">
        <v>2</v>
      </c>
      <c r="L199" s="28">
        <v>2</v>
      </c>
      <c r="M199" s="28">
        <v>1</v>
      </c>
    </row>
    <row r="200" spans="1:13" x14ac:dyDescent="0.25">
      <c r="A200" s="28">
        <v>40</v>
      </c>
      <c r="B200" s="19" t="str">
        <f t="shared" si="3"/>
        <v>40-49</v>
      </c>
      <c r="C200" s="28">
        <v>1</v>
      </c>
      <c r="D200" s="28">
        <v>0</v>
      </c>
      <c r="E200" s="28">
        <v>152</v>
      </c>
      <c r="F200" s="28">
        <v>223</v>
      </c>
      <c r="G200" s="28">
        <v>0</v>
      </c>
      <c r="H200" s="28">
        <v>1</v>
      </c>
      <c r="I200" s="28">
        <v>181</v>
      </c>
      <c r="J200" s="28">
        <v>0</v>
      </c>
      <c r="K200" s="28">
        <v>2</v>
      </c>
      <c r="L200" s="28">
        <v>3</v>
      </c>
      <c r="M200" s="28">
        <v>0</v>
      </c>
    </row>
    <row r="201" spans="1:13" x14ac:dyDescent="0.25">
      <c r="A201" s="28">
        <v>52</v>
      </c>
      <c r="B201" s="19" t="str">
        <f t="shared" si="3"/>
        <v>50-59</v>
      </c>
      <c r="C201" s="28">
        <v>1</v>
      </c>
      <c r="D201" s="28">
        <v>2</v>
      </c>
      <c r="E201" s="28">
        <v>138</v>
      </c>
      <c r="F201" s="28">
        <v>223</v>
      </c>
      <c r="G201" s="28">
        <v>0</v>
      </c>
      <c r="H201" s="28">
        <v>1</v>
      </c>
      <c r="I201" s="28">
        <v>169</v>
      </c>
      <c r="J201" s="28">
        <v>0</v>
      </c>
      <c r="K201" s="28">
        <v>2</v>
      </c>
      <c r="L201" s="28">
        <v>2</v>
      </c>
      <c r="M201" s="28">
        <v>1</v>
      </c>
    </row>
    <row r="202" spans="1:13" x14ac:dyDescent="0.25">
      <c r="A202" s="28">
        <v>51</v>
      </c>
      <c r="B202" s="19" t="str">
        <f t="shared" si="3"/>
        <v>50-59</v>
      </c>
      <c r="C202" s="28">
        <v>1</v>
      </c>
      <c r="D202" s="28">
        <v>2</v>
      </c>
      <c r="E202" s="28">
        <v>100</v>
      </c>
      <c r="F202" s="28">
        <v>222</v>
      </c>
      <c r="G202" s="28">
        <v>0</v>
      </c>
      <c r="H202" s="28">
        <v>1</v>
      </c>
      <c r="I202" s="28">
        <v>143</v>
      </c>
      <c r="J202" s="28">
        <v>1</v>
      </c>
      <c r="K202" s="28">
        <v>1</v>
      </c>
      <c r="L202" s="28">
        <v>2</v>
      </c>
      <c r="M202" s="28">
        <v>1</v>
      </c>
    </row>
    <row r="203" spans="1:13" x14ac:dyDescent="0.25">
      <c r="A203" s="28">
        <v>48</v>
      </c>
      <c r="B203" s="19" t="str">
        <f t="shared" si="3"/>
        <v>40-49</v>
      </c>
      <c r="C203" s="28">
        <v>1</v>
      </c>
      <c r="D203" s="28">
        <v>0</v>
      </c>
      <c r="E203" s="28">
        <v>122</v>
      </c>
      <c r="F203" s="28">
        <v>222</v>
      </c>
      <c r="G203" s="28">
        <v>0</v>
      </c>
      <c r="H203" s="28">
        <v>0</v>
      </c>
      <c r="I203" s="28">
        <v>186</v>
      </c>
      <c r="J203" s="28">
        <v>0</v>
      </c>
      <c r="K203" s="28">
        <v>2</v>
      </c>
      <c r="L203" s="28">
        <v>2</v>
      </c>
      <c r="M203" s="28">
        <v>1</v>
      </c>
    </row>
    <row r="204" spans="1:13" x14ac:dyDescent="0.25">
      <c r="A204" s="28">
        <v>59</v>
      </c>
      <c r="B204" s="19" t="str">
        <f t="shared" si="3"/>
        <v>50-59</v>
      </c>
      <c r="C204" s="28">
        <v>1</v>
      </c>
      <c r="D204" s="28">
        <v>1</v>
      </c>
      <c r="E204" s="28">
        <v>140</v>
      </c>
      <c r="F204" s="28">
        <v>221</v>
      </c>
      <c r="G204" s="28">
        <v>0</v>
      </c>
      <c r="H204" s="28">
        <v>1</v>
      </c>
      <c r="I204" s="28">
        <v>164</v>
      </c>
      <c r="J204" s="28">
        <v>1</v>
      </c>
      <c r="K204" s="28">
        <v>2</v>
      </c>
      <c r="L204" s="28">
        <v>2</v>
      </c>
      <c r="M204" s="28">
        <v>1</v>
      </c>
    </row>
    <row r="205" spans="1:13" x14ac:dyDescent="0.25">
      <c r="A205" s="28">
        <v>56</v>
      </c>
      <c r="B205" s="19" t="str">
        <f t="shared" si="3"/>
        <v>50-59</v>
      </c>
      <c r="C205" s="28">
        <v>1</v>
      </c>
      <c r="D205" s="28">
        <v>1</v>
      </c>
      <c r="E205" s="28">
        <v>130</v>
      </c>
      <c r="F205" s="28">
        <v>221</v>
      </c>
      <c r="G205" s="28">
        <v>0</v>
      </c>
      <c r="H205" s="28">
        <v>0</v>
      </c>
      <c r="I205" s="28">
        <v>163</v>
      </c>
      <c r="J205" s="28">
        <v>0</v>
      </c>
      <c r="K205" s="28">
        <v>2</v>
      </c>
      <c r="L205" s="28">
        <v>3</v>
      </c>
      <c r="M205" s="28">
        <v>1</v>
      </c>
    </row>
    <row r="206" spans="1:13" x14ac:dyDescent="0.25">
      <c r="A206" s="28">
        <v>44</v>
      </c>
      <c r="B206" s="19" t="str">
        <f t="shared" si="3"/>
        <v>40-49</v>
      </c>
      <c r="C206" s="28">
        <v>1</v>
      </c>
      <c r="D206" s="28">
        <v>1</v>
      </c>
      <c r="E206" s="28">
        <v>120</v>
      </c>
      <c r="F206" s="28">
        <v>220</v>
      </c>
      <c r="G206" s="28">
        <v>0</v>
      </c>
      <c r="H206" s="28">
        <v>1</v>
      </c>
      <c r="I206" s="28">
        <v>170</v>
      </c>
      <c r="J206" s="28">
        <v>0</v>
      </c>
      <c r="K206" s="28">
        <v>2</v>
      </c>
      <c r="L206" s="28">
        <v>2</v>
      </c>
      <c r="M206" s="28">
        <v>1</v>
      </c>
    </row>
    <row r="207" spans="1:13" x14ac:dyDescent="0.25">
      <c r="A207" s="28">
        <v>39</v>
      </c>
      <c r="B207" s="19" t="str">
        <f t="shared" si="3"/>
        <v>30-39</v>
      </c>
      <c r="C207" s="28">
        <v>0</v>
      </c>
      <c r="D207" s="28">
        <v>2</v>
      </c>
      <c r="E207" s="28">
        <v>138</v>
      </c>
      <c r="F207" s="28">
        <v>220</v>
      </c>
      <c r="G207" s="28">
        <v>0</v>
      </c>
      <c r="H207" s="28">
        <v>1</v>
      </c>
      <c r="I207" s="28">
        <v>152</v>
      </c>
      <c r="J207" s="28">
        <v>0</v>
      </c>
      <c r="K207" s="28">
        <v>1</v>
      </c>
      <c r="L207" s="28">
        <v>2</v>
      </c>
      <c r="M207" s="28">
        <v>1</v>
      </c>
    </row>
    <row r="208" spans="1:13" x14ac:dyDescent="0.25">
      <c r="A208" s="28">
        <v>58</v>
      </c>
      <c r="B208" s="19" t="str">
        <f t="shared" si="3"/>
        <v>50-59</v>
      </c>
      <c r="C208" s="28">
        <v>1</v>
      </c>
      <c r="D208" s="28">
        <v>1</v>
      </c>
      <c r="E208" s="28">
        <v>125</v>
      </c>
      <c r="F208" s="28">
        <v>220</v>
      </c>
      <c r="G208" s="28">
        <v>0</v>
      </c>
      <c r="H208" s="28">
        <v>1</v>
      </c>
      <c r="I208" s="28">
        <v>144</v>
      </c>
      <c r="J208" s="28">
        <v>0</v>
      </c>
      <c r="K208" s="28">
        <v>1</v>
      </c>
      <c r="L208" s="28">
        <v>3</v>
      </c>
      <c r="M208" s="28">
        <v>1</v>
      </c>
    </row>
    <row r="209" spans="1:13" x14ac:dyDescent="0.25">
      <c r="A209" s="28">
        <v>44</v>
      </c>
      <c r="B209" s="19" t="str">
        <f t="shared" si="3"/>
        <v>40-49</v>
      </c>
      <c r="C209" s="28">
        <v>1</v>
      </c>
      <c r="D209" s="28">
        <v>1</v>
      </c>
      <c r="E209" s="28">
        <v>130</v>
      </c>
      <c r="F209" s="28">
        <v>219</v>
      </c>
      <c r="G209" s="28">
        <v>0</v>
      </c>
      <c r="H209" s="28">
        <v>0</v>
      </c>
      <c r="I209" s="28">
        <v>188</v>
      </c>
      <c r="J209" s="28">
        <v>0</v>
      </c>
      <c r="K209" s="28">
        <v>2</v>
      </c>
      <c r="L209" s="28">
        <v>2</v>
      </c>
      <c r="M209" s="28">
        <v>1</v>
      </c>
    </row>
    <row r="210" spans="1:13" x14ac:dyDescent="0.25">
      <c r="A210" s="28">
        <v>50</v>
      </c>
      <c r="B210" s="19" t="str">
        <f t="shared" si="3"/>
        <v>50-59</v>
      </c>
      <c r="C210" s="28">
        <v>0</v>
      </c>
      <c r="D210" s="28">
        <v>2</v>
      </c>
      <c r="E210" s="28">
        <v>120</v>
      </c>
      <c r="F210" s="28">
        <v>219</v>
      </c>
      <c r="G210" s="28">
        <v>0</v>
      </c>
      <c r="H210" s="28">
        <v>1</v>
      </c>
      <c r="I210" s="28">
        <v>158</v>
      </c>
      <c r="J210" s="28">
        <v>0</v>
      </c>
      <c r="K210" s="28">
        <v>1</v>
      </c>
      <c r="L210" s="28">
        <v>2</v>
      </c>
      <c r="M210" s="28">
        <v>1</v>
      </c>
    </row>
    <row r="211" spans="1:13" x14ac:dyDescent="0.25">
      <c r="A211" s="28">
        <v>39</v>
      </c>
      <c r="B211" s="19" t="str">
        <f t="shared" si="3"/>
        <v>30-39</v>
      </c>
      <c r="C211" s="28">
        <v>1</v>
      </c>
      <c r="D211" s="28">
        <v>0</v>
      </c>
      <c r="E211" s="28">
        <v>118</v>
      </c>
      <c r="F211" s="28">
        <v>219</v>
      </c>
      <c r="G211" s="28">
        <v>0</v>
      </c>
      <c r="H211" s="28">
        <v>1</v>
      </c>
      <c r="I211" s="28">
        <v>140</v>
      </c>
      <c r="J211" s="28">
        <v>0</v>
      </c>
      <c r="K211" s="28">
        <v>1</v>
      </c>
      <c r="L211" s="28">
        <v>3</v>
      </c>
      <c r="M211" s="28">
        <v>0</v>
      </c>
    </row>
    <row r="212" spans="1:13" x14ac:dyDescent="0.25">
      <c r="A212" s="28">
        <v>59</v>
      </c>
      <c r="B212" s="19" t="str">
        <f t="shared" si="3"/>
        <v>50-59</v>
      </c>
      <c r="C212" s="28">
        <v>1</v>
      </c>
      <c r="D212" s="28">
        <v>2</v>
      </c>
      <c r="E212" s="28">
        <v>126</v>
      </c>
      <c r="F212" s="28">
        <v>218</v>
      </c>
      <c r="G212" s="28">
        <v>1</v>
      </c>
      <c r="H212" s="28">
        <v>1</v>
      </c>
      <c r="I212" s="28">
        <v>134</v>
      </c>
      <c r="J212" s="28">
        <v>0</v>
      </c>
      <c r="K212" s="28">
        <v>1</v>
      </c>
      <c r="L212" s="28">
        <v>1</v>
      </c>
      <c r="M212" s="28">
        <v>0</v>
      </c>
    </row>
    <row r="213" spans="1:13" x14ac:dyDescent="0.25">
      <c r="A213" s="28">
        <v>58</v>
      </c>
      <c r="B213" s="19" t="str">
        <f t="shared" si="3"/>
        <v>50-59</v>
      </c>
      <c r="C213" s="28">
        <v>1</v>
      </c>
      <c r="D213" s="28">
        <v>0</v>
      </c>
      <c r="E213" s="28">
        <v>146</v>
      </c>
      <c r="F213" s="28">
        <v>218</v>
      </c>
      <c r="G213" s="28">
        <v>0</v>
      </c>
      <c r="H213" s="28">
        <v>1</v>
      </c>
      <c r="I213" s="28">
        <v>105</v>
      </c>
      <c r="J213" s="28">
        <v>0</v>
      </c>
      <c r="K213" s="28">
        <v>1</v>
      </c>
      <c r="L213" s="28">
        <v>3</v>
      </c>
      <c r="M213" s="28">
        <v>0</v>
      </c>
    </row>
    <row r="214" spans="1:13" x14ac:dyDescent="0.25">
      <c r="A214" s="28">
        <v>55</v>
      </c>
      <c r="B214" s="19" t="str">
        <f t="shared" si="3"/>
        <v>50-59</v>
      </c>
      <c r="C214" s="28">
        <v>1</v>
      </c>
      <c r="D214" s="28">
        <v>0</v>
      </c>
      <c r="E214" s="28">
        <v>140</v>
      </c>
      <c r="F214" s="28">
        <v>217</v>
      </c>
      <c r="G214" s="28">
        <v>0</v>
      </c>
      <c r="H214" s="28">
        <v>1</v>
      </c>
      <c r="I214" s="28">
        <v>111</v>
      </c>
      <c r="J214" s="28">
        <v>1</v>
      </c>
      <c r="K214" s="28">
        <v>0</v>
      </c>
      <c r="L214" s="28">
        <v>3</v>
      </c>
      <c r="M214" s="28">
        <v>0</v>
      </c>
    </row>
    <row r="215" spans="1:13" x14ac:dyDescent="0.25">
      <c r="A215" s="28">
        <v>58</v>
      </c>
      <c r="B215" s="19" t="str">
        <f t="shared" si="3"/>
        <v>50-59</v>
      </c>
      <c r="C215" s="28">
        <v>1</v>
      </c>
      <c r="D215" s="28">
        <v>0</v>
      </c>
      <c r="E215" s="28">
        <v>128</v>
      </c>
      <c r="F215" s="28">
        <v>216</v>
      </c>
      <c r="G215" s="28">
        <v>0</v>
      </c>
      <c r="H215" s="28">
        <v>0</v>
      </c>
      <c r="I215" s="28">
        <v>131</v>
      </c>
      <c r="J215" s="28">
        <v>1</v>
      </c>
      <c r="K215" s="28">
        <v>1</v>
      </c>
      <c r="L215" s="28">
        <v>3</v>
      </c>
      <c r="M215" s="28">
        <v>0</v>
      </c>
    </row>
    <row r="216" spans="1:13" x14ac:dyDescent="0.25">
      <c r="A216" s="28">
        <v>53</v>
      </c>
      <c r="B216" s="19" t="str">
        <f t="shared" si="3"/>
        <v>50-59</v>
      </c>
      <c r="C216" s="28">
        <v>0</v>
      </c>
      <c r="D216" s="28">
        <v>2</v>
      </c>
      <c r="E216" s="28">
        <v>128</v>
      </c>
      <c r="F216" s="28">
        <v>216</v>
      </c>
      <c r="G216" s="28">
        <v>0</v>
      </c>
      <c r="H216" s="28">
        <v>0</v>
      </c>
      <c r="I216" s="28">
        <v>115</v>
      </c>
      <c r="J216" s="28">
        <v>0</v>
      </c>
      <c r="K216" s="28">
        <v>2</v>
      </c>
      <c r="L216" s="28">
        <v>0</v>
      </c>
      <c r="M216" s="28">
        <v>1</v>
      </c>
    </row>
    <row r="217" spans="1:13" x14ac:dyDescent="0.25">
      <c r="A217" s="28">
        <v>37</v>
      </c>
      <c r="B217" s="19" t="str">
        <f t="shared" si="3"/>
        <v>30-39</v>
      </c>
      <c r="C217" s="28">
        <v>0</v>
      </c>
      <c r="D217" s="28">
        <v>2</v>
      </c>
      <c r="E217" s="28">
        <v>120</v>
      </c>
      <c r="F217" s="28">
        <v>215</v>
      </c>
      <c r="G217" s="28">
        <v>0</v>
      </c>
      <c r="H217" s="28">
        <v>1</v>
      </c>
      <c r="I217" s="28">
        <v>170</v>
      </c>
      <c r="J217" s="28">
        <v>0</v>
      </c>
      <c r="K217" s="28">
        <v>2</v>
      </c>
      <c r="L217" s="28">
        <v>2</v>
      </c>
      <c r="M217" s="28">
        <v>1</v>
      </c>
    </row>
    <row r="218" spans="1:13" x14ac:dyDescent="0.25">
      <c r="A218" s="28">
        <v>54</v>
      </c>
      <c r="B218" s="19" t="str">
        <f t="shared" si="3"/>
        <v>50-59</v>
      </c>
      <c r="C218" s="28">
        <v>0</v>
      </c>
      <c r="D218" s="28">
        <v>2</v>
      </c>
      <c r="E218" s="28">
        <v>110</v>
      </c>
      <c r="F218" s="28">
        <v>214</v>
      </c>
      <c r="G218" s="28">
        <v>0</v>
      </c>
      <c r="H218" s="28">
        <v>1</v>
      </c>
      <c r="I218" s="28">
        <v>158</v>
      </c>
      <c r="J218" s="28">
        <v>0</v>
      </c>
      <c r="K218" s="28">
        <v>1</v>
      </c>
      <c r="L218" s="28">
        <v>2</v>
      </c>
      <c r="M218" s="28">
        <v>1</v>
      </c>
    </row>
    <row r="219" spans="1:13" x14ac:dyDescent="0.25">
      <c r="A219" s="28">
        <v>41</v>
      </c>
      <c r="B219" s="19" t="str">
        <f t="shared" si="3"/>
        <v>40-49</v>
      </c>
      <c r="C219" s="28">
        <v>1</v>
      </c>
      <c r="D219" s="28">
        <v>2</v>
      </c>
      <c r="E219" s="28">
        <v>130</v>
      </c>
      <c r="F219" s="28">
        <v>214</v>
      </c>
      <c r="G219" s="28">
        <v>0</v>
      </c>
      <c r="H219" s="28">
        <v>0</v>
      </c>
      <c r="I219" s="28">
        <v>168</v>
      </c>
      <c r="J219" s="28">
        <v>0</v>
      </c>
      <c r="K219" s="28">
        <v>1</v>
      </c>
      <c r="L219" s="28">
        <v>2</v>
      </c>
      <c r="M219" s="28">
        <v>1</v>
      </c>
    </row>
    <row r="220" spans="1:13" x14ac:dyDescent="0.25">
      <c r="A220" s="28">
        <v>51</v>
      </c>
      <c r="B220" s="19" t="str">
        <f t="shared" si="3"/>
        <v>50-59</v>
      </c>
      <c r="C220" s="28">
        <v>1</v>
      </c>
      <c r="D220" s="28">
        <v>3</v>
      </c>
      <c r="E220" s="28">
        <v>125</v>
      </c>
      <c r="F220" s="28">
        <v>213</v>
      </c>
      <c r="G220" s="28">
        <v>0</v>
      </c>
      <c r="H220" s="28">
        <v>0</v>
      </c>
      <c r="I220" s="28">
        <v>125</v>
      </c>
      <c r="J220" s="28">
        <v>1</v>
      </c>
      <c r="K220" s="28">
        <v>2</v>
      </c>
      <c r="L220" s="28">
        <v>2</v>
      </c>
      <c r="M220" s="28">
        <v>1</v>
      </c>
    </row>
    <row r="221" spans="1:13" x14ac:dyDescent="0.25">
      <c r="A221" s="28">
        <v>43</v>
      </c>
      <c r="B221" s="19" t="str">
        <f t="shared" si="3"/>
        <v>40-49</v>
      </c>
      <c r="C221" s="28">
        <v>0</v>
      </c>
      <c r="D221" s="28">
        <v>2</v>
      </c>
      <c r="E221" s="28">
        <v>122</v>
      </c>
      <c r="F221" s="28">
        <v>213</v>
      </c>
      <c r="G221" s="28">
        <v>0</v>
      </c>
      <c r="H221" s="28">
        <v>1</v>
      </c>
      <c r="I221" s="28">
        <v>165</v>
      </c>
      <c r="J221" s="28">
        <v>0</v>
      </c>
      <c r="K221" s="28">
        <v>1</v>
      </c>
      <c r="L221" s="28">
        <v>2</v>
      </c>
      <c r="M221" s="28">
        <v>1</v>
      </c>
    </row>
    <row r="222" spans="1:13" x14ac:dyDescent="0.25">
      <c r="A222" s="28">
        <v>52</v>
      </c>
      <c r="B222" s="19" t="str">
        <f t="shared" si="3"/>
        <v>50-59</v>
      </c>
      <c r="C222" s="28">
        <v>1</v>
      </c>
      <c r="D222" s="28">
        <v>0</v>
      </c>
      <c r="E222" s="28">
        <v>125</v>
      </c>
      <c r="F222" s="28">
        <v>212</v>
      </c>
      <c r="G222" s="28">
        <v>0</v>
      </c>
      <c r="H222" s="28">
        <v>1</v>
      </c>
      <c r="I222" s="28">
        <v>168</v>
      </c>
      <c r="J222" s="28">
        <v>0</v>
      </c>
      <c r="K222" s="28">
        <v>2</v>
      </c>
      <c r="L222" s="28">
        <v>3</v>
      </c>
      <c r="M222" s="28">
        <v>0</v>
      </c>
    </row>
    <row r="223" spans="1:13" x14ac:dyDescent="0.25">
      <c r="A223" s="28">
        <v>67</v>
      </c>
      <c r="B223" s="19" t="str">
        <f t="shared" si="3"/>
        <v>60-69</v>
      </c>
      <c r="C223" s="28">
        <v>1</v>
      </c>
      <c r="D223" s="28">
        <v>2</v>
      </c>
      <c r="E223" s="28">
        <v>152</v>
      </c>
      <c r="F223" s="28">
        <v>212</v>
      </c>
      <c r="G223" s="28">
        <v>0</v>
      </c>
      <c r="H223" s="28">
        <v>0</v>
      </c>
      <c r="I223" s="28">
        <v>150</v>
      </c>
      <c r="J223" s="28">
        <v>0</v>
      </c>
      <c r="K223" s="28">
        <v>1</v>
      </c>
      <c r="L223" s="28">
        <v>3</v>
      </c>
      <c r="M223" s="28">
        <v>0</v>
      </c>
    </row>
    <row r="224" spans="1:13" x14ac:dyDescent="0.25">
      <c r="A224" s="28">
        <v>59</v>
      </c>
      <c r="B224" s="19" t="str">
        <f t="shared" si="3"/>
        <v>50-59</v>
      </c>
      <c r="C224" s="28">
        <v>1</v>
      </c>
      <c r="D224" s="28">
        <v>2</v>
      </c>
      <c r="E224" s="28">
        <v>150</v>
      </c>
      <c r="F224" s="28">
        <v>212</v>
      </c>
      <c r="G224" s="28">
        <v>1</v>
      </c>
      <c r="H224" s="28">
        <v>1</v>
      </c>
      <c r="I224" s="28">
        <v>157</v>
      </c>
      <c r="J224" s="28">
        <v>0</v>
      </c>
      <c r="K224" s="28">
        <v>2</v>
      </c>
      <c r="L224" s="28">
        <v>2</v>
      </c>
      <c r="M224" s="28">
        <v>1</v>
      </c>
    </row>
    <row r="225" spans="1:13" x14ac:dyDescent="0.25">
      <c r="A225" s="28">
        <v>64</v>
      </c>
      <c r="B225" s="19" t="str">
        <f t="shared" si="3"/>
        <v>60-69</v>
      </c>
      <c r="C225" s="28">
        <v>1</v>
      </c>
      <c r="D225" s="28">
        <v>0</v>
      </c>
      <c r="E225" s="28">
        <v>145</v>
      </c>
      <c r="F225" s="28">
        <v>212</v>
      </c>
      <c r="G225" s="28">
        <v>0</v>
      </c>
      <c r="H225" s="28">
        <v>0</v>
      </c>
      <c r="I225" s="28">
        <v>132</v>
      </c>
      <c r="J225" s="28">
        <v>0</v>
      </c>
      <c r="K225" s="28">
        <v>1</v>
      </c>
      <c r="L225" s="28">
        <v>1</v>
      </c>
      <c r="M225" s="28">
        <v>0</v>
      </c>
    </row>
    <row r="226" spans="1:13" x14ac:dyDescent="0.25">
      <c r="A226" s="28">
        <v>66</v>
      </c>
      <c r="B226" s="19" t="str">
        <f t="shared" si="3"/>
        <v>60-69</v>
      </c>
      <c r="C226" s="28">
        <v>1</v>
      </c>
      <c r="D226" s="28">
        <v>0</v>
      </c>
      <c r="E226" s="28">
        <v>112</v>
      </c>
      <c r="F226" s="28">
        <v>212</v>
      </c>
      <c r="G226" s="28">
        <v>0</v>
      </c>
      <c r="H226" s="28">
        <v>0</v>
      </c>
      <c r="I226" s="28">
        <v>132</v>
      </c>
      <c r="J226" s="28">
        <v>1</v>
      </c>
      <c r="K226" s="28">
        <v>2</v>
      </c>
      <c r="L226" s="28">
        <v>2</v>
      </c>
      <c r="M226" s="28">
        <v>0</v>
      </c>
    </row>
    <row r="227" spans="1:13" x14ac:dyDescent="0.25">
      <c r="A227" s="28">
        <v>58</v>
      </c>
      <c r="B227" s="19" t="str">
        <f t="shared" si="3"/>
        <v>50-59</v>
      </c>
      <c r="C227" s="28">
        <v>1</v>
      </c>
      <c r="D227" s="28">
        <v>2</v>
      </c>
      <c r="E227" s="28">
        <v>140</v>
      </c>
      <c r="F227" s="28">
        <v>211</v>
      </c>
      <c r="G227" s="28">
        <v>1</v>
      </c>
      <c r="H227" s="28">
        <v>0</v>
      </c>
      <c r="I227" s="28">
        <v>165</v>
      </c>
      <c r="J227" s="28">
        <v>0</v>
      </c>
      <c r="K227" s="28">
        <v>2</v>
      </c>
      <c r="L227" s="28">
        <v>2</v>
      </c>
      <c r="M227" s="28">
        <v>1</v>
      </c>
    </row>
    <row r="228" spans="1:13" x14ac:dyDescent="0.25">
      <c r="A228" s="28">
        <v>64</v>
      </c>
      <c r="B228" s="19" t="str">
        <f t="shared" si="3"/>
        <v>60-69</v>
      </c>
      <c r="C228" s="28">
        <v>1</v>
      </c>
      <c r="D228" s="28">
        <v>3</v>
      </c>
      <c r="E228" s="28">
        <v>110</v>
      </c>
      <c r="F228" s="28">
        <v>211</v>
      </c>
      <c r="G228" s="28">
        <v>0</v>
      </c>
      <c r="H228" s="28">
        <v>0</v>
      </c>
      <c r="I228" s="28">
        <v>144</v>
      </c>
      <c r="J228" s="28">
        <v>1</v>
      </c>
      <c r="K228" s="28">
        <v>1</v>
      </c>
      <c r="L228" s="28">
        <v>2</v>
      </c>
      <c r="M228" s="28">
        <v>1</v>
      </c>
    </row>
    <row r="229" spans="1:13" x14ac:dyDescent="0.25">
      <c r="A229" s="28">
        <v>43</v>
      </c>
      <c r="B229" s="19" t="str">
        <f t="shared" si="3"/>
        <v>40-49</v>
      </c>
      <c r="C229" s="28">
        <v>1</v>
      </c>
      <c r="D229" s="28">
        <v>0</v>
      </c>
      <c r="E229" s="28">
        <v>110</v>
      </c>
      <c r="F229" s="28">
        <v>211</v>
      </c>
      <c r="G229" s="28">
        <v>0</v>
      </c>
      <c r="H229" s="28">
        <v>1</v>
      </c>
      <c r="I229" s="28">
        <v>161</v>
      </c>
      <c r="J229" s="28">
        <v>0</v>
      </c>
      <c r="K229" s="28">
        <v>2</v>
      </c>
      <c r="L229" s="28">
        <v>3</v>
      </c>
      <c r="M229" s="28">
        <v>1</v>
      </c>
    </row>
    <row r="230" spans="1:13" x14ac:dyDescent="0.25">
      <c r="A230" s="28">
        <v>68</v>
      </c>
      <c r="B230" s="19" t="str">
        <f t="shared" si="3"/>
        <v>60-69</v>
      </c>
      <c r="C230" s="28">
        <v>0</v>
      </c>
      <c r="D230" s="28">
        <v>2</v>
      </c>
      <c r="E230" s="28">
        <v>120</v>
      </c>
      <c r="F230" s="28">
        <v>211</v>
      </c>
      <c r="G230" s="28">
        <v>0</v>
      </c>
      <c r="H230" s="28">
        <v>0</v>
      </c>
      <c r="I230" s="28">
        <v>115</v>
      </c>
      <c r="J230" s="28">
        <v>0</v>
      </c>
      <c r="K230" s="28">
        <v>1</v>
      </c>
      <c r="L230" s="28">
        <v>2</v>
      </c>
      <c r="M230" s="28">
        <v>1</v>
      </c>
    </row>
    <row r="231" spans="1:13" x14ac:dyDescent="0.25">
      <c r="A231" s="28">
        <v>34</v>
      </c>
      <c r="B231" s="19" t="str">
        <f t="shared" si="3"/>
        <v>30-39</v>
      </c>
      <c r="C231" s="28">
        <v>0</v>
      </c>
      <c r="D231" s="28">
        <v>1</v>
      </c>
      <c r="E231" s="28">
        <v>118</v>
      </c>
      <c r="F231" s="28">
        <v>210</v>
      </c>
      <c r="G231" s="28">
        <v>0</v>
      </c>
      <c r="H231" s="28">
        <v>1</v>
      </c>
      <c r="I231" s="28">
        <v>192</v>
      </c>
      <c r="J231" s="28">
        <v>0</v>
      </c>
      <c r="K231" s="28">
        <v>2</v>
      </c>
      <c r="L231" s="28">
        <v>2</v>
      </c>
      <c r="M231" s="28">
        <v>1</v>
      </c>
    </row>
    <row r="232" spans="1:13" x14ac:dyDescent="0.25">
      <c r="A232" s="28">
        <v>42</v>
      </c>
      <c r="B232" s="19" t="str">
        <f t="shared" si="3"/>
        <v>40-49</v>
      </c>
      <c r="C232" s="28">
        <v>0</v>
      </c>
      <c r="D232" s="28">
        <v>2</v>
      </c>
      <c r="E232" s="28">
        <v>120</v>
      </c>
      <c r="F232" s="28">
        <v>209</v>
      </c>
      <c r="G232" s="28">
        <v>0</v>
      </c>
      <c r="H232" s="28">
        <v>1</v>
      </c>
      <c r="I232" s="28">
        <v>173</v>
      </c>
      <c r="J232" s="28">
        <v>0</v>
      </c>
      <c r="K232" s="28">
        <v>1</v>
      </c>
      <c r="L232" s="28">
        <v>2</v>
      </c>
      <c r="M232" s="28">
        <v>1</v>
      </c>
    </row>
    <row r="233" spans="1:13" x14ac:dyDescent="0.25">
      <c r="A233" s="28">
        <v>62</v>
      </c>
      <c r="B233" s="19" t="str">
        <f t="shared" si="3"/>
        <v>60-69</v>
      </c>
      <c r="C233" s="28">
        <v>0</v>
      </c>
      <c r="D233" s="28">
        <v>0</v>
      </c>
      <c r="E233" s="28">
        <v>124</v>
      </c>
      <c r="F233" s="28">
        <v>209</v>
      </c>
      <c r="G233" s="28">
        <v>0</v>
      </c>
      <c r="H233" s="28">
        <v>1</v>
      </c>
      <c r="I233" s="28">
        <v>163</v>
      </c>
      <c r="J233" s="28">
        <v>0</v>
      </c>
      <c r="K233" s="28">
        <v>2</v>
      </c>
      <c r="L233" s="28">
        <v>2</v>
      </c>
      <c r="M233" s="28">
        <v>1</v>
      </c>
    </row>
    <row r="234" spans="1:13" x14ac:dyDescent="0.25">
      <c r="A234" s="28">
        <v>45</v>
      </c>
      <c r="B234" s="19" t="str">
        <f t="shared" si="3"/>
        <v>40-49</v>
      </c>
      <c r="C234" s="28">
        <v>1</v>
      </c>
      <c r="D234" s="28">
        <v>0</v>
      </c>
      <c r="E234" s="28">
        <v>104</v>
      </c>
      <c r="F234" s="28">
        <v>208</v>
      </c>
      <c r="G234" s="28">
        <v>0</v>
      </c>
      <c r="H234" s="28">
        <v>0</v>
      </c>
      <c r="I234" s="28">
        <v>148</v>
      </c>
      <c r="J234" s="28">
        <v>1</v>
      </c>
      <c r="K234" s="28">
        <v>1</v>
      </c>
      <c r="L234" s="28">
        <v>2</v>
      </c>
      <c r="M234" s="28">
        <v>1</v>
      </c>
    </row>
    <row r="235" spans="1:13" x14ac:dyDescent="0.25">
      <c r="A235" s="28">
        <v>62</v>
      </c>
      <c r="B235" s="19" t="str">
        <f t="shared" si="3"/>
        <v>60-69</v>
      </c>
      <c r="C235" s="28">
        <v>1</v>
      </c>
      <c r="D235" s="28">
        <v>1</v>
      </c>
      <c r="E235" s="28">
        <v>128</v>
      </c>
      <c r="F235" s="28">
        <v>208</v>
      </c>
      <c r="G235" s="28">
        <v>1</v>
      </c>
      <c r="H235" s="28">
        <v>0</v>
      </c>
      <c r="I235" s="28">
        <v>140</v>
      </c>
      <c r="J235" s="28">
        <v>0</v>
      </c>
      <c r="K235" s="28">
        <v>2</v>
      </c>
      <c r="L235" s="28">
        <v>2</v>
      </c>
      <c r="M235" s="28">
        <v>1</v>
      </c>
    </row>
    <row r="236" spans="1:13" x14ac:dyDescent="0.25">
      <c r="A236" s="28">
        <v>61</v>
      </c>
      <c r="B236" s="19" t="str">
        <f t="shared" si="3"/>
        <v>60-69</v>
      </c>
      <c r="C236" s="28">
        <v>1</v>
      </c>
      <c r="D236" s="28">
        <v>0</v>
      </c>
      <c r="E236" s="28">
        <v>140</v>
      </c>
      <c r="F236" s="28">
        <v>207</v>
      </c>
      <c r="G236" s="28">
        <v>0</v>
      </c>
      <c r="H236" s="28">
        <v>0</v>
      </c>
      <c r="I236" s="28">
        <v>138</v>
      </c>
      <c r="J236" s="28">
        <v>1</v>
      </c>
      <c r="K236" s="28">
        <v>2</v>
      </c>
      <c r="L236" s="28">
        <v>3</v>
      </c>
      <c r="M236" s="28">
        <v>0</v>
      </c>
    </row>
    <row r="237" spans="1:13" x14ac:dyDescent="0.25">
      <c r="A237" s="28">
        <v>57</v>
      </c>
      <c r="B237" s="19" t="str">
        <f t="shared" si="3"/>
        <v>50-59</v>
      </c>
      <c r="C237" s="28">
        <v>1</v>
      </c>
      <c r="D237" s="28">
        <v>0</v>
      </c>
      <c r="E237" s="28">
        <v>132</v>
      </c>
      <c r="F237" s="28">
        <v>207</v>
      </c>
      <c r="G237" s="28">
        <v>0</v>
      </c>
      <c r="H237" s="28">
        <v>1</v>
      </c>
      <c r="I237" s="28">
        <v>168</v>
      </c>
      <c r="J237" s="28">
        <v>1</v>
      </c>
      <c r="K237" s="28">
        <v>2</v>
      </c>
      <c r="L237" s="28">
        <v>3</v>
      </c>
      <c r="M237" s="28">
        <v>1</v>
      </c>
    </row>
    <row r="238" spans="1:13" x14ac:dyDescent="0.25">
      <c r="A238" s="28">
        <v>54</v>
      </c>
      <c r="B238" s="19" t="str">
        <f t="shared" si="3"/>
        <v>50-59</v>
      </c>
      <c r="C238" s="28">
        <v>1</v>
      </c>
      <c r="D238" s="28">
        <v>0</v>
      </c>
      <c r="E238" s="28">
        <v>110</v>
      </c>
      <c r="F238" s="28">
        <v>206</v>
      </c>
      <c r="G238" s="28">
        <v>0</v>
      </c>
      <c r="H238" s="28">
        <v>0</v>
      </c>
      <c r="I238" s="28">
        <v>108</v>
      </c>
      <c r="J238" s="28">
        <v>1</v>
      </c>
      <c r="K238" s="28">
        <v>1</v>
      </c>
      <c r="L238" s="28">
        <v>2</v>
      </c>
      <c r="M238" s="28">
        <v>0</v>
      </c>
    </row>
    <row r="239" spans="1:13" x14ac:dyDescent="0.25">
      <c r="A239" s="28">
        <v>60</v>
      </c>
      <c r="B239" s="19" t="str">
        <f t="shared" si="3"/>
        <v>60-69</v>
      </c>
      <c r="C239" s="28">
        <v>1</v>
      </c>
      <c r="D239" s="28">
        <v>0</v>
      </c>
      <c r="E239" s="28">
        <v>130</v>
      </c>
      <c r="F239" s="28">
        <v>206</v>
      </c>
      <c r="G239" s="28">
        <v>0</v>
      </c>
      <c r="H239" s="28">
        <v>0</v>
      </c>
      <c r="I239" s="28">
        <v>132</v>
      </c>
      <c r="J239" s="28">
        <v>1</v>
      </c>
      <c r="K239" s="28">
        <v>1</v>
      </c>
      <c r="L239" s="28">
        <v>3</v>
      </c>
      <c r="M239" s="28">
        <v>0</v>
      </c>
    </row>
    <row r="240" spans="1:13" x14ac:dyDescent="0.25">
      <c r="A240" s="28">
        <v>55</v>
      </c>
      <c r="B240" s="19" t="str">
        <f t="shared" si="3"/>
        <v>50-59</v>
      </c>
      <c r="C240" s="28">
        <v>0</v>
      </c>
      <c r="D240" s="28">
        <v>0</v>
      </c>
      <c r="E240" s="28">
        <v>128</v>
      </c>
      <c r="F240" s="28">
        <v>205</v>
      </c>
      <c r="G240" s="28">
        <v>0</v>
      </c>
      <c r="H240" s="28">
        <v>2</v>
      </c>
      <c r="I240" s="28">
        <v>130</v>
      </c>
      <c r="J240" s="28">
        <v>1</v>
      </c>
      <c r="K240" s="28">
        <v>1</v>
      </c>
      <c r="L240" s="28">
        <v>3</v>
      </c>
      <c r="M240" s="28">
        <v>0</v>
      </c>
    </row>
    <row r="241" spans="1:13" x14ac:dyDescent="0.25">
      <c r="A241" s="28">
        <v>52</v>
      </c>
      <c r="B241" s="19" t="str">
        <f t="shared" si="3"/>
        <v>50-59</v>
      </c>
      <c r="C241" s="28">
        <v>1</v>
      </c>
      <c r="D241" s="28">
        <v>1</v>
      </c>
      <c r="E241" s="28">
        <v>128</v>
      </c>
      <c r="F241" s="28">
        <v>205</v>
      </c>
      <c r="G241" s="28">
        <v>1</v>
      </c>
      <c r="H241" s="28">
        <v>1</v>
      </c>
      <c r="I241" s="28">
        <v>184</v>
      </c>
      <c r="J241" s="28">
        <v>0</v>
      </c>
      <c r="K241" s="28">
        <v>2</v>
      </c>
      <c r="L241" s="28">
        <v>2</v>
      </c>
      <c r="M241" s="28">
        <v>1</v>
      </c>
    </row>
    <row r="242" spans="1:13" x14ac:dyDescent="0.25">
      <c r="A242" s="28">
        <v>52</v>
      </c>
      <c r="B242" s="19" t="str">
        <f t="shared" si="3"/>
        <v>50-59</v>
      </c>
      <c r="C242" s="28">
        <v>1</v>
      </c>
      <c r="D242" s="28">
        <v>0</v>
      </c>
      <c r="E242" s="28">
        <v>128</v>
      </c>
      <c r="F242" s="28">
        <v>204</v>
      </c>
      <c r="G242" s="28">
        <v>1</v>
      </c>
      <c r="H242" s="28">
        <v>1</v>
      </c>
      <c r="I242" s="28">
        <v>156</v>
      </c>
      <c r="J242" s="28">
        <v>1</v>
      </c>
      <c r="K242" s="28">
        <v>1</v>
      </c>
      <c r="L242" s="28">
        <v>0</v>
      </c>
      <c r="M242" s="28">
        <v>0</v>
      </c>
    </row>
    <row r="243" spans="1:13" x14ac:dyDescent="0.25">
      <c r="A243" s="28">
        <v>29</v>
      </c>
      <c r="B243" s="19" t="str">
        <f t="shared" si="3"/>
        <v>20-29</v>
      </c>
      <c r="C243" s="28">
        <v>1</v>
      </c>
      <c r="D243" s="28">
        <v>1</v>
      </c>
      <c r="E243" s="28">
        <v>130</v>
      </c>
      <c r="F243" s="28">
        <v>204</v>
      </c>
      <c r="G243" s="28">
        <v>0</v>
      </c>
      <c r="H243" s="28">
        <v>0</v>
      </c>
      <c r="I243" s="28">
        <v>202</v>
      </c>
      <c r="J243" s="28">
        <v>0</v>
      </c>
      <c r="K243" s="28">
        <v>2</v>
      </c>
      <c r="L243" s="28">
        <v>2</v>
      </c>
      <c r="M243" s="28">
        <v>1</v>
      </c>
    </row>
    <row r="244" spans="1:13" x14ac:dyDescent="0.25">
      <c r="A244" s="28">
        <v>47</v>
      </c>
      <c r="B244" s="19" t="str">
        <f t="shared" si="3"/>
        <v>40-49</v>
      </c>
      <c r="C244" s="28">
        <v>1</v>
      </c>
      <c r="D244" s="28">
        <v>0</v>
      </c>
      <c r="E244" s="28">
        <v>112</v>
      </c>
      <c r="F244" s="28">
        <v>204</v>
      </c>
      <c r="G244" s="28">
        <v>0</v>
      </c>
      <c r="H244" s="28">
        <v>1</v>
      </c>
      <c r="I244" s="28">
        <v>143</v>
      </c>
      <c r="J244" s="28">
        <v>0</v>
      </c>
      <c r="K244" s="28">
        <v>2</v>
      </c>
      <c r="L244" s="28">
        <v>2</v>
      </c>
      <c r="M244" s="28">
        <v>1</v>
      </c>
    </row>
    <row r="245" spans="1:13" x14ac:dyDescent="0.25">
      <c r="A245" s="28">
        <v>41</v>
      </c>
      <c r="B245" s="19" t="str">
        <f t="shared" si="3"/>
        <v>40-49</v>
      </c>
      <c r="C245" s="28">
        <v>0</v>
      </c>
      <c r="D245" s="28">
        <v>1</v>
      </c>
      <c r="E245" s="28">
        <v>130</v>
      </c>
      <c r="F245" s="28">
        <v>204</v>
      </c>
      <c r="G245" s="28">
        <v>0</v>
      </c>
      <c r="H245" s="28">
        <v>0</v>
      </c>
      <c r="I245" s="28">
        <v>172</v>
      </c>
      <c r="J245" s="28">
        <v>0</v>
      </c>
      <c r="K245" s="28">
        <v>2</v>
      </c>
      <c r="L245" s="28">
        <v>2</v>
      </c>
      <c r="M245" s="28">
        <v>1</v>
      </c>
    </row>
    <row r="246" spans="1:13" x14ac:dyDescent="0.25">
      <c r="A246" s="28">
        <v>46</v>
      </c>
      <c r="B246" s="19" t="str">
        <f t="shared" si="3"/>
        <v>40-49</v>
      </c>
      <c r="C246" s="28">
        <v>0</v>
      </c>
      <c r="D246" s="28">
        <v>1</v>
      </c>
      <c r="E246" s="28">
        <v>105</v>
      </c>
      <c r="F246" s="28">
        <v>204</v>
      </c>
      <c r="G246" s="28">
        <v>0</v>
      </c>
      <c r="H246" s="28">
        <v>1</v>
      </c>
      <c r="I246" s="28">
        <v>172</v>
      </c>
      <c r="J246" s="28">
        <v>0</v>
      </c>
      <c r="K246" s="28">
        <v>2</v>
      </c>
      <c r="L246" s="28">
        <v>2</v>
      </c>
      <c r="M246" s="28">
        <v>1</v>
      </c>
    </row>
    <row r="247" spans="1:13" x14ac:dyDescent="0.25">
      <c r="A247" s="28">
        <v>59</v>
      </c>
      <c r="B247" s="19" t="str">
        <f t="shared" si="3"/>
        <v>50-59</v>
      </c>
      <c r="C247" s="28">
        <v>1</v>
      </c>
      <c r="D247" s="28">
        <v>3</v>
      </c>
      <c r="E247" s="28">
        <v>134</v>
      </c>
      <c r="F247" s="28">
        <v>204</v>
      </c>
      <c r="G247" s="28">
        <v>0</v>
      </c>
      <c r="H247" s="28">
        <v>1</v>
      </c>
      <c r="I247" s="28">
        <v>162</v>
      </c>
      <c r="J247" s="28">
        <v>0</v>
      </c>
      <c r="K247" s="28">
        <v>2</v>
      </c>
      <c r="L247" s="28">
        <v>2</v>
      </c>
      <c r="M247" s="28">
        <v>0</v>
      </c>
    </row>
    <row r="248" spans="1:13" x14ac:dyDescent="0.25">
      <c r="A248" s="28">
        <v>53</v>
      </c>
      <c r="B248" s="19" t="str">
        <f t="shared" si="3"/>
        <v>50-59</v>
      </c>
      <c r="C248" s="28">
        <v>1</v>
      </c>
      <c r="D248" s="28">
        <v>0</v>
      </c>
      <c r="E248" s="28">
        <v>140</v>
      </c>
      <c r="F248" s="28">
        <v>203</v>
      </c>
      <c r="G248" s="28">
        <v>1</v>
      </c>
      <c r="H248" s="28">
        <v>0</v>
      </c>
      <c r="I248" s="28">
        <v>155</v>
      </c>
      <c r="J248" s="28">
        <v>1</v>
      </c>
      <c r="K248" s="28">
        <v>0</v>
      </c>
      <c r="L248" s="28">
        <v>3</v>
      </c>
      <c r="M248" s="28">
        <v>0</v>
      </c>
    </row>
    <row r="249" spans="1:13" x14ac:dyDescent="0.25">
      <c r="A249" s="28">
        <v>61</v>
      </c>
      <c r="B249" s="19" t="str">
        <f t="shared" si="3"/>
        <v>60-69</v>
      </c>
      <c r="C249" s="28">
        <v>1</v>
      </c>
      <c r="D249" s="28">
        <v>0</v>
      </c>
      <c r="E249" s="28">
        <v>148</v>
      </c>
      <c r="F249" s="28">
        <v>203</v>
      </c>
      <c r="G249" s="28">
        <v>0</v>
      </c>
      <c r="H249" s="28">
        <v>1</v>
      </c>
      <c r="I249" s="28">
        <v>161</v>
      </c>
      <c r="J249" s="28">
        <v>0</v>
      </c>
      <c r="K249" s="28">
        <v>2</v>
      </c>
      <c r="L249" s="28">
        <v>3</v>
      </c>
      <c r="M249" s="28">
        <v>0</v>
      </c>
    </row>
    <row r="250" spans="1:13" x14ac:dyDescent="0.25">
      <c r="A250" s="28">
        <v>41</v>
      </c>
      <c r="B250" s="19" t="str">
        <f t="shared" si="3"/>
        <v>40-49</v>
      </c>
      <c r="C250" s="28">
        <v>1</v>
      </c>
      <c r="D250" s="28">
        <v>1</v>
      </c>
      <c r="E250" s="28">
        <v>135</v>
      </c>
      <c r="F250" s="28">
        <v>203</v>
      </c>
      <c r="G250" s="28">
        <v>0</v>
      </c>
      <c r="H250" s="28">
        <v>1</v>
      </c>
      <c r="I250" s="28">
        <v>132</v>
      </c>
      <c r="J250" s="28">
        <v>0</v>
      </c>
      <c r="K250" s="28">
        <v>1</v>
      </c>
      <c r="L250" s="28">
        <v>1</v>
      </c>
      <c r="M250" s="28">
        <v>1</v>
      </c>
    </row>
    <row r="251" spans="1:13" x14ac:dyDescent="0.25">
      <c r="A251" s="28">
        <v>52</v>
      </c>
      <c r="B251" s="19" t="str">
        <f t="shared" si="3"/>
        <v>50-59</v>
      </c>
      <c r="C251" s="28">
        <v>1</v>
      </c>
      <c r="D251" s="28">
        <v>1</v>
      </c>
      <c r="E251" s="28">
        <v>134</v>
      </c>
      <c r="F251" s="28">
        <v>201</v>
      </c>
      <c r="G251" s="28">
        <v>0</v>
      </c>
      <c r="H251" s="28">
        <v>1</v>
      </c>
      <c r="I251" s="28">
        <v>158</v>
      </c>
      <c r="J251" s="28">
        <v>0</v>
      </c>
      <c r="K251" s="28">
        <v>2</v>
      </c>
      <c r="L251" s="28">
        <v>2</v>
      </c>
      <c r="M251" s="28">
        <v>1</v>
      </c>
    </row>
    <row r="252" spans="1:13" x14ac:dyDescent="0.25">
      <c r="A252" s="28">
        <v>57</v>
      </c>
      <c r="B252" s="19" t="str">
        <f t="shared" si="3"/>
        <v>50-59</v>
      </c>
      <c r="C252" s="28">
        <v>1</v>
      </c>
      <c r="D252" s="28">
        <v>0</v>
      </c>
      <c r="E252" s="28">
        <v>110</v>
      </c>
      <c r="F252" s="28">
        <v>201</v>
      </c>
      <c r="G252" s="28">
        <v>0</v>
      </c>
      <c r="H252" s="28">
        <v>1</v>
      </c>
      <c r="I252" s="28">
        <v>126</v>
      </c>
      <c r="J252" s="28">
        <v>1</v>
      </c>
      <c r="K252" s="28">
        <v>1</v>
      </c>
      <c r="L252" s="28">
        <v>1</v>
      </c>
      <c r="M252" s="28">
        <v>1</v>
      </c>
    </row>
    <row r="253" spans="1:13" x14ac:dyDescent="0.25">
      <c r="A253" s="28">
        <v>54</v>
      </c>
      <c r="B253" s="19" t="str">
        <f t="shared" si="3"/>
        <v>50-59</v>
      </c>
      <c r="C253" s="28">
        <v>0</v>
      </c>
      <c r="D253" s="28">
        <v>2</v>
      </c>
      <c r="E253" s="28">
        <v>160</v>
      </c>
      <c r="F253" s="28">
        <v>201</v>
      </c>
      <c r="G253" s="28">
        <v>0</v>
      </c>
      <c r="H253" s="28">
        <v>1</v>
      </c>
      <c r="I253" s="28">
        <v>163</v>
      </c>
      <c r="J253" s="28">
        <v>0</v>
      </c>
      <c r="K253" s="28">
        <v>2</v>
      </c>
      <c r="L253" s="28">
        <v>2</v>
      </c>
      <c r="M253" s="28">
        <v>1</v>
      </c>
    </row>
    <row r="254" spans="1:13" x14ac:dyDescent="0.25">
      <c r="A254" s="28">
        <v>50</v>
      </c>
      <c r="B254" s="19" t="str">
        <f t="shared" si="3"/>
        <v>50-59</v>
      </c>
      <c r="C254" s="28">
        <v>1</v>
      </c>
      <c r="D254" s="28">
        <v>0</v>
      </c>
      <c r="E254" s="28">
        <v>144</v>
      </c>
      <c r="F254" s="28">
        <v>200</v>
      </c>
      <c r="G254" s="28">
        <v>0</v>
      </c>
      <c r="H254" s="28">
        <v>0</v>
      </c>
      <c r="I254" s="28">
        <v>126</v>
      </c>
      <c r="J254" s="28">
        <v>1</v>
      </c>
      <c r="K254" s="28">
        <v>1</v>
      </c>
      <c r="L254" s="28">
        <v>3</v>
      </c>
      <c r="M254" s="28">
        <v>0</v>
      </c>
    </row>
    <row r="255" spans="1:13" x14ac:dyDescent="0.25">
      <c r="A255" s="28">
        <v>40</v>
      </c>
      <c r="B255" s="19" t="str">
        <f t="shared" si="3"/>
        <v>40-49</v>
      </c>
      <c r="C255" s="28">
        <v>1</v>
      </c>
      <c r="D255" s="28">
        <v>3</v>
      </c>
      <c r="E255" s="28">
        <v>140</v>
      </c>
      <c r="F255" s="28">
        <v>199</v>
      </c>
      <c r="G255" s="28">
        <v>0</v>
      </c>
      <c r="H255" s="28">
        <v>1</v>
      </c>
      <c r="I255" s="28">
        <v>178</v>
      </c>
      <c r="J255" s="28">
        <v>1</v>
      </c>
      <c r="K255" s="28">
        <v>2</v>
      </c>
      <c r="L255" s="28">
        <v>3</v>
      </c>
      <c r="M255" s="28">
        <v>1</v>
      </c>
    </row>
    <row r="256" spans="1:13" x14ac:dyDescent="0.25">
      <c r="A256" s="28">
        <v>39</v>
      </c>
      <c r="B256" s="19" t="str">
        <f t="shared" si="3"/>
        <v>30-39</v>
      </c>
      <c r="C256" s="28">
        <v>0</v>
      </c>
      <c r="D256" s="28">
        <v>2</v>
      </c>
      <c r="E256" s="28">
        <v>94</v>
      </c>
      <c r="F256" s="28">
        <v>199</v>
      </c>
      <c r="G256" s="28">
        <v>0</v>
      </c>
      <c r="H256" s="28">
        <v>1</v>
      </c>
      <c r="I256" s="28">
        <v>179</v>
      </c>
      <c r="J256" s="28">
        <v>0</v>
      </c>
      <c r="K256" s="28">
        <v>2</v>
      </c>
      <c r="L256" s="28">
        <v>2</v>
      </c>
      <c r="M256" s="28">
        <v>1</v>
      </c>
    </row>
    <row r="257" spans="1:13" x14ac:dyDescent="0.25">
      <c r="A257" s="28">
        <v>52</v>
      </c>
      <c r="B257" s="19" t="str">
        <f t="shared" si="3"/>
        <v>50-59</v>
      </c>
      <c r="C257" s="28">
        <v>1</v>
      </c>
      <c r="D257" s="28">
        <v>2</v>
      </c>
      <c r="E257" s="28">
        <v>172</v>
      </c>
      <c r="F257" s="28">
        <v>199</v>
      </c>
      <c r="G257" s="28">
        <v>1</v>
      </c>
      <c r="H257" s="28">
        <v>1</v>
      </c>
      <c r="I257" s="28">
        <v>162</v>
      </c>
      <c r="J257" s="28">
        <v>0</v>
      </c>
      <c r="K257" s="28">
        <v>2</v>
      </c>
      <c r="L257" s="28">
        <v>3</v>
      </c>
      <c r="M257" s="28">
        <v>1</v>
      </c>
    </row>
    <row r="258" spans="1:13" x14ac:dyDescent="0.25">
      <c r="A258" s="28">
        <v>35</v>
      </c>
      <c r="B258" s="19" t="str">
        <f t="shared" ref="B258:B321" si="4">IF(A258&lt;30,"20-29",IF(A258&lt;40,"30-39",IF(A258&lt;50,"40-49",IF(A258&lt;60,"50-59",IF(A258&lt;70,"60-69",IF(A258&lt;80,"70+"))))))</f>
        <v>30-39</v>
      </c>
      <c r="C258" s="28">
        <v>1</v>
      </c>
      <c r="D258" s="28">
        <v>0</v>
      </c>
      <c r="E258" s="28">
        <v>120</v>
      </c>
      <c r="F258" s="28">
        <v>198</v>
      </c>
      <c r="G258" s="28">
        <v>0</v>
      </c>
      <c r="H258" s="28">
        <v>1</v>
      </c>
      <c r="I258" s="28">
        <v>130</v>
      </c>
      <c r="J258" s="28">
        <v>1</v>
      </c>
      <c r="K258" s="28">
        <v>1</v>
      </c>
      <c r="L258" s="28">
        <v>3</v>
      </c>
      <c r="M258" s="28">
        <v>0</v>
      </c>
    </row>
    <row r="259" spans="1:13" x14ac:dyDescent="0.25">
      <c r="A259" s="28">
        <v>41</v>
      </c>
      <c r="B259" s="19" t="str">
        <f t="shared" si="4"/>
        <v>40-49</v>
      </c>
      <c r="C259" s="28">
        <v>0</v>
      </c>
      <c r="D259" s="28">
        <v>1</v>
      </c>
      <c r="E259" s="28">
        <v>105</v>
      </c>
      <c r="F259" s="28">
        <v>198</v>
      </c>
      <c r="G259" s="28">
        <v>0</v>
      </c>
      <c r="H259" s="28">
        <v>1</v>
      </c>
      <c r="I259" s="28">
        <v>168</v>
      </c>
      <c r="J259" s="28">
        <v>0</v>
      </c>
      <c r="K259" s="28">
        <v>2</v>
      </c>
      <c r="L259" s="28">
        <v>2</v>
      </c>
      <c r="M259" s="28">
        <v>1</v>
      </c>
    </row>
    <row r="260" spans="1:13" x14ac:dyDescent="0.25">
      <c r="A260" s="28">
        <v>53</v>
      </c>
      <c r="B260" s="19" t="str">
        <f t="shared" si="4"/>
        <v>50-59</v>
      </c>
      <c r="C260" s="28">
        <v>1</v>
      </c>
      <c r="D260" s="28">
        <v>2</v>
      </c>
      <c r="E260" s="28">
        <v>130</v>
      </c>
      <c r="F260" s="28">
        <v>197</v>
      </c>
      <c r="G260" s="28">
        <v>1</v>
      </c>
      <c r="H260" s="28">
        <v>0</v>
      </c>
      <c r="I260" s="28">
        <v>152</v>
      </c>
      <c r="J260" s="28">
        <v>0</v>
      </c>
      <c r="K260" s="28">
        <v>0</v>
      </c>
      <c r="L260" s="28">
        <v>2</v>
      </c>
      <c r="M260" s="28">
        <v>1</v>
      </c>
    </row>
    <row r="261" spans="1:13" x14ac:dyDescent="0.25">
      <c r="A261" s="28">
        <v>76</v>
      </c>
      <c r="B261" s="19" t="str">
        <f t="shared" si="4"/>
        <v>70+</v>
      </c>
      <c r="C261" s="28">
        <v>0</v>
      </c>
      <c r="D261" s="28">
        <v>2</v>
      </c>
      <c r="E261" s="28">
        <v>140</v>
      </c>
      <c r="F261" s="28">
        <v>197</v>
      </c>
      <c r="G261" s="28">
        <v>0</v>
      </c>
      <c r="H261" s="28">
        <v>2</v>
      </c>
      <c r="I261" s="28">
        <v>116</v>
      </c>
      <c r="J261" s="28">
        <v>0</v>
      </c>
      <c r="K261" s="28">
        <v>1</v>
      </c>
      <c r="L261" s="28">
        <v>2</v>
      </c>
      <c r="M261" s="28">
        <v>1</v>
      </c>
    </row>
    <row r="262" spans="1:13" x14ac:dyDescent="0.25">
      <c r="A262" s="28">
        <v>44</v>
      </c>
      <c r="B262" s="19" t="str">
        <f t="shared" si="4"/>
        <v>40-49</v>
      </c>
      <c r="C262" s="28">
        <v>1</v>
      </c>
      <c r="D262" s="28">
        <v>0</v>
      </c>
      <c r="E262" s="28">
        <v>110</v>
      </c>
      <c r="F262" s="28">
        <v>197</v>
      </c>
      <c r="G262" s="28">
        <v>0</v>
      </c>
      <c r="H262" s="28">
        <v>0</v>
      </c>
      <c r="I262" s="28">
        <v>177</v>
      </c>
      <c r="J262" s="28">
        <v>0</v>
      </c>
      <c r="K262" s="28">
        <v>2</v>
      </c>
      <c r="L262" s="28">
        <v>2</v>
      </c>
      <c r="M262" s="28">
        <v>0</v>
      </c>
    </row>
    <row r="263" spans="1:13" x14ac:dyDescent="0.25">
      <c r="A263" s="28">
        <v>63</v>
      </c>
      <c r="B263" s="19" t="str">
        <f t="shared" si="4"/>
        <v>60-69</v>
      </c>
      <c r="C263" s="28">
        <v>0</v>
      </c>
      <c r="D263" s="28">
        <v>0</v>
      </c>
      <c r="E263" s="28">
        <v>124</v>
      </c>
      <c r="F263" s="28">
        <v>197</v>
      </c>
      <c r="G263" s="28">
        <v>0</v>
      </c>
      <c r="H263" s="28">
        <v>1</v>
      </c>
      <c r="I263" s="28">
        <v>136</v>
      </c>
      <c r="J263" s="28">
        <v>1</v>
      </c>
      <c r="K263" s="28">
        <v>1</v>
      </c>
      <c r="L263" s="28">
        <v>2</v>
      </c>
      <c r="M263" s="28">
        <v>0</v>
      </c>
    </row>
    <row r="264" spans="1:13" x14ac:dyDescent="0.25">
      <c r="A264" s="28">
        <v>58</v>
      </c>
      <c r="B264" s="19" t="str">
        <f t="shared" si="4"/>
        <v>50-59</v>
      </c>
      <c r="C264" s="28">
        <v>0</v>
      </c>
      <c r="D264" s="28">
        <v>0</v>
      </c>
      <c r="E264" s="28">
        <v>130</v>
      </c>
      <c r="F264" s="28">
        <v>197</v>
      </c>
      <c r="G264" s="28">
        <v>0</v>
      </c>
      <c r="H264" s="28">
        <v>1</v>
      </c>
      <c r="I264" s="28">
        <v>131</v>
      </c>
      <c r="J264" s="28">
        <v>0</v>
      </c>
      <c r="K264" s="28">
        <v>1</v>
      </c>
      <c r="L264" s="28">
        <v>2</v>
      </c>
      <c r="M264" s="28">
        <v>1</v>
      </c>
    </row>
    <row r="265" spans="1:13" x14ac:dyDescent="0.25">
      <c r="A265" s="28">
        <v>46</v>
      </c>
      <c r="B265" s="19" t="str">
        <f t="shared" si="4"/>
        <v>40-49</v>
      </c>
      <c r="C265" s="28">
        <v>1</v>
      </c>
      <c r="D265" s="28">
        <v>1</v>
      </c>
      <c r="E265" s="28">
        <v>101</v>
      </c>
      <c r="F265" s="28">
        <v>197</v>
      </c>
      <c r="G265" s="28">
        <v>1</v>
      </c>
      <c r="H265" s="28">
        <v>1</v>
      </c>
      <c r="I265" s="28">
        <v>156</v>
      </c>
      <c r="J265" s="28">
        <v>0</v>
      </c>
      <c r="K265" s="28">
        <v>2</v>
      </c>
      <c r="L265" s="28">
        <v>3</v>
      </c>
      <c r="M265" s="28">
        <v>1</v>
      </c>
    </row>
    <row r="266" spans="1:13" x14ac:dyDescent="0.25">
      <c r="A266" s="28">
        <v>50</v>
      </c>
      <c r="B266" s="19" t="str">
        <f t="shared" si="4"/>
        <v>50-59</v>
      </c>
      <c r="C266" s="28">
        <v>1</v>
      </c>
      <c r="D266" s="28">
        <v>2</v>
      </c>
      <c r="E266" s="28">
        <v>129</v>
      </c>
      <c r="F266" s="28">
        <v>196</v>
      </c>
      <c r="G266" s="28">
        <v>0</v>
      </c>
      <c r="H266" s="28">
        <v>1</v>
      </c>
      <c r="I266" s="28">
        <v>163</v>
      </c>
      <c r="J266" s="28">
        <v>0</v>
      </c>
      <c r="K266" s="28">
        <v>2</v>
      </c>
      <c r="L266" s="28">
        <v>2</v>
      </c>
      <c r="M266" s="28">
        <v>1</v>
      </c>
    </row>
    <row r="267" spans="1:13" x14ac:dyDescent="0.25">
      <c r="A267" s="28">
        <v>52</v>
      </c>
      <c r="B267" s="19" t="str">
        <f t="shared" si="4"/>
        <v>50-59</v>
      </c>
      <c r="C267" s="28">
        <v>0</v>
      </c>
      <c r="D267" s="28">
        <v>2</v>
      </c>
      <c r="E267" s="28">
        <v>136</v>
      </c>
      <c r="F267" s="28">
        <v>196</v>
      </c>
      <c r="G267" s="28">
        <v>0</v>
      </c>
      <c r="H267" s="28">
        <v>0</v>
      </c>
      <c r="I267" s="28">
        <v>169</v>
      </c>
      <c r="J267" s="28">
        <v>0</v>
      </c>
      <c r="K267" s="28">
        <v>1</v>
      </c>
      <c r="L267" s="28">
        <v>2</v>
      </c>
      <c r="M267" s="28">
        <v>1</v>
      </c>
    </row>
    <row r="268" spans="1:13" x14ac:dyDescent="0.25">
      <c r="A268" s="28">
        <v>63</v>
      </c>
      <c r="B268" s="19" t="str">
        <f t="shared" si="4"/>
        <v>60-69</v>
      </c>
      <c r="C268" s="28">
        <v>0</v>
      </c>
      <c r="D268" s="28">
        <v>1</v>
      </c>
      <c r="E268" s="28">
        <v>140</v>
      </c>
      <c r="F268" s="28">
        <v>195</v>
      </c>
      <c r="G268" s="28">
        <v>0</v>
      </c>
      <c r="H268" s="28">
        <v>1</v>
      </c>
      <c r="I268" s="28">
        <v>179</v>
      </c>
      <c r="J268" s="28">
        <v>0</v>
      </c>
      <c r="K268" s="28">
        <v>2</v>
      </c>
      <c r="L268" s="28">
        <v>2</v>
      </c>
      <c r="M268" s="28">
        <v>1</v>
      </c>
    </row>
    <row r="269" spans="1:13" x14ac:dyDescent="0.25">
      <c r="A269" s="28">
        <v>56</v>
      </c>
      <c r="B269" s="19" t="str">
        <f t="shared" si="4"/>
        <v>50-59</v>
      </c>
      <c r="C269" s="28">
        <v>1</v>
      </c>
      <c r="D269" s="28">
        <v>3</v>
      </c>
      <c r="E269" s="28">
        <v>120</v>
      </c>
      <c r="F269" s="28">
        <v>193</v>
      </c>
      <c r="G269" s="28">
        <v>0</v>
      </c>
      <c r="H269" s="28">
        <v>0</v>
      </c>
      <c r="I269" s="28">
        <v>162</v>
      </c>
      <c r="J269" s="28">
        <v>0</v>
      </c>
      <c r="K269" s="28">
        <v>1</v>
      </c>
      <c r="L269" s="28">
        <v>3</v>
      </c>
      <c r="M269" s="28">
        <v>1</v>
      </c>
    </row>
    <row r="270" spans="1:13" x14ac:dyDescent="0.25">
      <c r="A270" s="28">
        <v>68</v>
      </c>
      <c r="B270" s="19" t="str">
        <f t="shared" si="4"/>
        <v>60-69</v>
      </c>
      <c r="C270" s="28">
        <v>1</v>
      </c>
      <c r="D270" s="28">
        <v>0</v>
      </c>
      <c r="E270" s="28">
        <v>144</v>
      </c>
      <c r="F270" s="28">
        <v>193</v>
      </c>
      <c r="G270" s="28">
        <v>1</v>
      </c>
      <c r="H270" s="28">
        <v>1</v>
      </c>
      <c r="I270" s="28">
        <v>141</v>
      </c>
      <c r="J270" s="28">
        <v>0</v>
      </c>
      <c r="K270" s="28">
        <v>1</v>
      </c>
      <c r="L270" s="28">
        <v>3</v>
      </c>
      <c r="M270" s="28">
        <v>0</v>
      </c>
    </row>
    <row r="271" spans="1:13" x14ac:dyDescent="0.25">
      <c r="A271" s="28">
        <v>57</v>
      </c>
      <c r="B271" s="19" t="str">
        <f t="shared" si="4"/>
        <v>50-59</v>
      </c>
      <c r="C271" s="28">
        <v>1</v>
      </c>
      <c r="D271" s="28">
        <v>0</v>
      </c>
      <c r="E271" s="28">
        <v>140</v>
      </c>
      <c r="F271" s="28">
        <v>192</v>
      </c>
      <c r="G271" s="28">
        <v>0</v>
      </c>
      <c r="H271" s="28">
        <v>1</v>
      </c>
      <c r="I271" s="28">
        <v>148</v>
      </c>
      <c r="J271" s="28">
        <v>0</v>
      </c>
      <c r="K271" s="28">
        <v>1</v>
      </c>
      <c r="L271" s="28">
        <v>1</v>
      </c>
      <c r="M271" s="28">
        <v>1</v>
      </c>
    </row>
    <row r="272" spans="1:13" x14ac:dyDescent="0.25">
      <c r="A272" s="28">
        <v>35</v>
      </c>
      <c r="B272" s="19" t="str">
        <f t="shared" si="4"/>
        <v>30-39</v>
      </c>
      <c r="C272" s="28">
        <v>1</v>
      </c>
      <c r="D272" s="28">
        <v>1</v>
      </c>
      <c r="E272" s="28">
        <v>122</v>
      </c>
      <c r="F272" s="28">
        <v>192</v>
      </c>
      <c r="G272" s="28">
        <v>0</v>
      </c>
      <c r="H272" s="28">
        <v>1</v>
      </c>
      <c r="I272" s="28">
        <v>174</v>
      </c>
      <c r="J272" s="28">
        <v>0</v>
      </c>
      <c r="K272" s="28">
        <v>2</v>
      </c>
      <c r="L272" s="28">
        <v>2</v>
      </c>
      <c r="M272" s="28">
        <v>1</v>
      </c>
    </row>
    <row r="273" spans="1:13" x14ac:dyDescent="0.25">
      <c r="A273" s="28">
        <v>49</v>
      </c>
      <c r="B273" s="19" t="str">
        <f t="shared" si="4"/>
        <v>40-49</v>
      </c>
      <c r="C273" s="28">
        <v>1</v>
      </c>
      <c r="D273" s="28">
        <v>2</v>
      </c>
      <c r="E273" s="28">
        <v>120</v>
      </c>
      <c r="F273" s="28">
        <v>188</v>
      </c>
      <c r="G273" s="28">
        <v>0</v>
      </c>
      <c r="H273" s="28">
        <v>1</v>
      </c>
      <c r="I273" s="28">
        <v>139</v>
      </c>
      <c r="J273" s="28">
        <v>0</v>
      </c>
      <c r="K273" s="28">
        <v>1</v>
      </c>
      <c r="L273" s="28">
        <v>3</v>
      </c>
      <c r="M273" s="28">
        <v>0</v>
      </c>
    </row>
    <row r="274" spans="1:13" x14ac:dyDescent="0.25">
      <c r="A274" s="28">
        <v>54</v>
      </c>
      <c r="B274" s="19" t="str">
        <f t="shared" si="4"/>
        <v>50-59</v>
      </c>
      <c r="C274" s="28">
        <v>1</v>
      </c>
      <c r="D274" s="28">
        <v>0</v>
      </c>
      <c r="E274" s="28">
        <v>120</v>
      </c>
      <c r="F274" s="28">
        <v>188</v>
      </c>
      <c r="G274" s="28">
        <v>0</v>
      </c>
      <c r="H274" s="28">
        <v>1</v>
      </c>
      <c r="I274" s="28">
        <v>113</v>
      </c>
      <c r="J274" s="28">
        <v>0</v>
      </c>
      <c r="K274" s="28">
        <v>1</v>
      </c>
      <c r="L274" s="28">
        <v>3</v>
      </c>
      <c r="M274" s="28">
        <v>0</v>
      </c>
    </row>
    <row r="275" spans="1:13" x14ac:dyDescent="0.25">
      <c r="A275" s="28">
        <v>63</v>
      </c>
      <c r="B275" s="19" t="str">
        <f t="shared" si="4"/>
        <v>60-69</v>
      </c>
      <c r="C275" s="28">
        <v>1</v>
      </c>
      <c r="D275" s="28">
        <v>0</v>
      </c>
      <c r="E275" s="28">
        <v>140</v>
      </c>
      <c r="F275" s="28">
        <v>187</v>
      </c>
      <c r="G275" s="28">
        <v>0</v>
      </c>
      <c r="H275" s="28">
        <v>0</v>
      </c>
      <c r="I275" s="28">
        <v>144</v>
      </c>
      <c r="J275" s="28">
        <v>1</v>
      </c>
      <c r="K275" s="28">
        <v>2</v>
      </c>
      <c r="L275" s="28">
        <v>3</v>
      </c>
      <c r="M275" s="28">
        <v>0</v>
      </c>
    </row>
    <row r="276" spans="1:13" x14ac:dyDescent="0.25">
      <c r="A276" s="28">
        <v>52</v>
      </c>
      <c r="B276" s="19" t="str">
        <f t="shared" si="4"/>
        <v>50-59</v>
      </c>
      <c r="C276" s="28">
        <v>1</v>
      </c>
      <c r="D276" s="28">
        <v>3</v>
      </c>
      <c r="E276" s="28">
        <v>118</v>
      </c>
      <c r="F276" s="28">
        <v>186</v>
      </c>
      <c r="G276" s="28">
        <v>0</v>
      </c>
      <c r="H276" s="28">
        <v>0</v>
      </c>
      <c r="I276" s="28">
        <v>190</v>
      </c>
      <c r="J276" s="28">
        <v>0</v>
      </c>
      <c r="K276" s="28">
        <v>1</v>
      </c>
      <c r="L276" s="28">
        <v>1</v>
      </c>
      <c r="M276" s="28">
        <v>1</v>
      </c>
    </row>
    <row r="277" spans="1:13" x14ac:dyDescent="0.25">
      <c r="A277" s="28">
        <v>60</v>
      </c>
      <c r="B277" s="19" t="str">
        <f t="shared" si="4"/>
        <v>60-69</v>
      </c>
      <c r="C277" s="28">
        <v>1</v>
      </c>
      <c r="D277" s="28">
        <v>2</v>
      </c>
      <c r="E277" s="28">
        <v>140</v>
      </c>
      <c r="F277" s="28">
        <v>185</v>
      </c>
      <c r="G277" s="28">
        <v>0</v>
      </c>
      <c r="H277" s="28">
        <v>0</v>
      </c>
      <c r="I277" s="28">
        <v>155</v>
      </c>
      <c r="J277" s="28">
        <v>0</v>
      </c>
      <c r="K277" s="28">
        <v>1</v>
      </c>
      <c r="L277" s="28">
        <v>2</v>
      </c>
      <c r="M277" s="28">
        <v>0</v>
      </c>
    </row>
    <row r="278" spans="1:13" x14ac:dyDescent="0.25">
      <c r="A278" s="28">
        <v>56</v>
      </c>
      <c r="B278" s="19" t="str">
        <f t="shared" si="4"/>
        <v>50-59</v>
      </c>
      <c r="C278" s="28">
        <v>1</v>
      </c>
      <c r="D278" s="28">
        <v>0</v>
      </c>
      <c r="E278" s="28">
        <v>132</v>
      </c>
      <c r="F278" s="28">
        <v>184</v>
      </c>
      <c r="G278" s="28">
        <v>0</v>
      </c>
      <c r="H278" s="28">
        <v>0</v>
      </c>
      <c r="I278" s="28">
        <v>105</v>
      </c>
      <c r="J278" s="28">
        <v>1</v>
      </c>
      <c r="K278" s="28">
        <v>1</v>
      </c>
      <c r="L278" s="28">
        <v>1</v>
      </c>
      <c r="M278" s="28">
        <v>0</v>
      </c>
    </row>
    <row r="279" spans="1:13" x14ac:dyDescent="0.25">
      <c r="A279" s="28">
        <v>35</v>
      </c>
      <c r="B279" s="19" t="str">
        <f t="shared" si="4"/>
        <v>30-39</v>
      </c>
      <c r="C279" s="28">
        <v>0</v>
      </c>
      <c r="D279" s="28">
        <v>0</v>
      </c>
      <c r="E279" s="28">
        <v>138</v>
      </c>
      <c r="F279" s="28">
        <v>183</v>
      </c>
      <c r="G279" s="28">
        <v>0</v>
      </c>
      <c r="H279" s="28">
        <v>1</v>
      </c>
      <c r="I279" s="28">
        <v>182</v>
      </c>
      <c r="J279" s="28">
        <v>0</v>
      </c>
      <c r="K279" s="28">
        <v>2</v>
      </c>
      <c r="L279" s="28">
        <v>2</v>
      </c>
      <c r="M279" s="28">
        <v>1</v>
      </c>
    </row>
    <row r="280" spans="1:13" x14ac:dyDescent="0.25">
      <c r="A280" s="28">
        <v>34</v>
      </c>
      <c r="B280" s="19" t="str">
        <f t="shared" si="4"/>
        <v>30-39</v>
      </c>
      <c r="C280" s="28">
        <v>1</v>
      </c>
      <c r="D280" s="28">
        <v>3</v>
      </c>
      <c r="E280" s="28">
        <v>118</v>
      </c>
      <c r="F280" s="28">
        <v>182</v>
      </c>
      <c r="G280" s="28">
        <v>0</v>
      </c>
      <c r="H280" s="28">
        <v>0</v>
      </c>
      <c r="I280" s="28">
        <v>174</v>
      </c>
      <c r="J280" s="28">
        <v>0</v>
      </c>
      <c r="K280" s="28">
        <v>2</v>
      </c>
      <c r="L280" s="28">
        <v>2</v>
      </c>
      <c r="M280" s="28">
        <v>1</v>
      </c>
    </row>
    <row r="281" spans="1:13" x14ac:dyDescent="0.25">
      <c r="A281" s="28">
        <v>42</v>
      </c>
      <c r="B281" s="19" t="str">
        <f t="shared" si="4"/>
        <v>40-49</v>
      </c>
      <c r="C281" s="28">
        <v>1</v>
      </c>
      <c r="D281" s="28">
        <v>2</v>
      </c>
      <c r="E281" s="28">
        <v>130</v>
      </c>
      <c r="F281" s="28">
        <v>180</v>
      </c>
      <c r="G281" s="28">
        <v>0</v>
      </c>
      <c r="H281" s="28">
        <v>1</v>
      </c>
      <c r="I281" s="28">
        <v>150</v>
      </c>
      <c r="J281" s="28">
        <v>0</v>
      </c>
      <c r="K281" s="28">
        <v>2</v>
      </c>
      <c r="L281" s="28">
        <v>2</v>
      </c>
      <c r="M281" s="28">
        <v>1</v>
      </c>
    </row>
    <row r="282" spans="1:13" x14ac:dyDescent="0.25">
      <c r="A282" s="28">
        <v>60</v>
      </c>
      <c r="B282" s="19" t="str">
        <f t="shared" si="4"/>
        <v>60-69</v>
      </c>
      <c r="C282" s="28">
        <v>0</v>
      </c>
      <c r="D282" s="28">
        <v>2</v>
      </c>
      <c r="E282" s="28">
        <v>120</v>
      </c>
      <c r="F282" s="28">
        <v>178</v>
      </c>
      <c r="G282" s="28">
        <v>1</v>
      </c>
      <c r="H282" s="28">
        <v>1</v>
      </c>
      <c r="I282" s="28">
        <v>96</v>
      </c>
      <c r="J282" s="28">
        <v>0</v>
      </c>
      <c r="K282" s="28">
        <v>2</v>
      </c>
      <c r="L282" s="28">
        <v>2</v>
      </c>
      <c r="M282" s="28">
        <v>1</v>
      </c>
    </row>
    <row r="283" spans="1:13" x14ac:dyDescent="0.25">
      <c r="A283" s="28">
        <v>59</v>
      </c>
      <c r="B283" s="19" t="str">
        <f t="shared" si="4"/>
        <v>50-59</v>
      </c>
      <c r="C283" s="28">
        <v>1</v>
      </c>
      <c r="D283" s="28">
        <v>0</v>
      </c>
      <c r="E283" s="28">
        <v>140</v>
      </c>
      <c r="F283" s="28">
        <v>177</v>
      </c>
      <c r="G283" s="28">
        <v>0</v>
      </c>
      <c r="H283" s="28">
        <v>1</v>
      </c>
      <c r="I283" s="28">
        <v>162</v>
      </c>
      <c r="J283" s="28">
        <v>1</v>
      </c>
      <c r="K283" s="28">
        <v>2</v>
      </c>
      <c r="L283" s="28">
        <v>3</v>
      </c>
      <c r="M283" s="28">
        <v>0</v>
      </c>
    </row>
    <row r="284" spans="1:13" x14ac:dyDescent="0.25">
      <c r="A284" s="28">
        <v>43</v>
      </c>
      <c r="B284" s="19" t="str">
        <f t="shared" si="4"/>
        <v>40-49</v>
      </c>
      <c r="C284" s="28">
        <v>1</v>
      </c>
      <c r="D284" s="28">
        <v>0</v>
      </c>
      <c r="E284" s="28">
        <v>120</v>
      </c>
      <c r="F284" s="28">
        <v>177</v>
      </c>
      <c r="G284" s="28">
        <v>0</v>
      </c>
      <c r="H284" s="28">
        <v>0</v>
      </c>
      <c r="I284" s="28">
        <v>120</v>
      </c>
      <c r="J284" s="28">
        <v>1</v>
      </c>
      <c r="K284" s="28">
        <v>1</v>
      </c>
      <c r="L284" s="28">
        <v>3</v>
      </c>
      <c r="M284" s="28">
        <v>0</v>
      </c>
    </row>
    <row r="285" spans="1:13" x14ac:dyDescent="0.25">
      <c r="A285" s="28">
        <v>46</v>
      </c>
      <c r="B285" s="19" t="str">
        <f t="shared" si="4"/>
        <v>40-49</v>
      </c>
      <c r="C285" s="28">
        <v>0</v>
      </c>
      <c r="D285" s="28">
        <v>2</v>
      </c>
      <c r="E285" s="28">
        <v>142</v>
      </c>
      <c r="F285" s="28">
        <v>177</v>
      </c>
      <c r="G285" s="28">
        <v>0</v>
      </c>
      <c r="H285" s="28">
        <v>0</v>
      </c>
      <c r="I285" s="28">
        <v>160</v>
      </c>
      <c r="J285" s="28">
        <v>1</v>
      </c>
      <c r="K285" s="28">
        <v>0</v>
      </c>
      <c r="L285" s="28">
        <v>2</v>
      </c>
      <c r="M285" s="28">
        <v>1</v>
      </c>
    </row>
    <row r="286" spans="1:13" x14ac:dyDescent="0.25">
      <c r="A286" s="28">
        <v>65</v>
      </c>
      <c r="B286" s="19" t="str">
        <f t="shared" si="4"/>
        <v>60-69</v>
      </c>
      <c r="C286" s="28">
        <v>1</v>
      </c>
      <c r="D286" s="28">
        <v>0</v>
      </c>
      <c r="E286" s="28">
        <v>120</v>
      </c>
      <c r="F286" s="28">
        <v>177</v>
      </c>
      <c r="G286" s="28">
        <v>0</v>
      </c>
      <c r="H286" s="28">
        <v>1</v>
      </c>
      <c r="I286" s="28">
        <v>140</v>
      </c>
      <c r="J286" s="28">
        <v>0</v>
      </c>
      <c r="K286" s="28">
        <v>2</v>
      </c>
      <c r="L286" s="28">
        <v>3</v>
      </c>
      <c r="M286" s="28">
        <v>1</v>
      </c>
    </row>
    <row r="287" spans="1:13" x14ac:dyDescent="0.25">
      <c r="A287" s="28">
        <v>59</v>
      </c>
      <c r="B287" s="19" t="str">
        <f t="shared" si="4"/>
        <v>50-59</v>
      </c>
      <c r="C287" s="28">
        <v>1</v>
      </c>
      <c r="D287" s="28">
        <v>0</v>
      </c>
      <c r="E287" s="28">
        <v>164</v>
      </c>
      <c r="F287" s="28">
        <v>176</v>
      </c>
      <c r="G287" s="28">
        <v>1</v>
      </c>
      <c r="H287" s="28">
        <v>0</v>
      </c>
      <c r="I287" s="28">
        <v>90</v>
      </c>
      <c r="J287" s="28">
        <v>0</v>
      </c>
      <c r="K287" s="28">
        <v>1</v>
      </c>
      <c r="L287" s="28">
        <v>1</v>
      </c>
      <c r="M287" s="28">
        <v>0</v>
      </c>
    </row>
    <row r="288" spans="1:13" x14ac:dyDescent="0.25">
      <c r="A288" s="28">
        <v>38</v>
      </c>
      <c r="B288" s="19" t="str">
        <f t="shared" si="4"/>
        <v>30-39</v>
      </c>
      <c r="C288" s="28">
        <v>1</v>
      </c>
      <c r="D288" s="28">
        <v>2</v>
      </c>
      <c r="E288" s="28">
        <v>138</v>
      </c>
      <c r="F288" s="28">
        <v>175</v>
      </c>
      <c r="G288" s="28">
        <v>0</v>
      </c>
      <c r="H288" s="28">
        <v>1</v>
      </c>
      <c r="I288" s="28">
        <v>173</v>
      </c>
      <c r="J288" s="28">
        <v>0</v>
      </c>
      <c r="K288" s="28">
        <v>2</v>
      </c>
      <c r="L288" s="28">
        <v>2</v>
      </c>
      <c r="M288" s="28">
        <v>1</v>
      </c>
    </row>
    <row r="289" spans="1:13" x14ac:dyDescent="0.25">
      <c r="A289" s="28">
        <v>51</v>
      </c>
      <c r="B289" s="19" t="str">
        <f t="shared" si="4"/>
        <v>50-59</v>
      </c>
      <c r="C289" s="28">
        <v>1</v>
      </c>
      <c r="D289" s="28">
        <v>2</v>
      </c>
      <c r="E289" s="28">
        <v>110</v>
      </c>
      <c r="F289" s="28">
        <v>175</v>
      </c>
      <c r="G289" s="28">
        <v>0</v>
      </c>
      <c r="H289" s="28">
        <v>1</v>
      </c>
      <c r="I289" s="28">
        <v>123</v>
      </c>
      <c r="J289" s="28">
        <v>0</v>
      </c>
      <c r="K289" s="28">
        <v>2</v>
      </c>
      <c r="L289" s="28">
        <v>2</v>
      </c>
      <c r="M289" s="28">
        <v>1</v>
      </c>
    </row>
    <row r="290" spans="1:13" x14ac:dyDescent="0.25">
      <c r="A290" s="28">
        <v>70</v>
      </c>
      <c r="B290" s="19" t="str">
        <f t="shared" si="4"/>
        <v>70+</v>
      </c>
      <c r="C290" s="28">
        <v>1</v>
      </c>
      <c r="D290" s="28">
        <v>0</v>
      </c>
      <c r="E290" s="28">
        <v>145</v>
      </c>
      <c r="F290" s="28">
        <v>174</v>
      </c>
      <c r="G290" s="28">
        <v>0</v>
      </c>
      <c r="H290" s="28">
        <v>1</v>
      </c>
      <c r="I290" s="28">
        <v>125</v>
      </c>
      <c r="J290" s="28">
        <v>1</v>
      </c>
      <c r="K290" s="28">
        <v>0</v>
      </c>
      <c r="L290" s="28">
        <v>3</v>
      </c>
      <c r="M290" s="28">
        <v>0</v>
      </c>
    </row>
    <row r="291" spans="1:13" x14ac:dyDescent="0.25">
      <c r="A291" s="28">
        <v>41</v>
      </c>
      <c r="B291" s="19" t="str">
        <f t="shared" si="4"/>
        <v>40-49</v>
      </c>
      <c r="C291" s="28">
        <v>1</v>
      </c>
      <c r="D291" s="28">
        <v>0</v>
      </c>
      <c r="E291" s="28">
        <v>110</v>
      </c>
      <c r="F291" s="28">
        <v>172</v>
      </c>
      <c r="G291" s="28">
        <v>0</v>
      </c>
      <c r="H291" s="28">
        <v>0</v>
      </c>
      <c r="I291" s="28">
        <v>158</v>
      </c>
      <c r="J291" s="28">
        <v>0</v>
      </c>
      <c r="K291" s="28">
        <v>2</v>
      </c>
      <c r="L291" s="28">
        <v>3</v>
      </c>
      <c r="M291" s="28">
        <v>0</v>
      </c>
    </row>
    <row r="292" spans="1:13" x14ac:dyDescent="0.25">
      <c r="A292" s="28">
        <v>44</v>
      </c>
      <c r="B292" s="19" t="str">
        <f t="shared" si="4"/>
        <v>40-49</v>
      </c>
      <c r="C292" s="28">
        <v>1</v>
      </c>
      <c r="D292" s="28">
        <v>0</v>
      </c>
      <c r="E292" s="28">
        <v>120</v>
      </c>
      <c r="F292" s="28">
        <v>169</v>
      </c>
      <c r="G292" s="28">
        <v>0</v>
      </c>
      <c r="H292" s="28">
        <v>1</v>
      </c>
      <c r="I292" s="28">
        <v>144</v>
      </c>
      <c r="J292" s="28">
        <v>1</v>
      </c>
      <c r="K292" s="28">
        <v>0</v>
      </c>
      <c r="L292" s="28">
        <v>1</v>
      </c>
      <c r="M292" s="28">
        <v>0</v>
      </c>
    </row>
    <row r="293" spans="1:13" x14ac:dyDescent="0.25">
      <c r="A293" s="28">
        <v>57</v>
      </c>
      <c r="B293" s="19" t="str">
        <f t="shared" si="4"/>
        <v>50-59</v>
      </c>
      <c r="C293" s="28">
        <v>1</v>
      </c>
      <c r="D293" s="28">
        <v>2</v>
      </c>
      <c r="E293" s="28">
        <v>150</v>
      </c>
      <c r="F293" s="28">
        <v>168</v>
      </c>
      <c r="G293" s="28">
        <v>0</v>
      </c>
      <c r="H293" s="28">
        <v>1</v>
      </c>
      <c r="I293" s="28">
        <v>174</v>
      </c>
      <c r="J293" s="28">
        <v>0</v>
      </c>
      <c r="K293" s="28">
        <v>2</v>
      </c>
      <c r="L293" s="28">
        <v>2</v>
      </c>
      <c r="M293" s="28">
        <v>1</v>
      </c>
    </row>
    <row r="294" spans="1:13" x14ac:dyDescent="0.25">
      <c r="A294" s="28">
        <v>40</v>
      </c>
      <c r="B294" s="19" t="str">
        <f t="shared" si="4"/>
        <v>40-49</v>
      </c>
      <c r="C294" s="28">
        <v>1</v>
      </c>
      <c r="D294" s="28">
        <v>0</v>
      </c>
      <c r="E294" s="28">
        <v>110</v>
      </c>
      <c r="F294" s="28">
        <v>167</v>
      </c>
      <c r="G294" s="28">
        <v>0</v>
      </c>
      <c r="H294" s="28">
        <v>0</v>
      </c>
      <c r="I294" s="28">
        <v>114</v>
      </c>
      <c r="J294" s="28">
        <v>1</v>
      </c>
      <c r="K294" s="28">
        <v>1</v>
      </c>
      <c r="L294" s="28">
        <v>3</v>
      </c>
      <c r="M294" s="28">
        <v>0</v>
      </c>
    </row>
    <row r="295" spans="1:13" x14ac:dyDescent="0.25">
      <c r="A295" s="28">
        <v>61</v>
      </c>
      <c r="B295" s="19" t="str">
        <f t="shared" si="4"/>
        <v>60-69</v>
      </c>
      <c r="C295" s="28">
        <v>1</v>
      </c>
      <c r="D295" s="28">
        <v>0</v>
      </c>
      <c r="E295" s="28">
        <v>138</v>
      </c>
      <c r="F295" s="28">
        <v>166</v>
      </c>
      <c r="G295" s="28">
        <v>0</v>
      </c>
      <c r="H295" s="28">
        <v>0</v>
      </c>
      <c r="I295" s="28">
        <v>125</v>
      </c>
      <c r="J295" s="28">
        <v>1</v>
      </c>
      <c r="K295" s="28">
        <v>1</v>
      </c>
      <c r="L295" s="28">
        <v>2</v>
      </c>
      <c r="M295" s="28">
        <v>0</v>
      </c>
    </row>
    <row r="296" spans="1:13" x14ac:dyDescent="0.25">
      <c r="A296" s="28">
        <v>62</v>
      </c>
      <c r="B296" s="19" t="str">
        <f t="shared" si="4"/>
        <v>60-69</v>
      </c>
      <c r="C296" s="28">
        <v>0</v>
      </c>
      <c r="D296" s="28">
        <v>0</v>
      </c>
      <c r="E296" s="28">
        <v>160</v>
      </c>
      <c r="F296" s="28">
        <v>164</v>
      </c>
      <c r="G296" s="28">
        <v>0</v>
      </c>
      <c r="H296" s="28">
        <v>0</v>
      </c>
      <c r="I296" s="28">
        <v>145</v>
      </c>
      <c r="J296" s="28">
        <v>0</v>
      </c>
      <c r="K296" s="28">
        <v>0</v>
      </c>
      <c r="L296" s="28">
        <v>3</v>
      </c>
      <c r="M296" s="28">
        <v>0</v>
      </c>
    </row>
    <row r="297" spans="1:13" x14ac:dyDescent="0.25">
      <c r="A297" s="28">
        <v>45</v>
      </c>
      <c r="B297" s="19" t="str">
        <f t="shared" si="4"/>
        <v>40-49</v>
      </c>
      <c r="C297" s="28">
        <v>0</v>
      </c>
      <c r="D297" s="28">
        <v>1</v>
      </c>
      <c r="E297" s="28">
        <v>112</v>
      </c>
      <c r="F297" s="28">
        <v>160</v>
      </c>
      <c r="G297" s="28">
        <v>0</v>
      </c>
      <c r="H297" s="28">
        <v>1</v>
      </c>
      <c r="I297" s="28">
        <v>138</v>
      </c>
      <c r="J297" s="28">
        <v>0</v>
      </c>
      <c r="K297" s="28">
        <v>1</v>
      </c>
      <c r="L297" s="28">
        <v>2</v>
      </c>
      <c r="M297" s="28">
        <v>1</v>
      </c>
    </row>
    <row r="298" spans="1:13" x14ac:dyDescent="0.25">
      <c r="A298" s="28">
        <v>41</v>
      </c>
      <c r="B298" s="19" t="str">
        <f t="shared" si="4"/>
        <v>40-49</v>
      </c>
      <c r="C298" s="28">
        <v>1</v>
      </c>
      <c r="D298" s="28">
        <v>1</v>
      </c>
      <c r="E298" s="28">
        <v>120</v>
      </c>
      <c r="F298" s="28">
        <v>157</v>
      </c>
      <c r="G298" s="28">
        <v>0</v>
      </c>
      <c r="H298" s="28">
        <v>1</v>
      </c>
      <c r="I298" s="28">
        <v>182</v>
      </c>
      <c r="J298" s="28">
        <v>0</v>
      </c>
      <c r="K298" s="28">
        <v>2</v>
      </c>
      <c r="L298" s="28">
        <v>2</v>
      </c>
      <c r="M298" s="28">
        <v>1</v>
      </c>
    </row>
    <row r="299" spans="1:13" x14ac:dyDescent="0.25">
      <c r="A299" s="28">
        <v>71</v>
      </c>
      <c r="B299" s="19" t="str">
        <f t="shared" si="4"/>
        <v>70+</v>
      </c>
      <c r="C299" s="28">
        <v>0</v>
      </c>
      <c r="D299" s="28">
        <v>0</v>
      </c>
      <c r="E299" s="28">
        <v>112</v>
      </c>
      <c r="F299" s="28">
        <v>149</v>
      </c>
      <c r="G299" s="28">
        <v>0</v>
      </c>
      <c r="H299" s="28">
        <v>1</v>
      </c>
      <c r="I299" s="28">
        <v>125</v>
      </c>
      <c r="J299" s="28">
        <v>0</v>
      </c>
      <c r="K299" s="28">
        <v>1</v>
      </c>
      <c r="L299" s="28">
        <v>2</v>
      </c>
      <c r="M299" s="28">
        <v>1</v>
      </c>
    </row>
    <row r="300" spans="1:13" x14ac:dyDescent="0.25">
      <c r="A300" s="28">
        <v>49</v>
      </c>
      <c r="B300" s="19" t="str">
        <f t="shared" si="4"/>
        <v>40-49</v>
      </c>
      <c r="C300" s="28">
        <v>1</v>
      </c>
      <c r="D300" s="28">
        <v>2</v>
      </c>
      <c r="E300" s="28">
        <v>118</v>
      </c>
      <c r="F300" s="28">
        <v>149</v>
      </c>
      <c r="G300" s="28">
        <v>0</v>
      </c>
      <c r="H300" s="28">
        <v>0</v>
      </c>
      <c r="I300" s="28">
        <v>126</v>
      </c>
      <c r="J300" s="28">
        <v>0</v>
      </c>
      <c r="K300" s="28">
        <v>2</v>
      </c>
      <c r="L300" s="28">
        <v>2</v>
      </c>
      <c r="M300" s="28">
        <v>0</v>
      </c>
    </row>
    <row r="301" spans="1:13" x14ac:dyDescent="0.25">
      <c r="A301" s="28">
        <v>44</v>
      </c>
      <c r="B301" s="19" t="str">
        <f t="shared" si="4"/>
        <v>40-49</v>
      </c>
      <c r="C301" s="28">
        <v>0</v>
      </c>
      <c r="D301" s="28">
        <v>2</v>
      </c>
      <c r="E301" s="28">
        <v>108</v>
      </c>
      <c r="F301" s="28">
        <v>141</v>
      </c>
      <c r="G301" s="28">
        <v>0</v>
      </c>
      <c r="H301" s="28">
        <v>1</v>
      </c>
      <c r="I301" s="28">
        <v>175</v>
      </c>
      <c r="J301" s="28">
        <v>0</v>
      </c>
      <c r="K301" s="28">
        <v>1</v>
      </c>
      <c r="L301" s="28">
        <v>2</v>
      </c>
      <c r="M301" s="28">
        <v>1</v>
      </c>
    </row>
    <row r="302" spans="1:13" x14ac:dyDescent="0.25">
      <c r="A302" s="28">
        <v>57</v>
      </c>
      <c r="B302" s="19" t="str">
        <f t="shared" si="4"/>
        <v>50-59</v>
      </c>
      <c r="C302" s="28">
        <v>1</v>
      </c>
      <c r="D302" s="28">
        <v>0</v>
      </c>
      <c r="E302" s="28">
        <v>130</v>
      </c>
      <c r="F302" s="28">
        <v>131</v>
      </c>
      <c r="G302" s="28">
        <v>0</v>
      </c>
      <c r="H302" s="28">
        <v>1</v>
      </c>
      <c r="I302" s="28">
        <v>115</v>
      </c>
      <c r="J302" s="28">
        <v>1</v>
      </c>
      <c r="K302" s="28">
        <v>1</v>
      </c>
      <c r="L302" s="28">
        <v>3</v>
      </c>
      <c r="M302" s="28">
        <v>0</v>
      </c>
    </row>
    <row r="303" spans="1:13" x14ac:dyDescent="0.25">
      <c r="A303" s="28">
        <v>57</v>
      </c>
      <c r="B303" s="19" t="str">
        <f t="shared" si="4"/>
        <v>50-59</v>
      </c>
      <c r="C303" s="28">
        <v>1</v>
      </c>
      <c r="D303" s="28">
        <v>2</v>
      </c>
      <c r="E303" s="28">
        <v>150</v>
      </c>
      <c r="F303" s="28">
        <v>126</v>
      </c>
      <c r="G303" s="28">
        <v>1</v>
      </c>
      <c r="H303" s="28">
        <v>1</v>
      </c>
      <c r="I303" s="28">
        <v>173</v>
      </c>
      <c r="J303" s="28">
        <v>0</v>
      </c>
      <c r="K303" s="28">
        <v>2</v>
      </c>
      <c r="L303" s="28">
        <v>3</v>
      </c>
      <c r="M303" s="28">
        <v>1</v>
      </c>
    </row>
    <row r="304" spans="1:13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  <row r="736" spans="2:2" x14ac:dyDescent="0.25">
      <c r="B736"/>
    </row>
    <row r="737" spans="2:2" x14ac:dyDescent="0.25">
      <c r="B737"/>
    </row>
    <row r="738" spans="2:2" x14ac:dyDescent="0.25">
      <c r="B738"/>
    </row>
    <row r="739" spans="2:2" x14ac:dyDescent="0.25">
      <c r="B739"/>
    </row>
    <row r="740" spans="2:2" x14ac:dyDescent="0.25">
      <c r="B740"/>
    </row>
    <row r="741" spans="2:2" x14ac:dyDescent="0.25">
      <c r="B741"/>
    </row>
    <row r="742" spans="2:2" x14ac:dyDescent="0.25">
      <c r="B742"/>
    </row>
    <row r="743" spans="2:2" x14ac:dyDescent="0.25">
      <c r="B743"/>
    </row>
    <row r="744" spans="2:2" x14ac:dyDescent="0.25">
      <c r="B744"/>
    </row>
    <row r="745" spans="2:2" x14ac:dyDescent="0.25">
      <c r="B745"/>
    </row>
    <row r="746" spans="2:2" x14ac:dyDescent="0.25">
      <c r="B746"/>
    </row>
    <row r="747" spans="2:2" x14ac:dyDescent="0.25">
      <c r="B747"/>
    </row>
    <row r="748" spans="2:2" x14ac:dyDescent="0.25">
      <c r="B748"/>
    </row>
    <row r="749" spans="2:2" x14ac:dyDescent="0.25">
      <c r="B749"/>
    </row>
    <row r="750" spans="2:2" x14ac:dyDescent="0.25">
      <c r="B750"/>
    </row>
    <row r="751" spans="2:2" x14ac:dyDescent="0.25">
      <c r="B751"/>
    </row>
    <row r="752" spans="2:2" x14ac:dyDescent="0.25">
      <c r="B752"/>
    </row>
    <row r="753" spans="2:2" x14ac:dyDescent="0.25">
      <c r="B753"/>
    </row>
    <row r="754" spans="2:2" x14ac:dyDescent="0.25">
      <c r="B754"/>
    </row>
    <row r="755" spans="2:2" x14ac:dyDescent="0.25">
      <c r="B755"/>
    </row>
    <row r="756" spans="2:2" x14ac:dyDescent="0.25">
      <c r="B756"/>
    </row>
    <row r="757" spans="2:2" x14ac:dyDescent="0.25">
      <c r="B757"/>
    </row>
    <row r="758" spans="2:2" x14ac:dyDescent="0.25">
      <c r="B758"/>
    </row>
    <row r="759" spans="2:2" x14ac:dyDescent="0.25">
      <c r="B759"/>
    </row>
    <row r="760" spans="2:2" x14ac:dyDescent="0.25">
      <c r="B760"/>
    </row>
    <row r="761" spans="2:2" x14ac:dyDescent="0.25">
      <c r="B761"/>
    </row>
    <row r="762" spans="2:2" x14ac:dyDescent="0.25">
      <c r="B762"/>
    </row>
    <row r="763" spans="2:2" x14ac:dyDescent="0.25">
      <c r="B763"/>
    </row>
    <row r="764" spans="2:2" x14ac:dyDescent="0.25">
      <c r="B764"/>
    </row>
    <row r="765" spans="2:2" x14ac:dyDescent="0.25">
      <c r="B765"/>
    </row>
    <row r="766" spans="2:2" x14ac:dyDescent="0.25">
      <c r="B766"/>
    </row>
    <row r="767" spans="2:2" x14ac:dyDescent="0.25">
      <c r="B767"/>
    </row>
    <row r="768" spans="2:2" x14ac:dyDescent="0.25">
      <c r="B768"/>
    </row>
    <row r="769" spans="2:2" x14ac:dyDescent="0.25">
      <c r="B769"/>
    </row>
    <row r="770" spans="2:2" x14ac:dyDescent="0.25">
      <c r="B770"/>
    </row>
    <row r="771" spans="2:2" x14ac:dyDescent="0.25">
      <c r="B771"/>
    </row>
    <row r="772" spans="2:2" x14ac:dyDescent="0.25">
      <c r="B772"/>
    </row>
    <row r="773" spans="2:2" x14ac:dyDescent="0.25">
      <c r="B773"/>
    </row>
    <row r="774" spans="2:2" x14ac:dyDescent="0.25">
      <c r="B774"/>
    </row>
    <row r="775" spans="2:2" x14ac:dyDescent="0.25">
      <c r="B775"/>
    </row>
    <row r="776" spans="2:2" x14ac:dyDescent="0.25">
      <c r="B776"/>
    </row>
    <row r="777" spans="2:2" x14ac:dyDescent="0.25">
      <c r="B777"/>
    </row>
    <row r="778" spans="2:2" x14ac:dyDescent="0.25">
      <c r="B778"/>
    </row>
    <row r="779" spans="2:2" x14ac:dyDescent="0.25">
      <c r="B779"/>
    </row>
    <row r="780" spans="2:2" x14ac:dyDescent="0.25">
      <c r="B780"/>
    </row>
    <row r="781" spans="2:2" x14ac:dyDescent="0.25">
      <c r="B781"/>
    </row>
    <row r="782" spans="2:2" x14ac:dyDescent="0.25">
      <c r="B782"/>
    </row>
    <row r="783" spans="2:2" x14ac:dyDescent="0.25">
      <c r="B783"/>
    </row>
    <row r="784" spans="2:2" x14ac:dyDescent="0.25">
      <c r="B784"/>
    </row>
    <row r="785" spans="2:2" x14ac:dyDescent="0.25">
      <c r="B785"/>
    </row>
    <row r="786" spans="2:2" x14ac:dyDescent="0.25">
      <c r="B786"/>
    </row>
    <row r="787" spans="2:2" x14ac:dyDescent="0.25">
      <c r="B787"/>
    </row>
    <row r="788" spans="2:2" x14ac:dyDescent="0.25">
      <c r="B788"/>
    </row>
    <row r="789" spans="2:2" x14ac:dyDescent="0.25">
      <c r="B789"/>
    </row>
    <row r="790" spans="2:2" x14ac:dyDescent="0.25">
      <c r="B790"/>
    </row>
    <row r="791" spans="2:2" x14ac:dyDescent="0.25">
      <c r="B791"/>
    </row>
    <row r="792" spans="2:2" x14ac:dyDescent="0.25">
      <c r="B792"/>
    </row>
    <row r="793" spans="2:2" x14ac:dyDescent="0.25">
      <c r="B793"/>
    </row>
    <row r="794" spans="2:2" x14ac:dyDescent="0.25">
      <c r="B794"/>
    </row>
    <row r="795" spans="2:2" x14ac:dyDescent="0.25">
      <c r="B795"/>
    </row>
    <row r="796" spans="2:2" x14ac:dyDescent="0.25">
      <c r="B796"/>
    </row>
    <row r="797" spans="2:2" x14ac:dyDescent="0.25">
      <c r="B797"/>
    </row>
    <row r="798" spans="2:2" x14ac:dyDescent="0.25">
      <c r="B798"/>
    </row>
    <row r="799" spans="2:2" x14ac:dyDescent="0.25">
      <c r="B799"/>
    </row>
    <row r="800" spans="2:2" x14ac:dyDescent="0.25">
      <c r="B800"/>
    </row>
    <row r="801" spans="2:2" x14ac:dyDescent="0.25">
      <c r="B801"/>
    </row>
    <row r="802" spans="2:2" x14ac:dyDescent="0.25">
      <c r="B802"/>
    </row>
    <row r="803" spans="2:2" x14ac:dyDescent="0.25">
      <c r="B803"/>
    </row>
    <row r="804" spans="2:2" x14ac:dyDescent="0.25">
      <c r="B804"/>
    </row>
    <row r="805" spans="2:2" x14ac:dyDescent="0.25">
      <c r="B805"/>
    </row>
    <row r="806" spans="2:2" x14ac:dyDescent="0.25">
      <c r="B806"/>
    </row>
    <row r="807" spans="2:2" x14ac:dyDescent="0.25">
      <c r="B807"/>
    </row>
    <row r="808" spans="2:2" x14ac:dyDescent="0.25">
      <c r="B808"/>
    </row>
    <row r="809" spans="2:2" x14ac:dyDescent="0.25">
      <c r="B809"/>
    </row>
    <row r="810" spans="2:2" x14ac:dyDescent="0.25">
      <c r="B810"/>
    </row>
    <row r="811" spans="2:2" x14ac:dyDescent="0.25">
      <c r="B811"/>
    </row>
    <row r="812" spans="2:2" x14ac:dyDescent="0.25">
      <c r="B812"/>
    </row>
    <row r="813" spans="2:2" x14ac:dyDescent="0.25">
      <c r="B813"/>
    </row>
    <row r="814" spans="2:2" x14ac:dyDescent="0.25">
      <c r="B814"/>
    </row>
    <row r="815" spans="2:2" x14ac:dyDescent="0.25">
      <c r="B815"/>
    </row>
    <row r="816" spans="2:2" x14ac:dyDescent="0.25">
      <c r="B816"/>
    </row>
    <row r="817" spans="2:2" x14ac:dyDescent="0.25">
      <c r="B817"/>
    </row>
    <row r="818" spans="2:2" x14ac:dyDescent="0.25">
      <c r="B818"/>
    </row>
    <row r="819" spans="2:2" x14ac:dyDescent="0.25">
      <c r="B819"/>
    </row>
    <row r="820" spans="2:2" x14ac:dyDescent="0.25">
      <c r="B820"/>
    </row>
    <row r="821" spans="2:2" x14ac:dyDescent="0.25">
      <c r="B821"/>
    </row>
    <row r="822" spans="2:2" x14ac:dyDescent="0.25">
      <c r="B822"/>
    </row>
    <row r="823" spans="2:2" x14ac:dyDescent="0.25">
      <c r="B823"/>
    </row>
    <row r="824" spans="2:2" x14ac:dyDescent="0.25">
      <c r="B824"/>
    </row>
    <row r="825" spans="2:2" x14ac:dyDescent="0.25">
      <c r="B825"/>
    </row>
    <row r="826" spans="2:2" x14ac:dyDescent="0.25">
      <c r="B826"/>
    </row>
    <row r="827" spans="2:2" x14ac:dyDescent="0.25">
      <c r="B827"/>
    </row>
    <row r="828" spans="2:2" x14ac:dyDescent="0.25">
      <c r="B828"/>
    </row>
    <row r="829" spans="2:2" x14ac:dyDescent="0.25">
      <c r="B829"/>
    </row>
    <row r="830" spans="2:2" x14ac:dyDescent="0.25">
      <c r="B830"/>
    </row>
    <row r="831" spans="2:2" x14ac:dyDescent="0.25">
      <c r="B831"/>
    </row>
    <row r="832" spans="2:2" x14ac:dyDescent="0.25">
      <c r="B832"/>
    </row>
    <row r="833" spans="2:2" x14ac:dyDescent="0.25">
      <c r="B833"/>
    </row>
    <row r="834" spans="2:2" x14ac:dyDescent="0.25">
      <c r="B834"/>
    </row>
    <row r="835" spans="2:2" x14ac:dyDescent="0.25">
      <c r="B835"/>
    </row>
    <row r="836" spans="2:2" x14ac:dyDescent="0.25">
      <c r="B836"/>
    </row>
    <row r="837" spans="2:2" x14ac:dyDescent="0.25">
      <c r="B837"/>
    </row>
    <row r="838" spans="2:2" x14ac:dyDescent="0.25">
      <c r="B838"/>
    </row>
    <row r="839" spans="2:2" x14ac:dyDescent="0.25">
      <c r="B839"/>
    </row>
    <row r="840" spans="2:2" x14ac:dyDescent="0.25">
      <c r="B840"/>
    </row>
    <row r="841" spans="2:2" x14ac:dyDescent="0.25">
      <c r="B841"/>
    </row>
    <row r="842" spans="2:2" x14ac:dyDescent="0.25">
      <c r="B842"/>
    </row>
    <row r="843" spans="2:2" x14ac:dyDescent="0.25">
      <c r="B843"/>
    </row>
    <row r="844" spans="2:2" x14ac:dyDescent="0.25">
      <c r="B844"/>
    </row>
    <row r="845" spans="2:2" x14ac:dyDescent="0.25">
      <c r="B845"/>
    </row>
    <row r="846" spans="2:2" x14ac:dyDescent="0.25">
      <c r="B846"/>
    </row>
    <row r="847" spans="2:2" x14ac:dyDescent="0.25">
      <c r="B847"/>
    </row>
    <row r="848" spans="2:2" x14ac:dyDescent="0.25">
      <c r="B848"/>
    </row>
    <row r="849" spans="2:2" x14ac:dyDescent="0.25">
      <c r="B849"/>
    </row>
    <row r="850" spans="2:2" x14ac:dyDescent="0.25">
      <c r="B850"/>
    </row>
    <row r="851" spans="2:2" x14ac:dyDescent="0.25">
      <c r="B851"/>
    </row>
    <row r="852" spans="2:2" x14ac:dyDescent="0.25">
      <c r="B852"/>
    </row>
    <row r="853" spans="2:2" x14ac:dyDescent="0.25">
      <c r="B853"/>
    </row>
    <row r="854" spans="2:2" x14ac:dyDescent="0.25">
      <c r="B854"/>
    </row>
    <row r="855" spans="2:2" x14ac:dyDescent="0.25">
      <c r="B855"/>
    </row>
    <row r="856" spans="2:2" x14ac:dyDescent="0.25">
      <c r="B856"/>
    </row>
    <row r="857" spans="2:2" x14ac:dyDescent="0.25">
      <c r="B857"/>
    </row>
    <row r="858" spans="2:2" x14ac:dyDescent="0.25">
      <c r="B858"/>
    </row>
    <row r="859" spans="2:2" x14ac:dyDescent="0.25">
      <c r="B859"/>
    </row>
    <row r="860" spans="2:2" x14ac:dyDescent="0.25">
      <c r="B860"/>
    </row>
    <row r="861" spans="2:2" x14ac:dyDescent="0.25">
      <c r="B861"/>
    </row>
    <row r="862" spans="2:2" x14ac:dyDescent="0.25">
      <c r="B862"/>
    </row>
    <row r="863" spans="2:2" x14ac:dyDescent="0.25">
      <c r="B863"/>
    </row>
    <row r="864" spans="2:2" x14ac:dyDescent="0.25">
      <c r="B864"/>
    </row>
    <row r="865" spans="2:2" x14ac:dyDescent="0.25">
      <c r="B865"/>
    </row>
    <row r="866" spans="2:2" x14ac:dyDescent="0.25">
      <c r="B866"/>
    </row>
    <row r="867" spans="2:2" x14ac:dyDescent="0.25">
      <c r="B867"/>
    </row>
    <row r="868" spans="2:2" x14ac:dyDescent="0.25">
      <c r="B868"/>
    </row>
    <row r="869" spans="2:2" x14ac:dyDescent="0.25">
      <c r="B869"/>
    </row>
    <row r="870" spans="2:2" x14ac:dyDescent="0.25">
      <c r="B870"/>
    </row>
    <row r="871" spans="2:2" x14ac:dyDescent="0.25">
      <c r="B871"/>
    </row>
    <row r="872" spans="2:2" x14ac:dyDescent="0.25">
      <c r="B872"/>
    </row>
    <row r="873" spans="2:2" x14ac:dyDescent="0.25">
      <c r="B873"/>
    </row>
    <row r="874" spans="2:2" x14ac:dyDescent="0.25">
      <c r="B874"/>
    </row>
    <row r="875" spans="2:2" x14ac:dyDescent="0.25">
      <c r="B875"/>
    </row>
    <row r="876" spans="2:2" x14ac:dyDescent="0.25">
      <c r="B876"/>
    </row>
    <row r="877" spans="2:2" x14ac:dyDescent="0.25">
      <c r="B877"/>
    </row>
    <row r="878" spans="2:2" x14ac:dyDescent="0.25">
      <c r="B878"/>
    </row>
    <row r="879" spans="2:2" x14ac:dyDescent="0.25">
      <c r="B879"/>
    </row>
    <row r="880" spans="2:2" x14ac:dyDescent="0.25">
      <c r="B880"/>
    </row>
    <row r="881" spans="2:2" x14ac:dyDescent="0.25">
      <c r="B881"/>
    </row>
    <row r="882" spans="2:2" x14ac:dyDescent="0.25">
      <c r="B882"/>
    </row>
    <row r="883" spans="2:2" x14ac:dyDescent="0.25">
      <c r="B883"/>
    </row>
    <row r="884" spans="2:2" x14ac:dyDescent="0.25">
      <c r="B884"/>
    </row>
    <row r="885" spans="2:2" x14ac:dyDescent="0.25">
      <c r="B885"/>
    </row>
    <row r="886" spans="2:2" x14ac:dyDescent="0.25">
      <c r="B886"/>
    </row>
    <row r="887" spans="2:2" x14ac:dyDescent="0.25">
      <c r="B887"/>
    </row>
    <row r="888" spans="2:2" x14ac:dyDescent="0.25">
      <c r="B888"/>
    </row>
    <row r="889" spans="2:2" x14ac:dyDescent="0.25">
      <c r="B889"/>
    </row>
    <row r="890" spans="2:2" x14ac:dyDescent="0.25">
      <c r="B890"/>
    </row>
    <row r="891" spans="2:2" x14ac:dyDescent="0.25">
      <c r="B891"/>
    </row>
    <row r="892" spans="2:2" x14ac:dyDescent="0.25">
      <c r="B892"/>
    </row>
    <row r="893" spans="2:2" x14ac:dyDescent="0.25">
      <c r="B893"/>
    </row>
    <row r="894" spans="2:2" x14ac:dyDescent="0.25">
      <c r="B894"/>
    </row>
    <row r="895" spans="2:2" x14ac:dyDescent="0.25">
      <c r="B895"/>
    </row>
    <row r="896" spans="2:2" x14ac:dyDescent="0.25">
      <c r="B896"/>
    </row>
    <row r="897" spans="2:2" x14ac:dyDescent="0.25">
      <c r="B897"/>
    </row>
    <row r="898" spans="2:2" x14ac:dyDescent="0.25">
      <c r="B898"/>
    </row>
    <row r="899" spans="2:2" x14ac:dyDescent="0.25">
      <c r="B899"/>
    </row>
    <row r="900" spans="2:2" x14ac:dyDescent="0.25">
      <c r="B900"/>
    </row>
    <row r="901" spans="2:2" x14ac:dyDescent="0.25">
      <c r="B901"/>
    </row>
    <row r="902" spans="2:2" x14ac:dyDescent="0.25">
      <c r="B902"/>
    </row>
    <row r="903" spans="2:2" x14ac:dyDescent="0.25">
      <c r="B903"/>
    </row>
    <row r="904" spans="2:2" x14ac:dyDescent="0.25">
      <c r="B904"/>
    </row>
    <row r="905" spans="2:2" x14ac:dyDescent="0.25">
      <c r="B905"/>
    </row>
    <row r="906" spans="2:2" x14ac:dyDescent="0.25">
      <c r="B906"/>
    </row>
    <row r="907" spans="2:2" x14ac:dyDescent="0.25">
      <c r="B907"/>
    </row>
    <row r="908" spans="2:2" x14ac:dyDescent="0.25">
      <c r="B908"/>
    </row>
    <row r="909" spans="2:2" x14ac:dyDescent="0.25">
      <c r="B909"/>
    </row>
    <row r="910" spans="2:2" x14ac:dyDescent="0.25">
      <c r="B910"/>
    </row>
    <row r="911" spans="2:2" x14ac:dyDescent="0.25">
      <c r="B911"/>
    </row>
    <row r="912" spans="2:2" x14ac:dyDescent="0.25">
      <c r="B912"/>
    </row>
    <row r="913" spans="2:2" x14ac:dyDescent="0.25">
      <c r="B913"/>
    </row>
    <row r="914" spans="2:2" x14ac:dyDescent="0.25">
      <c r="B914"/>
    </row>
    <row r="915" spans="2:2" x14ac:dyDescent="0.25">
      <c r="B915"/>
    </row>
    <row r="916" spans="2:2" x14ac:dyDescent="0.25">
      <c r="B916"/>
    </row>
    <row r="917" spans="2:2" x14ac:dyDescent="0.25">
      <c r="B917"/>
    </row>
    <row r="918" spans="2:2" x14ac:dyDescent="0.25">
      <c r="B918"/>
    </row>
    <row r="919" spans="2:2" x14ac:dyDescent="0.25">
      <c r="B919"/>
    </row>
    <row r="920" spans="2:2" x14ac:dyDescent="0.25">
      <c r="B920"/>
    </row>
    <row r="921" spans="2:2" x14ac:dyDescent="0.25">
      <c r="B921"/>
    </row>
    <row r="922" spans="2:2" x14ac:dyDescent="0.25">
      <c r="B922"/>
    </row>
    <row r="923" spans="2:2" x14ac:dyDescent="0.25">
      <c r="B923"/>
    </row>
    <row r="924" spans="2:2" x14ac:dyDescent="0.25">
      <c r="B924"/>
    </row>
    <row r="925" spans="2:2" x14ac:dyDescent="0.25">
      <c r="B925"/>
    </row>
    <row r="926" spans="2:2" x14ac:dyDescent="0.25">
      <c r="B926"/>
    </row>
    <row r="927" spans="2:2" x14ac:dyDescent="0.25">
      <c r="B927"/>
    </row>
    <row r="928" spans="2:2" x14ac:dyDescent="0.25">
      <c r="B928"/>
    </row>
    <row r="929" spans="2:2" x14ac:dyDescent="0.25">
      <c r="B929"/>
    </row>
    <row r="930" spans="2:2" x14ac:dyDescent="0.25">
      <c r="B930"/>
    </row>
    <row r="931" spans="2:2" x14ac:dyDescent="0.25">
      <c r="B931"/>
    </row>
    <row r="932" spans="2:2" x14ac:dyDescent="0.25">
      <c r="B932"/>
    </row>
    <row r="933" spans="2:2" x14ac:dyDescent="0.25">
      <c r="B933"/>
    </row>
    <row r="934" spans="2:2" x14ac:dyDescent="0.25">
      <c r="B934"/>
    </row>
    <row r="935" spans="2:2" x14ac:dyDescent="0.25">
      <c r="B935"/>
    </row>
    <row r="936" spans="2:2" x14ac:dyDescent="0.25">
      <c r="B936"/>
    </row>
    <row r="937" spans="2:2" x14ac:dyDescent="0.25">
      <c r="B937"/>
    </row>
    <row r="938" spans="2:2" x14ac:dyDescent="0.25">
      <c r="B938"/>
    </row>
    <row r="939" spans="2:2" x14ac:dyDescent="0.25">
      <c r="B939"/>
    </row>
    <row r="940" spans="2:2" x14ac:dyDescent="0.25">
      <c r="B940"/>
    </row>
    <row r="941" spans="2:2" x14ac:dyDescent="0.25">
      <c r="B941"/>
    </row>
    <row r="942" spans="2:2" x14ac:dyDescent="0.25">
      <c r="B942"/>
    </row>
    <row r="943" spans="2:2" x14ac:dyDescent="0.25">
      <c r="B943"/>
    </row>
    <row r="944" spans="2:2" x14ac:dyDescent="0.25">
      <c r="B944"/>
    </row>
    <row r="945" spans="2:2" x14ac:dyDescent="0.25">
      <c r="B945"/>
    </row>
    <row r="946" spans="2:2" x14ac:dyDescent="0.25">
      <c r="B946"/>
    </row>
    <row r="947" spans="2:2" x14ac:dyDescent="0.25">
      <c r="B947"/>
    </row>
    <row r="948" spans="2:2" x14ac:dyDescent="0.25">
      <c r="B948"/>
    </row>
    <row r="949" spans="2:2" x14ac:dyDescent="0.25">
      <c r="B949"/>
    </row>
    <row r="950" spans="2:2" x14ac:dyDescent="0.25">
      <c r="B950"/>
    </row>
    <row r="951" spans="2:2" x14ac:dyDescent="0.25">
      <c r="B951"/>
    </row>
    <row r="952" spans="2:2" x14ac:dyDescent="0.25">
      <c r="B952"/>
    </row>
    <row r="953" spans="2:2" x14ac:dyDescent="0.25">
      <c r="B953"/>
    </row>
    <row r="954" spans="2:2" x14ac:dyDescent="0.25">
      <c r="B954"/>
    </row>
    <row r="955" spans="2:2" x14ac:dyDescent="0.25">
      <c r="B955"/>
    </row>
    <row r="956" spans="2:2" x14ac:dyDescent="0.25">
      <c r="B956"/>
    </row>
    <row r="957" spans="2:2" x14ac:dyDescent="0.25">
      <c r="B957"/>
    </row>
    <row r="958" spans="2:2" x14ac:dyDescent="0.25">
      <c r="B958"/>
    </row>
    <row r="959" spans="2:2" x14ac:dyDescent="0.25">
      <c r="B959"/>
    </row>
    <row r="960" spans="2:2" x14ac:dyDescent="0.25">
      <c r="B960"/>
    </row>
    <row r="961" spans="2:2" x14ac:dyDescent="0.25">
      <c r="B961"/>
    </row>
    <row r="962" spans="2:2" x14ac:dyDescent="0.25">
      <c r="B962"/>
    </row>
    <row r="963" spans="2:2" x14ac:dyDescent="0.25">
      <c r="B963"/>
    </row>
    <row r="964" spans="2:2" x14ac:dyDescent="0.25">
      <c r="B964"/>
    </row>
    <row r="965" spans="2:2" x14ac:dyDescent="0.25">
      <c r="B965"/>
    </row>
    <row r="966" spans="2:2" x14ac:dyDescent="0.25">
      <c r="B966"/>
    </row>
    <row r="967" spans="2:2" x14ac:dyDescent="0.25">
      <c r="B967"/>
    </row>
    <row r="968" spans="2:2" x14ac:dyDescent="0.25">
      <c r="B968"/>
    </row>
    <row r="969" spans="2:2" x14ac:dyDescent="0.25">
      <c r="B969"/>
    </row>
    <row r="970" spans="2:2" x14ac:dyDescent="0.25">
      <c r="B970"/>
    </row>
    <row r="971" spans="2:2" x14ac:dyDescent="0.25">
      <c r="B971"/>
    </row>
    <row r="972" spans="2:2" x14ac:dyDescent="0.25">
      <c r="B972"/>
    </row>
    <row r="973" spans="2:2" x14ac:dyDescent="0.25">
      <c r="B973"/>
    </row>
    <row r="974" spans="2:2" x14ac:dyDescent="0.25">
      <c r="B974"/>
    </row>
    <row r="975" spans="2:2" x14ac:dyDescent="0.25">
      <c r="B975"/>
    </row>
    <row r="976" spans="2:2" x14ac:dyDescent="0.25">
      <c r="B976"/>
    </row>
    <row r="977" spans="2:2" x14ac:dyDescent="0.25">
      <c r="B977"/>
    </row>
    <row r="978" spans="2:2" x14ac:dyDescent="0.25">
      <c r="B978"/>
    </row>
    <row r="979" spans="2:2" x14ac:dyDescent="0.25">
      <c r="B979"/>
    </row>
    <row r="980" spans="2:2" x14ac:dyDescent="0.25">
      <c r="B980"/>
    </row>
    <row r="981" spans="2:2" x14ac:dyDescent="0.25">
      <c r="B981"/>
    </row>
    <row r="982" spans="2:2" x14ac:dyDescent="0.25">
      <c r="B982"/>
    </row>
    <row r="983" spans="2:2" x14ac:dyDescent="0.25">
      <c r="B983"/>
    </row>
    <row r="984" spans="2:2" x14ac:dyDescent="0.25">
      <c r="B984"/>
    </row>
    <row r="985" spans="2:2" x14ac:dyDescent="0.25">
      <c r="B985"/>
    </row>
    <row r="986" spans="2:2" x14ac:dyDescent="0.25">
      <c r="B986"/>
    </row>
    <row r="987" spans="2:2" x14ac:dyDescent="0.25">
      <c r="B987"/>
    </row>
    <row r="988" spans="2:2" x14ac:dyDescent="0.25">
      <c r="B988"/>
    </row>
    <row r="989" spans="2:2" x14ac:dyDescent="0.25">
      <c r="B989"/>
    </row>
    <row r="990" spans="2:2" x14ac:dyDescent="0.25">
      <c r="B990"/>
    </row>
    <row r="991" spans="2:2" x14ac:dyDescent="0.25">
      <c r="B991"/>
    </row>
    <row r="992" spans="2:2" x14ac:dyDescent="0.25">
      <c r="B992"/>
    </row>
    <row r="993" spans="2:2" x14ac:dyDescent="0.25">
      <c r="B993"/>
    </row>
    <row r="994" spans="2:2" x14ac:dyDescent="0.25">
      <c r="B994"/>
    </row>
    <row r="995" spans="2:2" x14ac:dyDescent="0.25">
      <c r="B995"/>
    </row>
    <row r="996" spans="2:2" x14ac:dyDescent="0.25">
      <c r="B996"/>
    </row>
    <row r="997" spans="2:2" x14ac:dyDescent="0.25">
      <c r="B997"/>
    </row>
    <row r="998" spans="2:2" x14ac:dyDescent="0.25">
      <c r="B998"/>
    </row>
    <row r="999" spans="2:2" x14ac:dyDescent="0.25">
      <c r="B999"/>
    </row>
    <row r="1000" spans="2:2" x14ac:dyDescent="0.25">
      <c r="B1000"/>
    </row>
    <row r="1001" spans="2:2" x14ac:dyDescent="0.25">
      <c r="B1001"/>
    </row>
    <row r="1002" spans="2:2" x14ac:dyDescent="0.25">
      <c r="B1002"/>
    </row>
    <row r="1003" spans="2:2" x14ac:dyDescent="0.25">
      <c r="B1003"/>
    </row>
    <row r="1004" spans="2:2" x14ac:dyDescent="0.25">
      <c r="B1004"/>
    </row>
    <row r="1005" spans="2:2" x14ac:dyDescent="0.25">
      <c r="B1005"/>
    </row>
    <row r="1006" spans="2:2" x14ac:dyDescent="0.25">
      <c r="B1006"/>
    </row>
    <row r="1007" spans="2:2" x14ac:dyDescent="0.25">
      <c r="B1007"/>
    </row>
    <row r="1008" spans="2:2" x14ac:dyDescent="0.25">
      <c r="B1008"/>
    </row>
    <row r="1009" spans="2:2" x14ac:dyDescent="0.25">
      <c r="B1009"/>
    </row>
    <row r="1010" spans="2:2" x14ac:dyDescent="0.25">
      <c r="B1010"/>
    </row>
    <row r="1011" spans="2:2" x14ac:dyDescent="0.25">
      <c r="B1011"/>
    </row>
    <row r="1012" spans="2:2" x14ac:dyDescent="0.25">
      <c r="B1012"/>
    </row>
    <row r="1013" spans="2:2" x14ac:dyDescent="0.25">
      <c r="B1013"/>
    </row>
    <row r="1014" spans="2:2" x14ac:dyDescent="0.25">
      <c r="B1014"/>
    </row>
    <row r="1015" spans="2:2" x14ac:dyDescent="0.25">
      <c r="B1015"/>
    </row>
    <row r="1016" spans="2:2" x14ac:dyDescent="0.25">
      <c r="B1016"/>
    </row>
    <row r="1017" spans="2:2" x14ac:dyDescent="0.25">
      <c r="B1017"/>
    </row>
    <row r="1018" spans="2:2" x14ac:dyDescent="0.25">
      <c r="B1018"/>
    </row>
    <row r="1019" spans="2:2" x14ac:dyDescent="0.25">
      <c r="B1019"/>
    </row>
    <row r="1020" spans="2:2" x14ac:dyDescent="0.25">
      <c r="B1020"/>
    </row>
    <row r="1021" spans="2:2" x14ac:dyDescent="0.25">
      <c r="B1021"/>
    </row>
    <row r="1022" spans="2:2" x14ac:dyDescent="0.25">
      <c r="B1022"/>
    </row>
    <row r="1023" spans="2:2" x14ac:dyDescent="0.25">
      <c r="B1023"/>
    </row>
    <row r="1024" spans="2:2" x14ac:dyDescent="0.25">
      <c r="B1024"/>
    </row>
    <row r="1025" spans="2:2" x14ac:dyDescent="0.25">
      <c r="B1025"/>
    </row>
    <row r="1026" spans="2:2" x14ac:dyDescent="0.25">
      <c r="B1026"/>
    </row>
  </sheetData>
  <phoneticPr fontId="18" type="noConversion"/>
  <conditionalFormatting sqref="N1027:N1048576 M1:M303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:E303 E1027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303 F1027:F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65"/>
  <sheetViews>
    <sheetView zoomScale="150" zoomScaleNormal="150" workbookViewId="0">
      <selection activeCell="N20" sqref="N20"/>
    </sheetView>
  </sheetViews>
  <sheetFormatPr defaultRowHeight="15" x14ac:dyDescent="0.25"/>
  <cols>
    <col min="1" max="10" width="9.140625" style="28"/>
    <col min="11" max="11" width="9.85546875" style="28" customWidth="1"/>
    <col min="12" max="12" width="9.140625" style="28"/>
    <col min="14" max="14" width="8.140625" style="28" bestFit="1" customWidth="1"/>
    <col min="15" max="15" width="6.28515625" style="28" bestFit="1" customWidth="1"/>
    <col min="16" max="16" width="11.28515625" bestFit="1" customWidth="1"/>
  </cols>
  <sheetData>
    <row r="1" spans="1:15" x14ac:dyDescent="0.25">
      <c r="A1" s="29" t="s">
        <v>0</v>
      </c>
      <c r="B1" s="29" t="s">
        <v>107</v>
      </c>
      <c r="C1" s="29" t="s">
        <v>1</v>
      </c>
      <c r="D1" s="29" t="s">
        <v>10</v>
      </c>
      <c r="E1" s="29" t="s">
        <v>9</v>
      </c>
      <c r="F1" s="29" t="s">
        <v>2</v>
      </c>
      <c r="G1" s="29" t="s">
        <v>3</v>
      </c>
      <c r="H1" s="29" t="s">
        <v>4</v>
      </c>
      <c r="I1" s="29" t="s">
        <v>11</v>
      </c>
      <c r="J1" s="29" t="s">
        <v>5</v>
      </c>
      <c r="K1" s="29" t="s">
        <v>6</v>
      </c>
      <c r="L1" s="29" t="s">
        <v>7</v>
      </c>
      <c r="M1" s="7"/>
      <c r="N1" s="32" t="s">
        <v>36</v>
      </c>
      <c r="O1" s="32" t="s">
        <v>37</v>
      </c>
    </row>
    <row r="2" spans="1:15" x14ac:dyDescent="0.25">
      <c r="A2" s="30">
        <v>64</v>
      </c>
      <c r="B2" s="30" t="str">
        <f t="shared" ref="B2:B33" si="0">IF(A2&lt;30,"20-29",IF(A2&lt;40,"30-39",IF(A2&lt;50,"40-49",IF(A2&lt;60,"50-59",IF(A2&lt;70,"60-69",IF(A2&lt;80,"70+"))))))</f>
        <v>60-69</v>
      </c>
      <c r="C2" s="30">
        <v>0</v>
      </c>
      <c r="D2" s="30">
        <v>0</v>
      </c>
      <c r="E2" s="30">
        <v>180</v>
      </c>
      <c r="F2" s="30">
        <v>325</v>
      </c>
      <c r="G2" s="30">
        <v>0</v>
      </c>
      <c r="H2" s="30">
        <v>1</v>
      </c>
      <c r="I2" s="30">
        <v>154</v>
      </c>
      <c r="J2" s="30">
        <v>1</v>
      </c>
      <c r="K2" s="30">
        <v>2</v>
      </c>
      <c r="L2" s="30">
        <v>2</v>
      </c>
      <c r="N2" s="28">
        <f>COUNTIF(C2:C527, "0")</f>
        <v>72</v>
      </c>
      <c r="O2" s="28">
        <f>COUNTIF(C2:C165, "1")</f>
        <v>92</v>
      </c>
    </row>
    <row r="3" spans="1:15" x14ac:dyDescent="0.25">
      <c r="A3" s="31">
        <v>59</v>
      </c>
      <c r="B3" s="31" t="str">
        <f t="shared" si="0"/>
        <v>50-59</v>
      </c>
      <c r="C3" s="31">
        <v>1</v>
      </c>
      <c r="D3" s="31">
        <v>3</v>
      </c>
      <c r="E3" s="31">
        <v>178</v>
      </c>
      <c r="F3" s="31">
        <v>270</v>
      </c>
      <c r="G3" s="31">
        <v>0</v>
      </c>
      <c r="H3" s="31">
        <v>0</v>
      </c>
      <c r="I3" s="31">
        <v>145</v>
      </c>
      <c r="J3" s="31">
        <v>0</v>
      </c>
      <c r="K3" s="31">
        <v>0</v>
      </c>
      <c r="L3" s="31">
        <v>3</v>
      </c>
    </row>
    <row r="4" spans="1:15" x14ac:dyDescent="0.25">
      <c r="A4" s="30">
        <v>52</v>
      </c>
      <c r="B4" s="30" t="str">
        <f t="shared" si="0"/>
        <v>50-59</v>
      </c>
      <c r="C4" s="30">
        <v>1</v>
      </c>
      <c r="D4" s="30">
        <v>2</v>
      </c>
      <c r="E4" s="30">
        <v>172</v>
      </c>
      <c r="F4" s="30">
        <v>199</v>
      </c>
      <c r="G4" s="30">
        <v>1</v>
      </c>
      <c r="H4" s="30">
        <v>1</v>
      </c>
      <c r="I4" s="30">
        <v>162</v>
      </c>
      <c r="J4" s="30">
        <v>0</v>
      </c>
      <c r="K4" s="30">
        <v>2</v>
      </c>
      <c r="L4" s="30">
        <v>3</v>
      </c>
    </row>
    <row r="5" spans="1:15" x14ac:dyDescent="0.25">
      <c r="A5" s="30">
        <v>64</v>
      </c>
      <c r="B5" s="30" t="str">
        <f t="shared" si="0"/>
        <v>60-69</v>
      </c>
      <c r="C5" s="30">
        <v>1</v>
      </c>
      <c r="D5" s="30">
        <v>3</v>
      </c>
      <c r="E5" s="30">
        <v>170</v>
      </c>
      <c r="F5" s="30">
        <v>227</v>
      </c>
      <c r="G5" s="30">
        <v>0</v>
      </c>
      <c r="H5" s="30">
        <v>0</v>
      </c>
      <c r="I5" s="30">
        <v>155</v>
      </c>
      <c r="J5" s="30">
        <v>0</v>
      </c>
      <c r="K5" s="30">
        <v>1</v>
      </c>
      <c r="L5" s="30">
        <v>3</v>
      </c>
    </row>
    <row r="6" spans="1:15" x14ac:dyDescent="0.25">
      <c r="A6" s="31">
        <v>54</v>
      </c>
      <c r="B6" s="31" t="str">
        <f t="shared" si="0"/>
        <v>50-59</v>
      </c>
      <c r="C6" s="31">
        <v>0</v>
      </c>
      <c r="D6" s="31">
        <v>2</v>
      </c>
      <c r="E6" s="31">
        <v>160</v>
      </c>
      <c r="F6" s="31">
        <v>201</v>
      </c>
      <c r="G6" s="31">
        <v>0</v>
      </c>
      <c r="H6" s="31">
        <v>1</v>
      </c>
      <c r="I6" s="31">
        <v>163</v>
      </c>
      <c r="J6" s="31">
        <v>0</v>
      </c>
      <c r="K6" s="31">
        <v>2</v>
      </c>
      <c r="L6" s="31">
        <v>2</v>
      </c>
    </row>
    <row r="7" spans="1:15" x14ac:dyDescent="0.25">
      <c r="A7" s="30">
        <v>66</v>
      </c>
      <c r="B7" s="30" t="str">
        <f t="shared" si="0"/>
        <v>60-69</v>
      </c>
      <c r="C7" s="30">
        <v>1</v>
      </c>
      <c r="D7" s="30">
        <v>0</v>
      </c>
      <c r="E7" s="30">
        <v>160</v>
      </c>
      <c r="F7" s="30">
        <v>228</v>
      </c>
      <c r="G7" s="30">
        <v>0</v>
      </c>
      <c r="H7" s="30">
        <v>0</v>
      </c>
      <c r="I7" s="30">
        <v>138</v>
      </c>
      <c r="J7" s="30">
        <v>0</v>
      </c>
      <c r="K7" s="30">
        <v>2</v>
      </c>
      <c r="L7" s="30">
        <v>1</v>
      </c>
    </row>
    <row r="8" spans="1:15" x14ac:dyDescent="0.25">
      <c r="A8" s="31">
        <v>65</v>
      </c>
      <c r="B8" s="31" t="str">
        <f t="shared" si="0"/>
        <v>60-69</v>
      </c>
      <c r="C8" s="31">
        <v>0</v>
      </c>
      <c r="D8" s="31">
        <v>2</v>
      </c>
      <c r="E8" s="31">
        <v>160</v>
      </c>
      <c r="F8" s="31">
        <v>360</v>
      </c>
      <c r="G8" s="31">
        <v>0</v>
      </c>
      <c r="H8" s="31">
        <v>0</v>
      </c>
      <c r="I8" s="31">
        <v>151</v>
      </c>
      <c r="J8" s="31">
        <v>0</v>
      </c>
      <c r="K8" s="31">
        <v>2</v>
      </c>
      <c r="L8" s="31">
        <v>2</v>
      </c>
    </row>
    <row r="9" spans="1:15" x14ac:dyDescent="0.25">
      <c r="A9" s="31">
        <v>71</v>
      </c>
      <c r="B9" s="31" t="str">
        <f t="shared" si="0"/>
        <v>70+</v>
      </c>
      <c r="C9" s="31">
        <v>0</v>
      </c>
      <c r="D9" s="31">
        <v>1</v>
      </c>
      <c r="E9" s="31">
        <v>160</v>
      </c>
      <c r="F9" s="31">
        <v>302</v>
      </c>
      <c r="G9" s="31">
        <v>0</v>
      </c>
      <c r="H9" s="31">
        <v>1</v>
      </c>
      <c r="I9" s="31">
        <v>162</v>
      </c>
      <c r="J9" s="31">
        <v>0</v>
      </c>
      <c r="K9" s="31">
        <v>2</v>
      </c>
      <c r="L9" s="31">
        <v>2</v>
      </c>
    </row>
    <row r="10" spans="1:15" x14ac:dyDescent="0.25">
      <c r="A10" s="31">
        <v>69</v>
      </c>
      <c r="B10" s="31" t="str">
        <f t="shared" si="0"/>
        <v>60-69</v>
      </c>
      <c r="C10" s="31">
        <v>1</v>
      </c>
      <c r="D10" s="31">
        <v>3</v>
      </c>
      <c r="E10" s="31">
        <v>160</v>
      </c>
      <c r="F10" s="31">
        <v>234</v>
      </c>
      <c r="G10" s="31">
        <v>1</v>
      </c>
      <c r="H10" s="31">
        <v>0</v>
      </c>
      <c r="I10" s="31">
        <v>131</v>
      </c>
      <c r="J10" s="31">
        <v>0</v>
      </c>
      <c r="K10" s="31">
        <v>1</v>
      </c>
      <c r="L10" s="31">
        <v>2</v>
      </c>
    </row>
    <row r="11" spans="1:15" x14ac:dyDescent="0.25">
      <c r="A11" s="31">
        <v>70</v>
      </c>
      <c r="B11" s="31" t="str">
        <f t="shared" si="0"/>
        <v>70+</v>
      </c>
      <c r="C11" s="31">
        <v>1</v>
      </c>
      <c r="D11" s="31">
        <v>1</v>
      </c>
      <c r="E11" s="31">
        <v>156</v>
      </c>
      <c r="F11" s="31">
        <v>245</v>
      </c>
      <c r="G11" s="31">
        <v>0</v>
      </c>
      <c r="H11" s="31">
        <v>0</v>
      </c>
      <c r="I11" s="31">
        <v>143</v>
      </c>
      <c r="J11" s="31">
        <v>0</v>
      </c>
      <c r="K11" s="31">
        <v>2</v>
      </c>
      <c r="L11" s="31">
        <v>2</v>
      </c>
    </row>
    <row r="12" spans="1:15" x14ac:dyDescent="0.25">
      <c r="A12" s="31">
        <v>65</v>
      </c>
      <c r="B12" s="31" t="str">
        <f t="shared" si="0"/>
        <v>60-69</v>
      </c>
      <c r="C12" s="31">
        <v>0</v>
      </c>
      <c r="D12" s="31">
        <v>2</v>
      </c>
      <c r="E12" s="31">
        <v>155</v>
      </c>
      <c r="F12" s="31">
        <v>269</v>
      </c>
      <c r="G12" s="31">
        <v>0</v>
      </c>
      <c r="H12" s="31">
        <v>1</v>
      </c>
      <c r="I12" s="31">
        <v>148</v>
      </c>
      <c r="J12" s="31">
        <v>0</v>
      </c>
      <c r="K12" s="31">
        <v>2</v>
      </c>
      <c r="L12" s="31">
        <v>2</v>
      </c>
    </row>
    <row r="13" spans="1:15" x14ac:dyDescent="0.25">
      <c r="A13" s="30">
        <v>67</v>
      </c>
      <c r="B13" s="30" t="str">
        <f t="shared" si="0"/>
        <v>60-69</v>
      </c>
      <c r="C13" s="30">
        <v>0</v>
      </c>
      <c r="D13" s="30">
        <v>2</v>
      </c>
      <c r="E13" s="30">
        <v>152</v>
      </c>
      <c r="F13" s="30">
        <v>277</v>
      </c>
      <c r="G13" s="30">
        <v>0</v>
      </c>
      <c r="H13" s="30">
        <v>1</v>
      </c>
      <c r="I13" s="30">
        <v>172</v>
      </c>
      <c r="J13" s="30">
        <v>0</v>
      </c>
      <c r="K13" s="30">
        <v>2</v>
      </c>
      <c r="L13" s="30">
        <v>2</v>
      </c>
    </row>
    <row r="14" spans="1:15" x14ac:dyDescent="0.25">
      <c r="A14" s="31">
        <v>52</v>
      </c>
      <c r="B14" s="31" t="str">
        <f t="shared" si="0"/>
        <v>50-59</v>
      </c>
      <c r="C14" s="31">
        <v>1</v>
      </c>
      <c r="D14" s="31">
        <v>3</v>
      </c>
      <c r="E14" s="31">
        <v>152</v>
      </c>
      <c r="F14" s="31">
        <v>298</v>
      </c>
      <c r="G14" s="31">
        <v>1</v>
      </c>
      <c r="H14" s="31">
        <v>1</v>
      </c>
      <c r="I14" s="31">
        <v>178</v>
      </c>
      <c r="J14" s="31">
        <v>0</v>
      </c>
      <c r="K14" s="31">
        <v>1</v>
      </c>
      <c r="L14" s="31">
        <v>3</v>
      </c>
    </row>
    <row r="15" spans="1:15" x14ac:dyDescent="0.25">
      <c r="A15" s="31">
        <v>60</v>
      </c>
      <c r="B15" s="31" t="str">
        <f t="shared" si="0"/>
        <v>60-69</v>
      </c>
      <c r="C15" s="31">
        <v>0</v>
      </c>
      <c r="D15" s="31">
        <v>3</v>
      </c>
      <c r="E15" s="31">
        <v>150</v>
      </c>
      <c r="F15" s="31">
        <v>240</v>
      </c>
      <c r="G15" s="31">
        <v>0</v>
      </c>
      <c r="H15" s="31">
        <v>1</v>
      </c>
      <c r="I15" s="31">
        <v>171</v>
      </c>
      <c r="J15" s="31">
        <v>0</v>
      </c>
      <c r="K15" s="31">
        <v>2</v>
      </c>
      <c r="L15" s="31">
        <v>2</v>
      </c>
    </row>
    <row r="16" spans="1:15" x14ac:dyDescent="0.25">
      <c r="A16" s="31">
        <v>58</v>
      </c>
      <c r="B16" s="31" t="str">
        <f t="shared" si="0"/>
        <v>50-59</v>
      </c>
      <c r="C16" s="31">
        <v>0</v>
      </c>
      <c r="D16" s="31">
        <v>3</v>
      </c>
      <c r="E16" s="31">
        <v>150</v>
      </c>
      <c r="F16" s="31">
        <v>283</v>
      </c>
      <c r="G16" s="31">
        <v>1</v>
      </c>
      <c r="H16" s="31">
        <v>0</v>
      </c>
      <c r="I16" s="31">
        <v>162</v>
      </c>
      <c r="J16" s="31">
        <v>0</v>
      </c>
      <c r="K16" s="31">
        <v>2</v>
      </c>
      <c r="L16" s="31">
        <v>2</v>
      </c>
    </row>
    <row r="17" spans="1:12" x14ac:dyDescent="0.25">
      <c r="A17" s="30">
        <v>54</v>
      </c>
      <c r="B17" s="30" t="str">
        <f t="shared" si="0"/>
        <v>50-59</v>
      </c>
      <c r="C17" s="30">
        <v>1</v>
      </c>
      <c r="D17" s="30">
        <v>2</v>
      </c>
      <c r="E17" s="30">
        <v>150</v>
      </c>
      <c r="F17" s="30">
        <v>232</v>
      </c>
      <c r="G17" s="30">
        <v>0</v>
      </c>
      <c r="H17" s="30">
        <v>0</v>
      </c>
      <c r="I17" s="30">
        <v>165</v>
      </c>
      <c r="J17" s="30">
        <v>0</v>
      </c>
      <c r="K17" s="30">
        <v>2</v>
      </c>
      <c r="L17" s="30">
        <v>3</v>
      </c>
    </row>
    <row r="18" spans="1:12" x14ac:dyDescent="0.25">
      <c r="A18" s="30">
        <v>66</v>
      </c>
      <c r="B18" s="30" t="str">
        <f t="shared" si="0"/>
        <v>60-69</v>
      </c>
      <c r="C18" s="30">
        <v>0</v>
      </c>
      <c r="D18" s="30">
        <v>3</v>
      </c>
      <c r="E18" s="30">
        <v>150</v>
      </c>
      <c r="F18" s="30">
        <v>226</v>
      </c>
      <c r="G18" s="30">
        <v>0</v>
      </c>
      <c r="H18" s="30">
        <v>1</v>
      </c>
      <c r="I18" s="30">
        <v>114</v>
      </c>
      <c r="J18" s="30">
        <v>0</v>
      </c>
      <c r="K18" s="30">
        <v>0</v>
      </c>
      <c r="L18" s="30">
        <v>2</v>
      </c>
    </row>
    <row r="19" spans="1:12" x14ac:dyDescent="0.25">
      <c r="A19" s="30">
        <v>59</v>
      </c>
      <c r="B19" s="30" t="str">
        <f t="shared" si="0"/>
        <v>50-59</v>
      </c>
      <c r="C19" s="30">
        <v>1</v>
      </c>
      <c r="D19" s="30">
        <v>2</v>
      </c>
      <c r="E19" s="30">
        <v>150</v>
      </c>
      <c r="F19" s="30">
        <v>212</v>
      </c>
      <c r="G19" s="30">
        <v>1</v>
      </c>
      <c r="H19" s="30">
        <v>1</v>
      </c>
      <c r="I19" s="30">
        <v>157</v>
      </c>
      <c r="J19" s="30">
        <v>0</v>
      </c>
      <c r="K19" s="30">
        <v>2</v>
      </c>
      <c r="L19" s="30">
        <v>2</v>
      </c>
    </row>
    <row r="20" spans="1:12" x14ac:dyDescent="0.25">
      <c r="A20" s="30">
        <v>43</v>
      </c>
      <c r="B20" s="30" t="str">
        <f t="shared" si="0"/>
        <v>40-49</v>
      </c>
      <c r="C20" s="30">
        <v>1</v>
      </c>
      <c r="D20" s="30">
        <v>0</v>
      </c>
      <c r="E20" s="30">
        <v>150</v>
      </c>
      <c r="F20" s="30">
        <v>247</v>
      </c>
      <c r="G20" s="30">
        <v>0</v>
      </c>
      <c r="H20" s="30">
        <v>1</v>
      </c>
      <c r="I20" s="30">
        <v>171</v>
      </c>
      <c r="J20" s="30">
        <v>0</v>
      </c>
      <c r="K20" s="30">
        <v>2</v>
      </c>
      <c r="L20" s="30">
        <v>2</v>
      </c>
    </row>
    <row r="21" spans="1:12" x14ac:dyDescent="0.25">
      <c r="A21" s="30">
        <v>57</v>
      </c>
      <c r="B21" s="30" t="str">
        <f t="shared" si="0"/>
        <v>50-59</v>
      </c>
      <c r="C21" s="30">
        <v>1</v>
      </c>
      <c r="D21" s="30">
        <v>2</v>
      </c>
      <c r="E21" s="30">
        <v>150</v>
      </c>
      <c r="F21" s="30">
        <v>168</v>
      </c>
      <c r="G21" s="30">
        <v>0</v>
      </c>
      <c r="H21" s="30">
        <v>1</v>
      </c>
      <c r="I21" s="30">
        <v>174</v>
      </c>
      <c r="J21" s="30">
        <v>0</v>
      </c>
      <c r="K21" s="30">
        <v>2</v>
      </c>
      <c r="L21" s="30">
        <v>2</v>
      </c>
    </row>
    <row r="22" spans="1:12" x14ac:dyDescent="0.25">
      <c r="A22" s="30">
        <v>61</v>
      </c>
      <c r="B22" s="30" t="str">
        <f t="shared" si="0"/>
        <v>60-69</v>
      </c>
      <c r="C22" s="30">
        <v>1</v>
      </c>
      <c r="D22" s="30">
        <v>2</v>
      </c>
      <c r="E22" s="30">
        <v>150</v>
      </c>
      <c r="F22" s="30">
        <v>243</v>
      </c>
      <c r="G22" s="30">
        <v>1</v>
      </c>
      <c r="H22" s="30">
        <v>1</v>
      </c>
      <c r="I22" s="30">
        <v>137</v>
      </c>
      <c r="J22" s="30">
        <v>1</v>
      </c>
      <c r="K22" s="30">
        <v>1</v>
      </c>
      <c r="L22" s="30">
        <v>2</v>
      </c>
    </row>
    <row r="23" spans="1:12" x14ac:dyDescent="0.25">
      <c r="A23" s="30">
        <v>57</v>
      </c>
      <c r="B23" s="30" t="str">
        <f t="shared" si="0"/>
        <v>50-59</v>
      </c>
      <c r="C23" s="30">
        <v>1</v>
      </c>
      <c r="D23" s="30">
        <v>2</v>
      </c>
      <c r="E23" s="30">
        <v>150</v>
      </c>
      <c r="F23" s="30">
        <v>126</v>
      </c>
      <c r="G23" s="30">
        <v>1</v>
      </c>
      <c r="H23" s="30">
        <v>1</v>
      </c>
      <c r="I23" s="30">
        <v>173</v>
      </c>
      <c r="J23" s="30">
        <v>0</v>
      </c>
      <c r="K23" s="30">
        <v>2</v>
      </c>
      <c r="L23" s="30">
        <v>3</v>
      </c>
    </row>
    <row r="24" spans="1:12" x14ac:dyDescent="0.25">
      <c r="A24" s="31">
        <v>42</v>
      </c>
      <c r="B24" s="31" t="str">
        <f t="shared" si="0"/>
        <v>40-49</v>
      </c>
      <c r="C24" s="31">
        <v>1</v>
      </c>
      <c r="D24" s="31">
        <v>3</v>
      </c>
      <c r="E24" s="31">
        <v>148</v>
      </c>
      <c r="F24" s="31">
        <v>244</v>
      </c>
      <c r="G24" s="31">
        <v>0</v>
      </c>
      <c r="H24" s="31">
        <v>0</v>
      </c>
      <c r="I24" s="31">
        <v>178</v>
      </c>
      <c r="J24" s="31">
        <v>0</v>
      </c>
      <c r="K24" s="31">
        <v>2</v>
      </c>
      <c r="L24" s="31">
        <v>2</v>
      </c>
    </row>
    <row r="25" spans="1:12" x14ac:dyDescent="0.25">
      <c r="A25" s="31">
        <v>66</v>
      </c>
      <c r="B25" s="31" t="str">
        <f t="shared" si="0"/>
        <v>60-69</v>
      </c>
      <c r="C25" s="31">
        <v>0</v>
      </c>
      <c r="D25" s="31">
        <v>2</v>
      </c>
      <c r="E25" s="31">
        <v>146</v>
      </c>
      <c r="F25" s="31">
        <v>278</v>
      </c>
      <c r="G25" s="31">
        <v>0</v>
      </c>
      <c r="H25" s="31">
        <v>0</v>
      </c>
      <c r="I25" s="31">
        <v>152</v>
      </c>
      <c r="J25" s="31">
        <v>0</v>
      </c>
      <c r="K25" s="31">
        <v>1</v>
      </c>
      <c r="L25" s="31">
        <v>2</v>
      </c>
    </row>
    <row r="26" spans="1:12" x14ac:dyDescent="0.25">
      <c r="A26" s="31">
        <v>63</v>
      </c>
      <c r="B26" s="31" t="str">
        <f t="shared" si="0"/>
        <v>60-69</v>
      </c>
      <c r="C26" s="31">
        <v>1</v>
      </c>
      <c r="D26" s="31">
        <v>3</v>
      </c>
      <c r="E26" s="31">
        <v>145</v>
      </c>
      <c r="F26" s="31">
        <v>233</v>
      </c>
      <c r="G26" s="31">
        <v>1</v>
      </c>
      <c r="H26" s="31">
        <v>0</v>
      </c>
      <c r="I26" s="31">
        <v>150</v>
      </c>
      <c r="J26" s="31">
        <v>0</v>
      </c>
      <c r="K26" s="31">
        <v>0</v>
      </c>
      <c r="L26" s="31">
        <v>1</v>
      </c>
    </row>
    <row r="27" spans="1:12" x14ac:dyDescent="0.25">
      <c r="A27" s="30">
        <v>53</v>
      </c>
      <c r="B27" s="30" t="str">
        <f t="shared" si="0"/>
        <v>50-59</v>
      </c>
      <c r="C27" s="30">
        <v>1</v>
      </c>
      <c r="D27" s="30">
        <v>0</v>
      </c>
      <c r="E27" s="30">
        <v>142</v>
      </c>
      <c r="F27" s="30">
        <v>226</v>
      </c>
      <c r="G27" s="30">
        <v>0</v>
      </c>
      <c r="H27" s="30">
        <v>0</v>
      </c>
      <c r="I27" s="30">
        <v>111</v>
      </c>
      <c r="J27" s="30">
        <v>1</v>
      </c>
      <c r="K27" s="30">
        <v>2</v>
      </c>
      <c r="L27" s="30">
        <v>3</v>
      </c>
    </row>
    <row r="28" spans="1:12" x14ac:dyDescent="0.25">
      <c r="A28" s="31">
        <v>46</v>
      </c>
      <c r="B28" s="31" t="str">
        <f t="shared" si="0"/>
        <v>40-49</v>
      </c>
      <c r="C28" s="31">
        <v>0</v>
      </c>
      <c r="D28" s="31">
        <v>2</v>
      </c>
      <c r="E28" s="31">
        <v>142</v>
      </c>
      <c r="F28" s="31">
        <v>177</v>
      </c>
      <c r="G28" s="31">
        <v>0</v>
      </c>
      <c r="H28" s="31">
        <v>0</v>
      </c>
      <c r="I28" s="31">
        <v>160</v>
      </c>
      <c r="J28" s="31">
        <v>1</v>
      </c>
      <c r="K28" s="31">
        <v>0</v>
      </c>
      <c r="L28" s="31">
        <v>2</v>
      </c>
    </row>
    <row r="29" spans="1:12" x14ac:dyDescent="0.25">
      <c r="A29" s="30">
        <v>65</v>
      </c>
      <c r="B29" s="30" t="str">
        <f t="shared" si="0"/>
        <v>60-69</v>
      </c>
      <c r="C29" s="30">
        <v>0</v>
      </c>
      <c r="D29" s="30">
        <v>2</v>
      </c>
      <c r="E29" s="30">
        <v>140</v>
      </c>
      <c r="F29" s="30">
        <v>417</v>
      </c>
      <c r="G29" s="30">
        <v>1</v>
      </c>
      <c r="H29" s="30">
        <v>0</v>
      </c>
      <c r="I29" s="30">
        <v>157</v>
      </c>
      <c r="J29" s="30">
        <v>0</v>
      </c>
      <c r="K29" s="30">
        <v>2</v>
      </c>
      <c r="L29" s="30">
        <v>2</v>
      </c>
    </row>
    <row r="30" spans="1:12" x14ac:dyDescent="0.25">
      <c r="A30" s="31">
        <v>69</v>
      </c>
      <c r="B30" s="31" t="str">
        <f t="shared" si="0"/>
        <v>60-69</v>
      </c>
      <c r="C30" s="31">
        <v>0</v>
      </c>
      <c r="D30" s="31">
        <v>3</v>
      </c>
      <c r="E30" s="31">
        <v>140</v>
      </c>
      <c r="F30" s="31">
        <v>239</v>
      </c>
      <c r="G30" s="31">
        <v>0</v>
      </c>
      <c r="H30" s="31">
        <v>1</v>
      </c>
      <c r="I30" s="31">
        <v>151</v>
      </c>
      <c r="J30" s="31">
        <v>0</v>
      </c>
      <c r="K30" s="31">
        <v>2</v>
      </c>
      <c r="L30" s="31">
        <v>2</v>
      </c>
    </row>
    <row r="31" spans="1:12" x14ac:dyDescent="0.25">
      <c r="A31" s="30">
        <v>51</v>
      </c>
      <c r="B31" s="30" t="str">
        <f t="shared" si="0"/>
        <v>50-59</v>
      </c>
      <c r="C31" s="30">
        <v>0</v>
      </c>
      <c r="D31" s="30">
        <v>2</v>
      </c>
      <c r="E31" s="30">
        <v>140</v>
      </c>
      <c r="F31" s="30">
        <v>308</v>
      </c>
      <c r="G31" s="30">
        <v>0</v>
      </c>
      <c r="H31" s="30">
        <v>0</v>
      </c>
      <c r="I31" s="30">
        <v>142</v>
      </c>
      <c r="J31" s="30">
        <v>0</v>
      </c>
      <c r="K31" s="30">
        <v>2</v>
      </c>
      <c r="L31" s="30">
        <v>2</v>
      </c>
    </row>
    <row r="32" spans="1:12" x14ac:dyDescent="0.25">
      <c r="A32" s="30">
        <v>54</v>
      </c>
      <c r="B32" s="30" t="str">
        <f t="shared" si="0"/>
        <v>50-59</v>
      </c>
      <c r="C32" s="30">
        <v>1</v>
      </c>
      <c r="D32" s="30">
        <v>0</v>
      </c>
      <c r="E32" s="30">
        <v>140</v>
      </c>
      <c r="F32" s="30">
        <v>239</v>
      </c>
      <c r="G32" s="30">
        <v>0</v>
      </c>
      <c r="H32" s="30">
        <v>1</v>
      </c>
      <c r="I32" s="30">
        <v>160</v>
      </c>
      <c r="J32" s="30">
        <v>0</v>
      </c>
      <c r="K32" s="30">
        <v>2</v>
      </c>
      <c r="L32" s="30">
        <v>2</v>
      </c>
    </row>
    <row r="33" spans="1:12" x14ac:dyDescent="0.25">
      <c r="A33" s="31">
        <v>42</v>
      </c>
      <c r="B33" s="31" t="str">
        <f t="shared" si="0"/>
        <v>40-49</v>
      </c>
      <c r="C33" s="31">
        <v>1</v>
      </c>
      <c r="D33" s="31">
        <v>0</v>
      </c>
      <c r="E33" s="31">
        <v>140</v>
      </c>
      <c r="F33" s="31">
        <v>226</v>
      </c>
      <c r="G33" s="31">
        <v>0</v>
      </c>
      <c r="H33" s="31">
        <v>1</v>
      </c>
      <c r="I33" s="31">
        <v>178</v>
      </c>
      <c r="J33" s="31">
        <v>0</v>
      </c>
      <c r="K33" s="31">
        <v>2</v>
      </c>
      <c r="L33" s="31">
        <v>2</v>
      </c>
    </row>
    <row r="34" spans="1:12" x14ac:dyDescent="0.25">
      <c r="A34" s="31">
        <v>57</v>
      </c>
      <c r="B34" s="31" t="str">
        <f t="shared" ref="B34:B65" si="1">IF(A34&lt;30,"20-29",IF(A34&lt;40,"30-39",IF(A34&lt;50,"40-49",IF(A34&lt;60,"50-59",IF(A34&lt;70,"60-69",IF(A34&lt;80,"70+"))))))</f>
        <v>50-59</v>
      </c>
      <c r="C34" s="31">
        <v>1</v>
      </c>
      <c r="D34" s="31">
        <v>0</v>
      </c>
      <c r="E34" s="31">
        <v>140</v>
      </c>
      <c r="F34" s="31">
        <v>192</v>
      </c>
      <c r="G34" s="31">
        <v>0</v>
      </c>
      <c r="H34" s="31">
        <v>1</v>
      </c>
      <c r="I34" s="31">
        <v>148</v>
      </c>
      <c r="J34" s="31">
        <v>0</v>
      </c>
      <c r="K34" s="31">
        <v>1</v>
      </c>
      <c r="L34" s="31">
        <v>1</v>
      </c>
    </row>
    <row r="35" spans="1:12" x14ac:dyDescent="0.25">
      <c r="A35" s="31">
        <v>39</v>
      </c>
      <c r="B35" s="31" t="str">
        <f t="shared" si="1"/>
        <v>30-39</v>
      </c>
      <c r="C35" s="31">
        <v>1</v>
      </c>
      <c r="D35" s="31">
        <v>2</v>
      </c>
      <c r="E35" s="31">
        <v>140</v>
      </c>
      <c r="F35" s="31">
        <v>321</v>
      </c>
      <c r="G35" s="31">
        <v>0</v>
      </c>
      <c r="H35" s="31">
        <v>0</v>
      </c>
      <c r="I35" s="31">
        <v>182</v>
      </c>
      <c r="J35" s="31">
        <v>0</v>
      </c>
      <c r="K35" s="31">
        <v>2</v>
      </c>
      <c r="L35" s="31">
        <v>2</v>
      </c>
    </row>
    <row r="36" spans="1:12" x14ac:dyDescent="0.25">
      <c r="A36" s="30">
        <v>51</v>
      </c>
      <c r="B36" s="30" t="str">
        <f t="shared" si="1"/>
        <v>50-59</v>
      </c>
      <c r="C36" s="30">
        <v>1</v>
      </c>
      <c r="D36" s="30">
        <v>0</v>
      </c>
      <c r="E36" s="30">
        <v>140</v>
      </c>
      <c r="F36" s="30">
        <v>261</v>
      </c>
      <c r="G36" s="30">
        <v>0</v>
      </c>
      <c r="H36" s="30">
        <v>0</v>
      </c>
      <c r="I36" s="30">
        <v>186</v>
      </c>
      <c r="J36" s="30">
        <v>1</v>
      </c>
      <c r="K36" s="30">
        <v>2</v>
      </c>
      <c r="L36" s="30">
        <v>2</v>
      </c>
    </row>
    <row r="37" spans="1:12" x14ac:dyDescent="0.25">
      <c r="A37" s="31">
        <v>58</v>
      </c>
      <c r="B37" s="31" t="str">
        <f t="shared" si="1"/>
        <v>50-59</v>
      </c>
      <c r="C37" s="31">
        <v>1</v>
      </c>
      <c r="D37" s="31">
        <v>2</v>
      </c>
      <c r="E37" s="31">
        <v>140</v>
      </c>
      <c r="F37" s="31">
        <v>211</v>
      </c>
      <c r="G37" s="31">
        <v>1</v>
      </c>
      <c r="H37" s="31">
        <v>0</v>
      </c>
      <c r="I37" s="31">
        <v>165</v>
      </c>
      <c r="J37" s="31">
        <v>0</v>
      </c>
      <c r="K37" s="31">
        <v>2</v>
      </c>
      <c r="L37" s="31">
        <v>2</v>
      </c>
    </row>
    <row r="38" spans="1:12" x14ac:dyDescent="0.25">
      <c r="A38" s="31">
        <v>44</v>
      </c>
      <c r="B38" s="31" t="str">
        <f t="shared" si="1"/>
        <v>40-49</v>
      </c>
      <c r="C38" s="31">
        <v>1</v>
      </c>
      <c r="D38" s="31">
        <v>2</v>
      </c>
      <c r="E38" s="31">
        <v>140</v>
      </c>
      <c r="F38" s="31">
        <v>235</v>
      </c>
      <c r="G38" s="31">
        <v>0</v>
      </c>
      <c r="H38" s="31">
        <v>0</v>
      </c>
      <c r="I38" s="31">
        <v>180</v>
      </c>
      <c r="J38" s="31">
        <v>0</v>
      </c>
      <c r="K38" s="31">
        <v>2</v>
      </c>
      <c r="L38" s="31">
        <v>2</v>
      </c>
    </row>
    <row r="39" spans="1:12" x14ac:dyDescent="0.25">
      <c r="A39" s="30">
        <v>56</v>
      </c>
      <c r="B39" s="30" t="str">
        <f t="shared" si="1"/>
        <v>50-59</v>
      </c>
      <c r="C39" s="30">
        <v>0</v>
      </c>
      <c r="D39" s="30">
        <v>1</v>
      </c>
      <c r="E39" s="30">
        <v>140</v>
      </c>
      <c r="F39" s="30">
        <v>294</v>
      </c>
      <c r="G39" s="30">
        <v>0</v>
      </c>
      <c r="H39" s="30">
        <v>0</v>
      </c>
      <c r="I39" s="30">
        <v>153</v>
      </c>
      <c r="J39" s="30">
        <v>0</v>
      </c>
      <c r="K39" s="30">
        <v>1</v>
      </c>
      <c r="L39" s="30">
        <v>2</v>
      </c>
    </row>
    <row r="40" spans="1:12" x14ac:dyDescent="0.25">
      <c r="A40" s="30">
        <v>63</v>
      </c>
      <c r="B40" s="30" t="str">
        <f t="shared" si="1"/>
        <v>60-69</v>
      </c>
      <c r="C40" s="30">
        <v>0</v>
      </c>
      <c r="D40" s="30">
        <v>1</v>
      </c>
      <c r="E40" s="30">
        <v>140</v>
      </c>
      <c r="F40" s="30">
        <v>195</v>
      </c>
      <c r="G40" s="30">
        <v>0</v>
      </c>
      <c r="H40" s="30">
        <v>1</v>
      </c>
      <c r="I40" s="30">
        <v>179</v>
      </c>
      <c r="J40" s="30">
        <v>0</v>
      </c>
      <c r="K40" s="30">
        <v>2</v>
      </c>
      <c r="L40" s="30">
        <v>2</v>
      </c>
    </row>
    <row r="41" spans="1:12" x14ac:dyDescent="0.25">
      <c r="A41" s="30">
        <v>59</v>
      </c>
      <c r="B41" s="30" t="str">
        <f t="shared" si="1"/>
        <v>50-59</v>
      </c>
      <c r="C41" s="30">
        <v>1</v>
      </c>
      <c r="D41" s="30">
        <v>1</v>
      </c>
      <c r="E41" s="30">
        <v>140</v>
      </c>
      <c r="F41" s="30">
        <v>221</v>
      </c>
      <c r="G41" s="30">
        <v>0</v>
      </c>
      <c r="H41" s="30">
        <v>1</v>
      </c>
      <c r="I41" s="30">
        <v>164</v>
      </c>
      <c r="J41" s="30">
        <v>1</v>
      </c>
      <c r="K41" s="30">
        <v>2</v>
      </c>
      <c r="L41" s="30">
        <v>2</v>
      </c>
    </row>
    <row r="42" spans="1:12" x14ac:dyDescent="0.25">
      <c r="A42" s="30">
        <v>40</v>
      </c>
      <c r="B42" s="30" t="str">
        <f t="shared" si="1"/>
        <v>40-49</v>
      </c>
      <c r="C42" s="30">
        <v>1</v>
      </c>
      <c r="D42" s="30">
        <v>3</v>
      </c>
      <c r="E42" s="30">
        <v>140</v>
      </c>
      <c r="F42" s="30">
        <v>199</v>
      </c>
      <c r="G42" s="30">
        <v>0</v>
      </c>
      <c r="H42" s="30">
        <v>1</v>
      </c>
      <c r="I42" s="30">
        <v>178</v>
      </c>
      <c r="J42" s="30">
        <v>1</v>
      </c>
      <c r="K42" s="30">
        <v>2</v>
      </c>
      <c r="L42" s="30">
        <v>3</v>
      </c>
    </row>
    <row r="43" spans="1:12" x14ac:dyDescent="0.25">
      <c r="A43" s="30">
        <v>62</v>
      </c>
      <c r="B43" s="30" t="str">
        <f t="shared" si="1"/>
        <v>60-69</v>
      </c>
      <c r="C43" s="30">
        <v>0</v>
      </c>
      <c r="D43" s="30">
        <v>0</v>
      </c>
      <c r="E43" s="30">
        <v>140</v>
      </c>
      <c r="F43" s="30">
        <v>394</v>
      </c>
      <c r="G43" s="30">
        <v>0</v>
      </c>
      <c r="H43" s="30">
        <v>0</v>
      </c>
      <c r="I43" s="30">
        <v>157</v>
      </c>
      <c r="J43" s="30">
        <v>0</v>
      </c>
      <c r="K43" s="30">
        <v>1</v>
      </c>
      <c r="L43" s="30">
        <v>2</v>
      </c>
    </row>
    <row r="44" spans="1:12" x14ac:dyDescent="0.25">
      <c r="A44" s="31">
        <v>76</v>
      </c>
      <c r="B44" s="31" t="str">
        <f t="shared" si="1"/>
        <v>70+</v>
      </c>
      <c r="C44" s="31">
        <v>0</v>
      </c>
      <c r="D44" s="31">
        <v>2</v>
      </c>
      <c r="E44" s="31">
        <v>140</v>
      </c>
      <c r="F44" s="31">
        <v>197</v>
      </c>
      <c r="G44" s="31">
        <v>0</v>
      </c>
      <c r="H44" s="31">
        <v>2</v>
      </c>
      <c r="I44" s="31">
        <v>116</v>
      </c>
      <c r="J44" s="31">
        <v>0</v>
      </c>
      <c r="K44" s="31">
        <v>1</v>
      </c>
      <c r="L44" s="31">
        <v>2</v>
      </c>
    </row>
    <row r="45" spans="1:12" x14ac:dyDescent="0.25">
      <c r="A45" s="31">
        <v>64</v>
      </c>
      <c r="B45" s="31" t="str">
        <f t="shared" si="1"/>
        <v>60-69</v>
      </c>
      <c r="C45" s="31">
        <v>0</v>
      </c>
      <c r="D45" s="31">
        <v>2</v>
      </c>
      <c r="E45" s="31">
        <v>140</v>
      </c>
      <c r="F45" s="31">
        <v>313</v>
      </c>
      <c r="G45" s="31">
        <v>0</v>
      </c>
      <c r="H45" s="31">
        <v>1</v>
      </c>
      <c r="I45" s="31">
        <v>133</v>
      </c>
      <c r="J45" s="31">
        <v>0</v>
      </c>
      <c r="K45" s="31">
        <v>2</v>
      </c>
      <c r="L45" s="31">
        <v>3</v>
      </c>
    </row>
    <row r="46" spans="1:12" x14ac:dyDescent="0.25">
      <c r="A46" s="30">
        <v>45</v>
      </c>
      <c r="B46" s="30" t="str">
        <f t="shared" si="1"/>
        <v>40-49</v>
      </c>
      <c r="C46" s="30">
        <v>0</v>
      </c>
      <c r="D46" s="30">
        <v>0</v>
      </c>
      <c r="E46" s="30">
        <v>138</v>
      </c>
      <c r="F46" s="30">
        <v>236</v>
      </c>
      <c r="G46" s="30">
        <v>0</v>
      </c>
      <c r="H46" s="30">
        <v>0</v>
      </c>
      <c r="I46" s="30">
        <v>152</v>
      </c>
      <c r="J46" s="30">
        <v>1</v>
      </c>
      <c r="K46" s="30">
        <v>1</v>
      </c>
      <c r="L46" s="30">
        <v>2</v>
      </c>
    </row>
    <row r="47" spans="1:12" x14ac:dyDescent="0.25">
      <c r="A47" s="31">
        <v>59</v>
      </c>
      <c r="B47" s="31" t="str">
        <f t="shared" si="1"/>
        <v>50-59</v>
      </c>
      <c r="C47" s="31">
        <v>1</v>
      </c>
      <c r="D47" s="31">
        <v>0</v>
      </c>
      <c r="E47" s="31">
        <v>138</v>
      </c>
      <c r="F47" s="31">
        <v>271</v>
      </c>
      <c r="G47" s="31">
        <v>0</v>
      </c>
      <c r="H47" s="31">
        <v>0</v>
      </c>
      <c r="I47" s="31">
        <v>182</v>
      </c>
      <c r="J47" s="31">
        <v>0</v>
      </c>
      <c r="K47" s="31">
        <v>2</v>
      </c>
      <c r="L47" s="31">
        <v>2</v>
      </c>
    </row>
    <row r="48" spans="1:12" x14ac:dyDescent="0.25">
      <c r="A48" s="30">
        <v>35</v>
      </c>
      <c r="B48" s="30" t="str">
        <f t="shared" si="1"/>
        <v>30-39</v>
      </c>
      <c r="C48" s="30">
        <v>0</v>
      </c>
      <c r="D48" s="30">
        <v>0</v>
      </c>
      <c r="E48" s="30">
        <v>138</v>
      </c>
      <c r="F48" s="30">
        <v>183</v>
      </c>
      <c r="G48" s="30">
        <v>0</v>
      </c>
      <c r="H48" s="30">
        <v>1</v>
      </c>
      <c r="I48" s="30">
        <v>182</v>
      </c>
      <c r="J48" s="30">
        <v>0</v>
      </c>
      <c r="K48" s="30">
        <v>2</v>
      </c>
      <c r="L48" s="30">
        <v>2</v>
      </c>
    </row>
    <row r="49" spans="1:12" x14ac:dyDescent="0.25">
      <c r="A49" s="31">
        <v>53</v>
      </c>
      <c r="B49" s="31" t="str">
        <f t="shared" si="1"/>
        <v>50-59</v>
      </c>
      <c r="C49" s="31">
        <v>0</v>
      </c>
      <c r="D49" s="31">
        <v>0</v>
      </c>
      <c r="E49" s="31">
        <v>138</v>
      </c>
      <c r="F49" s="31">
        <v>234</v>
      </c>
      <c r="G49" s="31">
        <v>0</v>
      </c>
      <c r="H49" s="31">
        <v>0</v>
      </c>
      <c r="I49" s="31">
        <v>160</v>
      </c>
      <c r="J49" s="31">
        <v>0</v>
      </c>
      <c r="K49" s="31">
        <v>2</v>
      </c>
      <c r="L49" s="31">
        <v>2</v>
      </c>
    </row>
    <row r="50" spans="1:12" x14ac:dyDescent="0.25">
      <c r="A50" s="30">
        <v>38</v>
      </c>
      <c r="B50" s="30" t="str">
        <f t="shared" si="1"/>
        <v>30-39</v>
      </c>
      <c r="C50" s="30">
        <v>1</v>
      </c>
      <c r="D50" s="30">
        <v>2</v>
      </c>
      <c r="E50" s="30">
        <v>138</v>
      </c>
      <c r="F50" s="30">
        <v>175</v>
      </c>
      <c r="G50" s="30">
        <v>0</v>
      </c>
      <c r="H50" s="30">
        <v>1</v>
      </c>
      <c r="I50" s="30">
        <v>173</v>
      </c>
      <c r="J50" s="30">
        <v>0</v>
      </c>
      <c r="K50" s="30">
        <v>2</v>
      </c>
      <c r="L50" s="30">
        <v>2</v>
      </c>
    </row>
    <row r="51" spans="1:12" x14ac:dyDescent="0.25">
      <c r="A51" s="30">
        <v>47</v>
      </c>
      <c r="B51" s="30" t="str">
        <f t="shared" si="1"/>
        <v>40-49</v>
      </c>
      <c r="C51" s="30">
        <v>1</v>
      </c>
      <c r="D51" s="30">
        <v>2</v>
      </c>
      <c r="E51" s="30">
        <v>138</v>
      </c>
      <c r="F51" s="30">
        <v>257</v>
      </c>
      <c r="G51" s="30">
        <v>0</v>
      </c>
      <c r="H51" s="30">
        <v>0</v>
      </c>
      <c r="I51" s="30">
        <v>156</v>
      </c>
      <c r="J51" s="30">
        <v>0</v>
      </c>
      <c r="K51" s="30">
        <v>2</v>
      </c>
      <c r="L51" s="30">
        <v>2</v>
      </c>
    </row>
    <row r="52" spans="1:12" x14ac:dyDescent="0.25">
      <c r="A52" s="31">
        <v>39</v>
      </c>
      <c r="B52" s="31" t="str">
        <f t="shared" si="1"/>
        <v>30-39</v>
      </c>
      <c r="C52" s="31">
        <v>0</v>
      </c>
      <c r="D52" s="31">
        <v>2</v>
      </c>
      <c r="E52" s="31">
        <v>138</v>
      </c>
      <c r="F52" s="31">
        <v>220</v>
      </c>
      <c r="G52" s="31">
        <v>0</v>
      </c>
      <c r="H52" s="31">
        <v>1</v>
      </c>
      <c r="I52" s="31">
        <v>152</v>
      </c>
      <c r="J52" s="31">
        <v>0</v>
      </c>
      <c r="K52" s="31">
        <v>1</v>
      </c>
      <c r="L52" s="31">
        <v>2</v>
      </c>
    </row>
    <row r="53" spans="1:12" x14ac:dyDescent="0.25">
      <c r="A53" s="30">
        <v>46</v>
      </c>
      <c r="B53" s="30" t="str">
        <f t="shared" si="1"/>
        <v>40-49</v>
      </c>
      <c r="C53" s="30">
        <v>0</v>
      </c>
      <c r="D53" s="30">
        <v>0</v>
      </c>
      <c r="E53" s="30">
        <v>138</v>
      </c>
      <c r="F53" s="30">
        <v>243</v>
      </c>
      <c r="G53" s="30">
        <v>0</v>
      </c>
      <c r="H53" s="30">
        <v>0</v>
      </c>
      <c r="I53" s="30">
        <v>152</v>
      </c>
      <c r="J53" s="30">
        <v>1</v>
      </c>
      <c r="K53" s="30">
        <v>1</v>
      </c>
      <c r="L53" s="30">
        <v>2</v>
      </c>
    </row>
    <row r="54" spans="1:12" x14ac:dyDescent="0.25">
      <c r="A54" s="30">
        <v>52</v>
      </c>
      <c r="B54" s="30" t="str">
        <f t="shared" si="1"/>
        <v>50-59</v>
      </c>
      <c r="C54" s="30">
        <v>1</v>
      </c>
      <c r="D54" s="30">
        <v>2</v>
      </c>
      <c r="E54" s="30">
        <v>138</v>
      </c>
      <c r="F54" s="30">
        <v>223</v>
      </c>
      <c r="G54" s="30">
        <v>0</v>
      </c>
      <c r="H54" s="30">
        <v>1</v>
      </c>
      <c r="I54" s="30">
        <v>169</v>
      </c>
      <c r="J54" s="30">
        <v>0</v>
      </c>
      <c r="K54" s="30">
        <v>2</v>
      </c>
      <c r="L54" s="30">
        <v>2</v>
      </c>
    </row>
    <row r="55" spans="1:12" x14ac:dyDescent="0.25">
      <c r="A55" s="30">
        <v>52</v>
      </c>
      <c r="B55" s="30" t="str">
        <f t="shared" si="1"/>
        <v>50-59</v>
      </c>
      <c r="C55" s="30">
        <v>0</v>
      </c>
      <c r="D55" s="30">
        <v>2</v>
      </c>
      <c r="E55" s="30">
        <v>136</v>
      </c>
      <c r="F55" s="30">
        <v>196</v>
      </c>
      <c r="G55" s="30">
        <v>0</v>
      </c>
      <c r="H55" s="30">
        <v>0</v>
      </c>
      <c r="I55" s="30">
        <v>169</v>
      </c>
      <c r="J55" s="30">
        <v>0</v>
      </c>
      <c r="K55" s="30">
        <v>1</v>
      </c>
      <c r="L55" s="30">
        <v>2</v>
      </c>
    </row>
    <row r="56" spans="1:12" x14ac:dyDescent="0.25">
      <c r="A56" s="31">
        <v>54</v>
      </c>
      <c r="B56" s="31" t="str">
        <f t="shared" si="1"/>
        <v>50-59</v>
      </c>
      <c r="C56" s="31">
        <v>0</v>
      </c>
      <c r="D56" s="31">
        <v>2</v>
      </c>
      <c r="E56" s="31">
        <v>135</v>
      </c>
      <c r="F56" s="31">
        <v>304</v>
      </c>
      <c r="G56" s="31">
        <v>1</v>
      </c>
      <c r="H56" s="31">
        <v>1</v>
      </c>
      <c r="I56" s="31">
        <v>170</v>
      </c>
      <c r="J56" s="31">
        <v>0</v>
      </c>
      <c r="K56" s="31">
        <v>2</v>
      </c>
      <c r="L56" s="31">
        <v>2</v>
      </c>
    </row>
    <row r="57" spans="1:12" x14ac:dyDescent="0.25">
      <c r="A57" s="30">
        <v>59</v>
      </c>
      <c r="B57" s="30" t="str">
        <f t="shared" si="1"/>
        <v>50-59</v>
      </c>
      <c r="C57" s="30">
        <v>1</v>
      </c>
      <c r="D57" s="30">
        <v>0</v>
      </c>
      <c r="E57" s="30">
        <v>135</v>
      </c>
      <c r="F57" s="30">
        <v>234</v>
      </c>
      <c r="G57" s="30">
        <v>0</v>
      </c>
      <c r="H57" s="30">
        <v>1</v>
      </c>
      <c r="I57" s="30">
        <v>161</v>
      </c>
      <c r="J57" s="30">
        <v>0</v>
      </c>
      <c r="K57" s="30">
        <v>1</v>
      </c>
      <c r="L57" s="30">
        <v>3</v>
      </c>
    </row>
    <row r="58" spans="1:12" x14ac:dyDescent="0.25">
      <c r="A58" s="31">
        <v>63</v>
      </c>
      <c r="B58" s="31" t="str">
        <f t="shared" si="1"/>
        <v>60-69</v>
      </c>
      <c r="C58" s="31">
        <v>0</v>
      </c>
      <c r="D58" s="31">
        <v>2</v>
      </c>
      <c r="E58" s="31">
        <v>135</v>
      </c>
      <c r="F58" s="31">
        <v>252</v>
      </c>
      <c r="G58" s="31">
        <v>0</v>
      </c>
      <c r="H58" s="31">
        <v>0</v>
      </c>
      <c r="I58" s="31">
        <v>172</v>
      </c>
      <c r="J58" s="31">
        <v>0</v>
      </c>
      <c r="K58" s="31">
        <v>2</v>
      </c>
      <c r="L58" s="31">
        <v>2</v>
      </c>
    </row>
    <row r="59" spans="1:12" x14ac:dyDescent="0.25">
      <c r="A59" s="31">
        <v>41</v>
      </c>
      <c r="B59" s="31" t="str">
        <f t="shared" si="1"/>
        <v>40-49</v>
      </c>
      <c r="C59" s="31">
        <v>1</v>
      </c>
      <c r="D59" s="31">
        <v>1</v>
      </c>
      <c r="E59" s="31">
        <v>135</v>
      </c>
      <c r="F59" s="31">
        <v>203</v>
      </c>
      <c r="G59" s="31">
        <v>0</v>
      </c>
      <c r="H59" s="31">
        <v>1</v>
      </c>
      <c r="I59" s="31">
        <v>132</v>
      </c>
      <c r="J59" s="31">
        <v>0</v>
      </c>
      <c r="K59" s="31">
        <v>1</v>
      </c>
      <c r="L59" s="31">
        <v>1</v>
      </c>
    </row>
    <row r="60" spans="1:12" x14ac:dyDescent="0.25">
      <c r="A60" s="30">
        <v>55</v>
      </c>
      <c r="B60" s="30" t="str">
        <f t="shared" si="1"/>
        <v>50-59</v>
      </c>
      <c r="C60" s="30">
        <v>0</v>
      </c>
      <c r="D60" s="30">
        <v>1</v>
      </c>
      <c r="E60" s="30">
        <v>135</v>
      </c>
      <c r="F60" s="30">
        <v>250</v>
      </c>
      <c r="G60" s="30">
        <v>0</v>
      </c>
      <c r="H60" s="30">
        <v>0</v>
      </c>
      <c r="I60" s="30">
        <v>161</v>
      </c>
      <c r="J60" s="30">
        <v>0</v>
      </c>
      <c r="K60" s="30">
        <v>1</v>
      </c>
      <c r="L60" s="30">
        <v>2</v>
      </c>
    </row>
    <row r="61" spans="1:12" x14ac:dyDescent="0.25">
      <c r="A61" s="31">
        <v>49</v>
      </c>
      <c r="B61" s="31" t="str">
        <f t="shared" si="1"/>
        <v>40-49</v>
      </c>
      <c r="C61" s="31">
        <v>0</v>
      </c>
      <c r="D61" s="31">
        <v>1</v>
      </c>
      <c r="E61" s="31">
        <v>134</v>
      </c>
      <c r="F61" s="31">
        <v>271</v>
      </c>
      <c r="G61" s="31">
        <v>0</v>
      </c>
      <c r="H61" s="31">
        <v>1</v>
      </c>
      <c r="I61" s="31">
        <v>162</v>
      </c>
      <c r="J61" s="31">
        <v>0</v>
      </c>
      <c r="K61" s="31">
        <v>1</v>
      </c>
      <c r="L61" s="31">
        <v>2</v>
      </c>
    </row>
    <row r="62" spans="1:12" x14ac:dyDescent="0.25">
      <c r="A62" s="30">
        <v>52</v>
      </c>
      <c r="B62" s="30" t="str">
        <f t="shared" si="1"/>
        <v>50-59</v>
      </c>
      <c r="C62" s="30">
        <v>1</v>
      </c>
      <c r="D62" s="30">
        <v>1</v>
      </c>
      <c r="E62" s="30">
        <v>134</v>
      </c>
      <c r="F62" s="30">
        <v>201</v>
      </c>
      <c r="G62" s="30">
        <v>0</v>
      </c>
      <c r="H62" s="30">
        <v>1</v>
      </c>
      <c r="I62" s="30">
        <v>158</v>
      </c>
      <c r="J62" s="30">
        <v>0</v>
      </c>
      <c r="K62" s="30">
        <v>2</v>
      </c>
      <c r="L62" s="30">
        <v>2</v>
      </c>
    </row>
    <row r="63" spans="1:12" x14ac:dyDescent="0.25">
      <c r="A63" s="30">
        <v>57</v>
      </c>
      <c r="B63" s="30" t="str">
        <f t="shared" si="1"/>
        <v>50-59</v>
      </c>
      <c r="C63" s="30">
        <v>1</v>
      </c>
      <c r="D63" s="30">
        <v>0</v>
      </c>
      <c r="E63" s="30">
        <v>132</v>
      </c>
      <c r="F63" s="30">
        <v>207</v>
      </c>
      <c r="G63" s="30">
        <v>0</v>
      </c>
      <c r="H63" s="30">
        <v>1</v>
      </c>
      <c r="I63" s="30">
        <v>168</v>
      </c>
      <c r="J63" s="30">
        <v>1</v>
      </c>
      <c r="K63" s="30">
        <v>2</v>
      </c>
      <c r="L63" s="30">
        <v>3</v>
      </c>
    </row>
    <row r="64" spans="1:12" x14ac:dyDescent="0.25">
      <c r="A64" s="31">
        <v>54</v>
      </c>
      <c r="B64" s="31" t="str">
        <f t="shared" si="1"/>
        <v>50-59</v>
      </c>
      <c r="C64" s="31">
        <v>0</v>
      </c>
      <c r="D64" s="31">
        <v>1</v>
      </c>
      <c r="E64" s="31">
        <v>132</v>
      </c>
      <c r="F64" s="31">
        <v>288</v>
      </c>
      <c r="G64" s="31">
        <v>1</v>
      </c>
      <c r="H64" s="31">
        <v>0</v>
      </c>
      <c r="I64" s="31">
        <v>159</v>
      </c>
      <c r="J64" s="31">
        <v>1</v>
      </c>
      <c r="K64" s="31">
        <v>2</v>
      </c>
      <c r="L64" s="31">
        <v>2</v>
      </c>
    </row>
    <row r="65" spans="1:12" x14ac:dyDescent="0.25">
      <c r="A65" s="30">
        <v>55</v>
      </c>
      <c r="B65" s="30" t="str">
        <f t="shared" si="1"/>
        <v>50-59</v>
      </c>
      <c r="C65" s="30">
        <v>0</v>
      </c>
      <c r="D65" s="30">
        <v>1</v>
      </c>
      <c r="E65" s="30">
        <v>132</v>
      </c>
      <c r="F65" s="30">
        <v>342</v>
      </c>
      <c r="G65" s="30">
        <v>0</v>
      </c>
      <c r="H65" s="30">
        <v>1</v>
      </c>
      <c r="I65" s="30">
        <v>166</v>
      </c>
      <c r="J65" s="30">
        <v>0</v>
      </c>
      <c r="K65" s="30">
        <v>2</v>
      </c>
      <c r="L65" s="30">
        <v>2</v>
      </c>
    </row>
    <row r="66" spans="1:12" x14ac:dyDescent="0.25">
      <c r="A66" s="31">
        <v>49</v>
      </c>
      <c r="B66" s="31" t="str">
        <f t="shared" ref="B66:B97" si="2">IF(A66&lt;30,"20-29",IF(A66&lt;40,"30-39",IF(A66&lt;50,"40-49",IF(A66&lt;60,"50-59",IF(A66&lt;70,"60-69",IF(A66&lt;80,"70+"))))))</f>
        <v>40-49</v>
      </c>
      <c r="C66" s="31">
        <v>0</v>
      </c>
      <c r="D66" s="31">
        <v>0</v>
      </c>
      <c r="E66" s="31">
        <v>130</v>
      </c>
      <c r="F66" s="31">
        <v>269</v>
      </c>
      <c r="G66" s="31">
        <v>0</v>
      </c>
      <c r="H66" s="31">
        <v>1</v>
      </c>
      <c r="I66" s="31">
        <v>163</v>
      </c>
      <c r="J66" s="31">
        <v>0</v>
      </c>
      <c r="K66" s="31">
        <v>2</v>
      </c>
      <c r="L66" s="31">
        <v>2</v>
      </c>
    </row>
    <row r="67" spans="1:12" x14ac:dyDescent="0.25">
      <c r="A67" s="30">
        <v>62</v>
      </c>
      <c r="B67" s="30" t="str">
        <f t="shared" si="2"/>
        <v>60-69</v>
      </c>
      <c r="C67" s="30">
        <v>1</v>
      </c>
      <c r="D67" s="30">
        <v>2</v>
      </c>
      <c r="E67" s="30">
        <v>130</v>
      </c>
      <c r="F67" s="30">
        <v>231</v>
      </c>
      <c r="G67" s="30">
        <v>0</v>
      </c>
      <c r="H67" s="30">
        <v>1</v>
      </c>
      <c r="I67" s="30">
        <v>146</v>
      </c>
      <c r="J67" s="30">
        <v>0</v>
      </c>
      <c r="K67" s="30">
        <v>1</v>
      </c>
      <c r="L67" s="30">
        <v>3</v>
      </c>
    </row>
    <row r="68" spans="1:12" x14ac:dyDescent="0.25">
      <c r="A68" s="31">
        <v>53</v>
      </c>
      <c r="B68" s="31" t="str">
        <f t="shared" si="2"/>
        <v>50-59</v>
      </c>
      <c r="C68" s="31">
        <v>0</v>
      </c>
      <c r="D68" s="31">
        <v>0</v>
      </c>
      <c r="E68" s="31">
        <v>130</v>
      </c>
      <c r="F68" s="31">
        <v>264</v>
      </c>
      <c r="G68" s="31">
        <v>0</v>
      </c>
      <c r="H68" s="31">
        <v>0</v>
      </c>
      <c r="I68" s="31">
        <v>143</v>
      </c>
      <c r="J68" s="31">
        <v>0</v>
      </c>
      <c r="K68" s="31">
        <v>1</v>
      </c>
      <c r="L68" s="31">
        <v>2</v>
      </c>
    </row>
    <row r="69" spans="1:12" x14ac:dyDescent="0.25">
      <c r="A69" s="31">
        <v>43</v>
      </c>
      <c r="B69" s="31" t="str">
        <f t="shared" si="2"/>
        <v>40-49</v>
      </c>
      <c r="C69" s="31">
        <v>1</v>
      </c>
      <c r="D69" s="31">
        <v>2</v>
      </c>
      <c r="E69" s="31">
        <v>130</v>
      </c>
      <c r="F69" s="31">
        <v>315</v>
      </c>
      <c r="G69" s="31">
        <v>0</v>
      </c>
      <c r="H69" s="31">
        <v>1</v>
      </c>
      <c r="I69" s="31">
        <v>162</v>
      </c>
      <c r="J69" s="31">
        <v>0</v>
      </c>
      <c r="K69" s="31">
        <v>2</v>
      </c>
      <c r="L69" s="31">
        <v>2</v>
      </c>
    </row>
    <row r="70" spans="1:12" x14ac:dyDescent="0.25">
      <c r="A70" s="31">
        <v>42</v>
      </c>
      <c r="B70" s="31" t="str">
        <f t="shared" si="2"/>
        <v>40-49</v>
      </c>
      <c r="C70" s="31">
        <v>1</v>
      </c>
      <c r="D70" s="31">
        <v>2</v>
      </c>
      <c r="E70" s="31">
        <v>130</v>
      </c>
      <c r="F70" s="31">
        <v>180</v>
      </c>
      <c r="G70" s="31">
        <v>0</v>
      </c>
      <c r="H70" s="31">
        <v>1</v>
      </c>
      <c r="I70" s="31">
        <v>150</v>
      </c>
      <c r="J70" s="31">
        <v>0</v>
      </c>
      <c r="K70" s="31">
        <v>2</v>
      </c>
      <c r="L70" s="31">
        <v>2</v>
      </c>
    </row>
    <row r="71" spans="1:12" x14ac:dyDescent="0.25">
      <c r="A71" s="30">
        <v>47</v>
      </c>
      <c r="B71" s="30" t="str">
        <f t="shared" si="2"/>
        <v>40-49</v>
      </c>
      <c r="C71" s="30">
        <v>1</v>
      </c>
      <c r="D71" s="30">
        <v>2</v>
      </c>
      <c r="E71" s="30">
        <v>130</v>
      </c>
      <c r="F71" s="30">
        <v>253</v>
      </c>
      <c r="G71" s="30">
        <v>0</v>
      </c>
      <c r="H71" s="30">
        <v>1</v>
      </c>
      <c r="I71" s="30">
        <v>179</v>
      </c>
      <c r="J71" s="30">
        <v>0</v>
      </c>
      <c r="K71" s="30">
        <v>2</v>
      </c>
      <c r="L71" s="30">
        <v>2</v>
      </c>
    </row>
    <row r="72" spans="1:12" x14ac:dyDescent="0.25">
      <c r="A72" s="30">
        <v>55</v>
      </c>
      <c r="B72" s="30" t="str">
        <f t="shared" si="2"/>
        <v>50-59</v>
      </c>
      <c r="C72" s="30">
        <v>1</v>
      </c>
      <c r="D72" s="30">
        <v>1</v>
      </c>
      <c r="E72" s="30">
        <v>130</v>
      </c>
      <c r="F72" s="30">
        <v>262</v>
      </c>
      <c r="G72" s="30">
        <v>0</v>
      </c>
      <c r="H72" s="30">
        <v>1</v>
      </c>
      <c r="I72" s="30">
        <v>155</v>
      </c>
      <c r="J72" s="30">
        <v>0</v>
      </c>
      <c r="K72" s="30">
        <v>2</v>
      </c>
      <c r="L72" s="30">
        <v>2</v>
      </c>
    </row>
    <row r="73" spans="1:12" x14ac:dyDescent="0.25">
      <c r="A73" s="30">
        <v>48</v>
      </c>
      <c r="B73" s="30" t="str">
        <f t="shared" si="2"/>
        <v>40-49</v>
      </c>
      <c r="C73" s="30">
        <v>0</v>
      </c>
      <c r="D73" s="30">
        <v>2</v>
      </c>
      <c r="E73" s="30">
        <v>130</v>
      </c>
      <c r="F73" s="30">
        <v>275</v>
      </c>
      <c r="G73" s="30">
        <v>0</v>
      </c>
      <c r="H73" s="30">
        <v>1</v>
      </c>
      <c r="I73" s="30">
        <v>139</v>
      </c>
      <c r="J73" s="30">
        <v>0</v>
      </c>
      <c r="K73" s="30">
        <v>2</v>
      </c>
      <c r="L73" s="30">
        <v>2</v>
      </c>
    </row>
    <row r="74" spans="1:12" x14ac:dyDescent="0.25">
      <c r="A74" s="30">
        <v>37</v>
      </c>
      <c r="B74" s="30" t="str">
        <f t="shared" si="2"/>
        <v>30-39</v>
      </c>
      <c r="C74" s="30">
        <v>1</v>
      </c>
      <c r="D74" s="30">
        <v>2</v>
      </c>
      <c r="E74" s="30">
        <v>130</v>
      </c>
      <c r="F74" s="30">
        <v>250</v>
      </c>
      <c r="G74" s="30">
        <v>0</v>
      </c>
      <c r="H74" s="30">
        <v>1</v>
      </c>
      <c r="I74" s="30">
        <v>187</v>
      </c>
      <c r="J74" s="30">
        <v>0</v>
      </c>
      <c r="K74" s="30">
        <v>0</v>
      </c>
      <c r="L74" s="30">
        <v>2</v>
      </c>
    </row>
    <row r="75" spans="1:12" x14ac:dyDescent="0.25">
      <c r="A75" s="31">
        <v>44</v>
      </c>
      <c r="B75" s="31" t="str">
        <f t="shared" si="2"/>
        <v>40-49</v>
      </c>
      <c r="C75" s="31">
        <v>1</v>
      </c>
      <c r="D75" s="31">
        <v>2</v>
      </c>
      <c r="E75" s="31">
        <v>130</v>
      </c>
      <c r="F75" s="31">
        <v>233</v>
      </c>
      <c r="G75" s="31">
        <v>0</v>
      </c>
      <c r="H75" s="31">
        <v>1</v>
      </c>
      <c r="I75" s="31">
        <v>179</v>
      </c>
      <c r="J75" s="31">
        <v>1</v>
      </c>
      <c r="K75" s="31">
        <v>2</v>
      </c>
      <c r="L75" s="31">
        <v>2</v>
      </c>
    </row>
    <row r="76" spans="1:12" x14ac:dyDescent="0.25">
      <c r="A76" s="30">
        <v>58</v>
      </c>
      <c r="B76" s="30" t="str">
        <f t="shared" si="2"/>
        <v>50-59</v>
      </c>
      <c r="C76" s="30">
        <v>0</v>
      </c>
      <c r="D76" s="30">
        <v>0</v>
      </c>
      <c r="E76" s="30">
        <v>130</v>
      </c>
      <c r="F76" s="30">
        <v>197</v>
      </c>
      <c r="G76" s="30">
        <v>0</v>
      </c>
      <c r="H76" s="30">
        <v>1</v>
      </c>
      <c r="I76" s="30">
        <v>131</v>
      </c>
      <c r="J76" s="30">
        <v>0</v>
      </c>
      <c r="K76" s="30">
        <v>1</v>
      </c>
      <c r="L76" s="30">
        <v>2</v>
      </c>
    </row>
    <row r="77" spans="1:12" x14ac:dyDescent="0.25">
      <c r="A77" s="30">
        <v>64</v>
      </c>
      <c r="B77" s="30" t="str">
        <f t="shared" si="2"/>
        <v>60-69</v>
      </c>
      <c r="C77" s="30">
        <v>0</v>
      </c>
      <c r="D77" s="30">
        <v>0</v>
      </c>
      <c r="E77" s="30">
        <v>130</v>
      </c>
      <c r="F77" s="30">
        <v>303</v>
      </c>
      <c r="G77" s="30">
        <v>0</v>
      </c>
      <c r="H77" s="30">
        <v>1</v>
      </c>
      <c r="I77" s="30">
        <v>122</v>
      </c>
      <c r="J77" s="30">
        <v>0</v>
      </c>
      <c r="K77" s="30">
        <v>1</v>
      </c>
      <c r="L77" s="30">
        <v>2</v>
      </c>
    </row>
    <row r="78" spans="1:12" x14ac:dyDescent="0.25">
      <c r="A78" s="31">
        <v>56</v>
      </c>
      <c r="B78" s="31" t="str">
        <f t="shared" si="2"/>
        <v>50-59</v>
      </c>
      <c r="C78" s="31">
        <v>1</v>
      </c>
      <c r="D78" s="31">
        <v>1</v>
      </c>
      <c r="E78" s="31">
        <v>130</v>
      </c>
      <c r="F78" s="31">
        <v>221</v>
      </c>
      <c r="G78" s="31">
        <v>0</v>
      </c>
      <c r="H78" s="31">
        <v>0</v>
      </c>
      <c r="I78" s="31">
        <v>163</v>
      </c>
      <c r="J78" s="31">
        <v>0</v>
      </c>
      <c r="K78" s="31">
        <v>2</v>
      </c>
      <c r="L78" s="31">
        <v>3</v>
      </c>
    </row>
    <row r="79" spans="1:12" x14ac:dyDescent="0.25">
      <c r="A79" s="30">
        <v>51</v>
      </c>
      <c r="B79" s="30" t="str">
        <f t="shared" si="2"/>
        <v>50-59</v>
      </c>
      <c r="C79" s="30">
        <v>0</v>
      </c>
      <c r="D79" s="30">
        <v>2</v>
      </c>
      <c r="E79" s="30">
        <v>130</v>
      </c>
      <c r="F79" s="30">
        <v>256</v>
      </c>
      <c r="G79" s="30">
        <v>0</v>
      </c>
      <c r="H79" s="30">
        <v>0</v>
      </c>
      <c r="I79" s="30">
        <v>149</v>
      </c>
      <c r="J79" s="30">
        <v>0</v>
      </c>
      <c r="K79" s="30">
        <v>2</v>
      </c>
      <c r="L79" s="30">
        <v>2</v>
      </c>
    </row>
    <row r="80" spans="1:12" x14ac:dyDescent="0.25">
      <c r="A80" s="30">
        <v>48</v>
      </c>
      <c r="B80" s="30" t="str">
        <f t="shared" si="2"/>
        <v>40-49</v>
      </c>
      <c r="C80" s="30">
        <v>1</v>
      </c>
      <c r="D80" s="30">
        <v>1</v>
      </c>
      <c r="E80" s="30">
        <v>130</v>
      </c>
      <c r="F80" s="30">
        <v>245</v>
      </c>
      <c r="G80" s="30">
        <v>0</v>
      </c>
      <c r="H80" s="30">
        <v>0</v>
      </c>
      <c r="I80" s="30">
        <v>180</v>
      </c>
      <c r="J80" s="30">
        <v>0</v>
      </c>
      <c r="K80" s="30">
        <v>1</v>
      </c>
      <c r="L80" s="30">
        <v>2</v>
      </c>
    </row>
    <row r="81" spans="1:12" x14ac:dyDescent="0.25">
      <c r="A81" s="30">
        <v>41</v>
      </c>
      <c r="B81" s="30" t="str">
        <f t="shared" si="2"/>
        <v>40-49</v>
      </c>
      <c r="C81" s="30">
        <v>1</v>
      </c>
      <c r="D81" s="30">
        <v>2</v>
      </c>
      <c r="E81" s="30">
        <v>130</v>
      </c>
      <c r="F81" s="30">
        <v>214</v>
      </c>
      <c r="G81" s="30">
        <v>0</v>
      </c>
      <c r="H81" s="30">
        <v>0</v>
      </c>
      <c r="I81" s="30">
        <v>168</v>
      </c>
      <c r="J81" s="30">
        <v>0</v>
      </c>
      <c r="K81" s="30">
        <v>1</v>
      </c>
      <c r="L81" s="30">
        <v>2</v>
      </c>
    </row>
    <row r="82" spans="1:12" x14ac:dyDescent="0.25">
      <c r="A82" s="30">
        <v>29</v>
      </c>
      <c r="B82" s="30" t="str">
        <f t="shared" si="2"/>
        <v>20-29</v>
      </c>
      <c r="C82" s="30">
        <v>1</v>
      </c>
      <c r="D82" s="30">
        <v>1</v>
      </c>
      <c r="E82" s="30">
        <v>130</v>
      </c>
      <c r="F82" s="30">
        <v>204</v>
      </c>
      <c r="G82" s="30">
        <v>0</v>
      </c>
      <c r="H82" s="30">
        <v>0</v>
      </c>
      <c r="I82" s="30">
        <v>202</v>
      </c>
      <c r="J82" s="30">
        <v>0</v>
      </c>
      <c r="K82" s="30">
        <v>2</v>
      </c>
      <c r="L82" s="30">
        <v>2</v>
      </c>
    </row>
    <row r="83" spans="1:12" x14ac:dyDescent="0.25">
      <c r="A83" s="30">
        <v>45</v>
      </c>
      <c r="B83" s="30" t="str">
        <f t="shared" si="2"/>
        <v>40-49</v>
      </c>
      <c r="C83" s="30">
        <v>0</v>
      </c>
      <c r="D83" s="30">
        <v>1</v>
      </c>
      <c r="E83" s="30">
        <v>130</v>
      </c>
      <c r="F83" s="30">
        <v>234</v>
      </c>
      <c r="G83" s="30">
        <v>0</v>
      </c>
      <c r="H83" s="30">
        <v>0</v>
      </c>
      <c r="I83" s="30">
        <v>175</v>
      </c>
      <c r="J83" s="30">
        <v>0</v>
      </c>
      <c r="K83" s="30">
        <v>1</v>
      </c>
      <c r="L83" s="30">
        <v>2</v>
      </c>
    </row>
    <row r="84" spans="1:12" x14ac:dyDescent="0.25">
      <c r="A84" s="31">
        <v>49</v>
      </c>
      <c r="B84" s="31" t="str">
        <f t="shared" si="2"/>
        <v>40-49</v>
      </c>
      <c r="C84" s="31">
        <v>1</v>
      </c>
      <c r="D84" s="31">
        <v>1</v>
      </c>
      <c r="E84" s="31">
        <v>130</v>
      </c>
      <c r="F84" s="31">
        <v>266</v>
      </c>
      <c r="G84" s="31">
        <v>0</v>
      </c>
      <c r="H84" s="31">
        <v>1</v>
      </c>
      <c r="I84" s="31">
        <v>171</v>
      </c>
      <c r="J84" s="31">
        <v>0</v>
      </c>
      <c r="K84" s="31">
        <v>2</v>
      </c>
      <c r="L84" s="31">
        <v>2</v>
      </c>
    </row>
    <row r="85" spans="1:12" x14ac:dyDescent="0.25">
      <c r="A85" s="30">
        <v>53</v>
      </c>
      <c r="B85" s="30" t="str">
        <f t="shared" si="2"/>
        <v>50-59</v>
      </c>
      <c r="C85" s="30">
        <v>1</v>
      </c>
      <c r="D85" s="30">
        <v>2</v>
      </c>
      <c r="E85" s="30">
        <v>130</v>
      </c>
      <c r="F85" s="30">
        <v>197</v>
      </c>
      <c r="G85" s="30">
        <v>1</v>
      </c>
      <c r="H85" s="30">
        <v>0</v>
      </c>
      <c r="I85" s="30">
        <v>152</v>
      </c>
      <c r="J85" s="30">
        <v>0</v>
      </c>
      <c r="K85" s="30">
        <v>0</v>
      </c>
      <c r="L85" s="30">
        <v>2</v>
      </c>
    </row>
    <row r="86" spans="1:12" x14ac:dyDescent="0.25">
      <c r="A86" s="30">
        <v>41</v>
      </c>
      <c r="B86" s="30" t="str">
        <f t="shared" si="2"/>
        <v>40-49</v>
      </c>
      <c r="C86" s="30">
        <v>0</v>
      </c>
      <c r="D86" s="30">
        <v>1</v>
      </c>
      <c r="E86" s="30">
        <v>130</v>
      </c>
      <c r="F86" s="30">
        <v>204</v>
      </c>
      <c r="G86" s="30">
        <v>0</v>
      </c>
      <c r="H86" s="30">
        <v>0</v>
      </c>
      <c r="I86" s="30">
        <v>172</v>
      </c>
      <c r="J86" s="30">
        <v>0</v>
      </c>
      <c r="K86" s="30">
        <v>2</v>
      </c>
      <c r="L86" s="30">
        <v>2</v>
      </c>
    </row>
    <row r="87" spans="1:12" x14ac:dyDescent="0.25">
      <c r="A87" s="30">
        <v>44</v>
      </c>
      <c r="B87" s="30" t="str">
        <f t="shared" si="2"/>
        <v>40-49</v>
      </c>
      <c r="C87" s="30">
        <v>1</v>
      </c>
      <c r="D87" s="30">
        <v>1</v>
      </c>
      <c r="E87" s="30">
        <v>130</v>
      </c>
      <c r="F87" s="30">
        <v>219</v>
      </c>
      <c r="G87" s="30">
        <v>0</v>
      </c>
      <c r="H87" s="30">
        <v>0</v>
      </c>
      <c r="I87" s="30">
        <v>188</v>
      </c>
      <c r="J87" s="30">
        <v>0</v>
      </c>
      <c r="K87" s="30">
        <v>2</v>
      </c>
      <c r="L87" s="30">
        <v>2</v>
      </c>
    </row>
    <row r="88" spans="1:12" x14ac:dyDescent="0.25">
      <c r="A88" s="30">
        <v>53</v>
      </c>
      <c r="B88" s="30" t="str">
        <f t="shared" si="2"/>
        <v>50-59</v>
      </c>
      <c r="C88" s="30">
        <v>1</v>
      </c>
      <c r="D88" s="30">
        <v>2</v>
      </c>
      <c r="E88" s="30">
        <v>130</v>
      </c>
      <c r="F88" s="30">
        <v>246</v>
      </c>
      <c r="G88" s="30">
        <v>1</v>
      </c>
      <c r="H88" s="30">
        <v>0</v>
      </c>
      <c r="I88" s="30">
        <v>173</v>
      </c>
      <c r="J88" s="30">
        <v>0</v>
      </c>
      <c r="K88" s="30">
        <v>2</v>
      </c>
      <c r="L88" s="30">
        <v>2</v>
      </c>
    </row>
    <row r="89" spans="1:12" x14ac:dyDescent="0.25">
      <c r="A89" s="30">
        <v>50</v>
      </c>
      <c r="B89" s="30" t="str">
        <f t="shared" si="2"/>
        <v>50-59</v>
      </c>
      <c r="C89" s="30">
        <v>1</v>
      </c>
      <c r="D89" s="30">
        <v>2</v>
      </c>
      <c r="E89" s="30">
        <v>129</v>
      </c>
      <c r="F89" s="30">
        <v>196</v>
      </c>
      <c r="G89" s="30">
        <v>0</v>
      </c>
      <c r="H89" s="30">
        <v>1</v>
      </c>
      <c r="I89" s="30">
        <v>163</v>
      </c>
      <c r="J89" s="30">
        <v>0</v>
      </c>
      <c r="K89" s="30">
        <v>2</v>
      </c>
      <c r="L89" s="30">
        <v>2</v>
      </c>
    </row>
    <row r="90" spans="1:12" x14ac:dyDescent="0.25">
      <c r="A90" s="30">
        <v>57</v>
      </c>
      <c r="B90" s="30" t="str">
        <f t="shared" si="2"/>
        <v>50-59</v>
      </c>
      <c r="C90" s="30">
        <v>0</v>
      </c>
      <c r="D90" s="30">
        <v>0</v>
      </c>
      <c r="E90" s="30">
        <v>128</v>
      </c>
      <c r="F90" s="30">
        <v>303</v>
      </c>
      <c r="G90" s="30">
        <v>0</v>
      </c>
      <c r="H90" s="30">
        <v>0</v>
      </c>
      <c r="I90" s="30">
        <v>159</v>
      </c>
      <c r="J90" s="30">
        <v>0</v>
      </c>
      <c r="K90" s="30">
        <v>2</v>
      </c>
      <c r="L90" s="30">
        <v>2</v>
      </c>
    </row>
    <row r="91" spans="1:12" x14ac:dyDescent="0.25">
      <c r="A91" s="30">
        <v>62</v>
      </c>
      <c r="B91" s="30" t="str">
        <f t="shared" si="2"/>
        <v>60-69</v>
      </c>
      <c r="C91" s="30">
        <v>1</v>
      </c>
      <c r="D91" s="30">
        <v>1</v>
      </c>
      <c r="E91" s="30">
        <v>128</v>
      </c>
      <c r="F91" s="30">
        <v>208</v>
      </c>
      <c r="G91" s="30">
        <v>1</v>
      </c>
      <c r="H91" s="30">
        <v>0</v>
      </c>
      <c r="I91" s="30">
        <v>140</v>
      </c>
      <c r="J91" s="30">
        <v>0</v>
      </c>
      <c r="K91" s="30">
        <v>2</v>
      </c>
      <c r="L91" s="30">
        <v>2</v>
      </c>
    </row>
    <row r="92" spans="1:12" x14ac:dyDescent="0.25">
      <c r="A92" s="31">
        <v>64</v>
      </c>
      <c r="B92" s="31" t="str">
        <f t="shared" si="2"/>
        <v>60-69</v>
      </c>
      <c r="C92" s="31">
        <v>1</v>
      </c>
      <c r="D92" s="31">
        <v>0</v>
      </c>
      <c r="E92" s="31">
        <v>128</v>
      </c>
      <c r="F92" s="31">
        <v>263</v>
      </c>
      <c r="G92" s="31">
        <v>0</v>
      </c>
      <c r="H92" s="31">
        <v>1</v>
      </c>
      <c r="I92" s="31">
        <v>105</v>
      </c>
      <c r="J92" s="31">
        <v>1</v>
      </c>
      <c r="K92" s="31">
        <v>1</v>
      </c>
      <c r="L92" s="31">
        <v>3</v>
      </c>
    </row>
    <row r="93" spans="1:12" x14ac:dyDescent="0.25">
      <c r="A93" s="31">
        <v>52</v>
      </c>
      <c r="B93" s="31" t="str">
        <f t="shared" si="2"/>
        <v>50-59</v>
      </c>
      <c r="C93" s="31">
        <v>1</v>
      </c>
      <c r="D93" s="31">
        <v>1</v>
      </c>
      <c r="E93" s="31">
        <v>128</v>
      </c>
      <c r="F93" s="31">
        <v>205</v>
      </c>
      <c r="G93" s="31">
        <v>1</v>
      </c>
      <c r="H93" s="31">
        <v>1</v>
      </c>
      <c r="I93" s="31">
        <v>184</v>
      </c>
      <c r="J93" s="31">
        <v>0</v>
      </c>
      <c r="K93" s="31">
        <v>2</v>
      </c>
      <c r="L93" s="31">
        <v>2</v>
      </c>
    </row>
    <row r="94" spans="1:12" x14ac:dyDescent="0.25">
      <c r="A94" s="31">
        <v>53</v>
      </c>
      <c r="B94" s="31" t="str">
        <f t="shared" si="2"/>
        <v>50-59</v>
      </c>
      <c r="C94" s="31">
        <v>0</v>
      </c>
      <c r="D94" s="31">
        <v>2</v>
      </c>
      <c r="E94" s="31">
        <v>128</v>
      </c>
      <c r="F94" s="31">
        <v>216</v>
      </c>
      <c r="G94" s="31">
        <v>0</v>
      </c>
      <c r="H94" s="31">
        <v>0</v>
      </c>
      <c r="I94" s="31">
        <v>115</v>
      </c>
      <c r="J94" s="31">
        <v>0</v>
      </c>
      <c r="K94" s="31">
        <v>2</v>
      </c>
      <c r="L94" s="31">
        <v>0</v>
      </c>
    </row>
    <row r="95" spans="1:12" x14ac:dyDescent="0.25">
      <c r="A95" s="31">
        <v>45</v>
      </c>
      <c r="B95" s="31" t="str">
        <f t="shared" si="2"/>
        <v>40-49</v>
      </c>
      <c r="C95" s="31">
        <v>1</v>
      </c>
      <c r="D95" s="31">
        <v>1</v>
      </c>
      <c r="E95" s="31">
        <v>128</v>
      </c>
      <c r="F95" s="31">
        <v>308</v>
      </c>
      <c r="G95" s="31">
        <v>0</v>
      </c>
      <c r="H95" s="31">
        <v>0</v>
      </c>
      <c r="I95" s="31">
        <v>170</v>
      </c>
      <c r="J95" s="31">
        <v>0</v>
      </c>
      <c r="K95" s="31">
        <v>2</v>
      </c>
      <c r="L95" s="31">
        <v>2</v>
      </c>
    </row>
    <row r="96" spans="1:12" x14ac:dyDescent="0.25">
      <c r="A96" s="31">
        <v>41</v>
      </c>
      <c r="B96" s="31" t="str">
        <f t="shared" si="2"/>
        <v>40-49</v>
      </c>
      <c r="C96" s="31">
        <v>0</v>
      </c>
      <c r="D96" s="31">
        <v>1</v>
      </c>
      <c r="E96" s="31">
        <v>126</v>
      </c>
      <c r="F96" s="31">
        <v>306</v>
      </c>
      <c r="G96" s="31">
        <v>0</v>
      </c>
      <c r="H96" s="31">
        <v>1</v>
      </c>
      <c r="I96" s="31">
        <v>163</v>
      </c>
      <c r="J96" s="31">
        <v>0</v>
      </c>
      <c r="K96" s="31">
        <v>2</v>
      </c>
      <c r="L96" s="31">
        <v>2</v>
      </c>
    </row>
    <row r="97" spans="1:12" x14ac:dyDescent="0.25">
      <c r="A97" s="31">
        <v>51</v>
      </c>
      <c r="B97" s="31" t="str">
        <f t="shared" si="2"/>
        <v>50-59</v>
      </c>
      <c r="C97" s="31">
        <v>1</v>
      </c>
      <c r="D97" s="31">
        <v>3</v>
      </c>
      <c r="E97" s="31">
        <v>125</v>
      </c>
      <c r="F97" s="31">
        <v>213</v>
      </c>
      <c r="G97" s="31">
        <v>0</v>
      </c>
      <c r="H97" s="31">
        <v>0</v>
      </c>
      <c r="I97" s="31">
        <v>125</v>
      </c>
      <c r="J97" s="31">
        <v>1</v>
      </c>
      <c r="K97" s="31">
        <v>2</v>
      </c>
      <c r="L97" s="31">
        <v>2</v>
      </c>
    </row>
    <row r="98" spans="1:12" x14ac:dyDescent="0.25">
      <c r="A98" s="31">
        <v>58</v>
      </c>
      <c r="B98" s="31" t="str">
        <f t="shared" ref="B98:B129" si="3">IF(A98&lt;30,"20-29",IF(A98&lt;40,"30-39",IF(A98&lt;50,"40-49",IF(A98&lt;60,"50-59",IF(A98&lt;70,"60-69",IF(A98&lt;80,"70+"))))))</f>
        <v>50-59</v>
      </c>
      <c r="C98" s="31">
        <v>1</v>
      </c>
      <c r="D98" s="31">
        <v>1</v>
      </c>
      <c r="E98" s="31">
        <v>125</v>
      </c>
      <c r="F98" s="31">
        <v>220</v>
      </c>
      <c r="G98" s="31">
        <v>0</v>
      </c>
      <c r="H98" s="31">
        <v>1</v>
      </c>
      <c r="I98" s="31">
        <v>144</v>
      </c>
      <c r="J98" s="31">
        <v>0</v>
      </c>
      <c r="K98" s="31">
        <v>1</v>
      </c>
      <c r="L98" s="31">
        <v>3</v>
      </c>
    </row>
    <row r="99" spans="1:12" x14ac:dyDescent="0.25">
      <c r="A99" s="31">
        <v>54</v>
      </c>
      <c r="B99" s="31" t="str">
        <f t="shared" si="3"/>
        <v>50-59</v>
      </c>
      <c r="C99" s="31">
        <v>1</v>
      </c>
      <c r="D99" s="31">
        <v>2</v>
      </c>
      <c r="E99" s="31">
        <v>125</v>
      </c>
      <c r="F99" s="31">
        <v>273</v>
      </c>
      <c r="G99" s="31">
        <v>0</v>
      </c>
      <c r="H99" s="31">
        <v>0</v>
      </c>
      <c r="I99" s="31">
        <v>152</v>
      </c>
      <c r="J99" s="31">
        <v>0</v>
      </c>
      <c r="K99" s="31">
        <v>0</v>
      </c>
      <c r="L99" s="31">
        <v>2</v>
      </c>
    </row>
    <row r="100" spans="1:12" x14ac:dyDescent="0.25">
      <c r="A100" s="31">
        <v>51</v>
      </c>
      <c r="B100" s="31" t="str">
        <f t="shared" si="3"/>
        <v>50-59</v>
      </c>
      <c r="C100" s="31">
        <v>1</v>
      </c>
      <c r="D100" s="31">
        <v>2</v>
      </c>
      <c r="E100" s="31">
        <v>125</v>
      </c>
      <c r="F100" s="31">
        <v>245</v>
      </c>
      <c r="G100" s="31">
        <v>1</v>
      </c>
      <c r="H100" s="31">
        <v>0</v>
      </c>
      <c r="I100" s="31">
        <v>166</v>
      </c>
      <c r="J100" s="31">
        <v>0</v>
      </c>
      <c r="K100" s="31">
        <v>1</v>
      </c>
      <c r="L100" s="31">
        <v>2</v>
      </c>
    </row>
    <row r="101" spans="1:12" x14ac:dyDescent="0.25">
      <c r="A101" s="31">
        <v>62</v>
      </c>
      <c r="B101" s="31" t="str">
        <f t="shared" si="3"/>
        <v>60-69</v>
      </c>
      <c r="C101" s="31">
        <v>0</v>
      </c>
      <c r="D101" s="31">
        <v>0</v>
      </c>
      <c r="E101" s="31">
        <v>124</v>
      </c>
      <c r="F101" s="31">
        <v>209</v>
      </c>
      <c r="G101" s="31">
        <v>0</v>
      </c>
      <c r="H101" s="31">
        <v>1</v>
      </c>
      <c r="I101" s="31">
        <v>163</v>
      </c>
      <c r="J101" s="31">
        <v>0</v>
      </c>
      <c r="K101" s="31">
        <v>2</v>
      </c>
      <c r="L101" s="31">
        <v>2</v>
      </c>
    </row>
    <row r="102" spans="1:12" x14ac:dyDescent="0.25">
      <c r="A102" s="31">
        <v>48</v>
      </c>
      <c r="B102" s="31" t="str">
        <f t="shared" si="3"/>
        <v>40-49</v>
      </c>
      <c r="C102" s="31">
        <v>1</v>
      </c>
      <c r="D102" s="31">
        <v>2</v>
      </c>
      <c r="E102" s="31">
        <v>124</v>
      </c>
      <c r="F102" s="31">
        <v>255</v>
      </c>
      <c r="G102" s="31">
        <v>1</v>
      </c>
      <c r="H102" s="31">
        <v>1</v>
      </c>
      <c r="I102" s="31">
        <v>175</v>
      </c>
      <c r="J102" s="31">
        <v>0</v>
      </c>
      <c r="K102" s="31">
        <v>2</v>
      </c>
      <c r="L102" s="31">
        <v>2</v>
      </c>
    </row>
    <row r="103" spans="1:12" x14ac:dyDescent="0.25">
      <c r="A103" s="30">
        <v>43</v>
      </c>
      <c r="B103" s="30" t="str">
        <f t="shared" si="3"/>
        <v>40-49</v>
      </c>
      <c r="C103" s="30">
        <v>0</v>
      </c>
      <c r="D103" s="30">
        <v>2</v>
      </c>
      <c r="E103" s="30">
        <v>122</v>
      </c>
      <c r="F103" s="30">
        <v>213</v>
      </c>
      <c r="G103" s="30">
        <v>0</v>
      </c>
      <c r="H103" s="30">
        <v>1</v>
      </c>
      <c r="I103" s="30">
        <v>165</v>
      </c>
      <c r="J103" s="30">
        <v>0</v>
      </c>
      <c r="K103" s="30">
        <v>1</v>
      </c>
      <c r="L103" s="30">
        <v>2</v>
      </c>
    </row>
    <row r="104" spans="1:12" x14ac:dyDescent="0.25">
      <c r="A104" s="31">
        <v>35</v>
      </c>
      <c r="B104" s="31" t="str">
        <f t="shared" si="3"/>
        <v>30-39</v>
      </c>
      <c r="C104" s="31">
        <v>1</v>
      </c>
      <c r="D104" s="31">
        <v>1</v>
      </c>
      <c r="E104" s="31">
        <v>122</v>
      </c>
      <c r="F104" s="31">
        <v>192</v>
      </c>
      <c r="G104" s="31">
        <v>0</v>
      </c>
      <c r="H104" s="31">
        <v>1</v>
      </c>
      <c r="I104" s="31">
        <v>174</v>
      </c>
      <c r="J104" s="31">
        <v>0</v>
      </c>
      <c r="K104" s="31">
        <v>2</v>
      </c>
      <c r="L104" s="31">
        <v>2</v>
      </c>
    </row>
    <row r="105" spans="1:12" x14ac:dyDescent="0.25">
      <c r="A105" s="30">
        <v>48</v>
      </c>
      <c r="B105" s="30" t="str">
        <f t="shared" si="3"/>
        <v>40-49</v>
      </c>
      <c r="C105" s="30">
        <v>1</v>
      </c>
      <c r="D105" s="30">
        <v>0</v>
      </c>
      <c r="E105" s="30">
        <v>122</v>
      </c>
      <c r="F105" s="30">
        <v>222</v>
      </c>
      <c r="G105" s="30">
        <v>0</v>
      </c>
      <c r="H105" s="30">
        <v>0</v>
      </c>
      <c r="I105" s="30">
        <v>186</v>
      </c>
      <c r="J105" s="30">
        <v>0</v>
      </c>
      <c r="K105" s="30">
        <v>2</v>
      </c>
      <c r="L105" s="30">
        <v>2</v>
      </c>
    </row>
    <row r="106" spans="1:12" x14ac:dyDescent="0.25">
      <c r="A106" s="31">
        <v>56</v>
      </c>
      <c r="B106" s="31" t="str">
        <f t="shared" si="3"/>
        <v>50-59</v>
      </c>
      <c r="C106" s="31">
        <v>1</v>
      </c>
      <c r="D106" s="31">
        <v>3</v>
      </c>
      <c r="E106" s="31">
        <v>120</v>
      </c>
      <c r="F106" s="31">
        <v>193</v>
      </c>
      <c r="G106" s="31">
        <v>0</v>
      </c>
      <c r="H106" s="31">
        <v>0</v>
      </c>
      <c r="I106" s="31">
        <v>162</v>
      </c>
      <c r="J106" s="31">
        <v>0</v>
      </c>
      <c r="K106" s="31">
        <v>1</v>
      </c>
      <c r="L106" s="31">
        <v>3</v>
      </c>
    </row>
    <row r="107" spans="1:12" x14ac:dyDescent="0.25">
      <c r="A107" s="30">
        <v>65</v>
      </c>
      <c r="B107" s="30" t="str">
        <f t="shared" si="3"/>
        <v>60-69</v>
      </c>
      <c r="C107" s="30">
        <v>1</v>
      </c>
      <c r="D107" s="30">
        <v>0</v>
      </c>
      <c r="E107" s="30">
        <v>120</v>
      </c>
      <c r="F107" s="30">
        <v>177</v>
      </c>
      <c r="G107" s="30">
        <v>0</v>
      </c>
      <c r="H107" s="30">
        <v>1</v>
      </c>
      <c r="I107" s="30">
        <v>140</v>
      </c>
      <c r="J107" s="30">
        <v>0</v>
      </c>
      <c r="K107" s="30">
        <v>2</v>
      </c>
      <c r="L107" s="30">
        <v>3</v>
      </c>
    </row>
    <row r="108" spans="1:12" x14ac:dyDescent="0.25">
      <c r="A108" s="30">
        <v>56</v>
      </c>
      <c r="B108" s="30" t="str">
        <f t="shared" si="3"/>
        <v>50-59</v>
      </c>
      <c r="C108" s="30">
        <v>1</v>
      </c>
      <c r="D108" s="30">
        <v>1</v>
      </c>
      <c r="E108" s="30">
        <v>120</v>
      </c>
      <c r="F108" s="30">
        <v>240</v>
      </c>
      <c r="G108" s="30">
        <v>0</v>
      </c>
      <c r="H108" s="30">
        <v>1</v>
      </c>
      <c r="I108" s="30">
        <v>169</v>
      </c>
      <c r="J108" s="30">
        <v>0</v>
      </c>
      <c r="K108" s="30">
        <v>0</v>
      </c>
      <c r="L108" s="30">
        <v>2</v>
      </c>
    </row>
    <row r="109" spans="1:12" x14ac:dyDescent="0.25">
      <c r="A109" s="31">
        <v>42</v>
      </c>
      <c r="B109" s="31" t="str">
        <f t="shared" si="3"/>
        <v>40-49</v>
      </c>
      <c r="C109" s="31">
        <v>1</v>
      </c>
      <c r="D109" s="31">
        <v>2</v>
      </c>
      <c r="E109" s="31">
        <v>120</v>
      </c>
      <c r="F109" s="31">
        <v>240</v>
      </c>
      <c r="G109" s="31">
        <v>1</v>
      </c>
      <c r="H109" s="31">
        <v>1</v>
      </c>
      <c r="I109" s="31">
        <v>194</v>
      </c>
      <c r="J109" s="31">
        <v>0</v>
      </c>
      <c r="K109" s="31">
        <v>0</v>
      </c>
      <c r="L109" s="31">
        <v>3</v>
      </c>
    </row>
    <row r="110" spans="1:12" x14ac:dyDescent="0.25">
      <c r="A110" s="31">
        <v>44</v>
      </c>
      <c r="B110" s="31" t="str">
        <f t="shared" si="3"/>
        <v>40-49</v>
      </c>
      <c r="C110" s="31">
        <v>1</v>
      </c>
      <c r="D110" s="31">
        <v>1</v>
      </c>
      <c r="E110" s="31">
        <v>120</v>
      </c>
      <c r="F110" s="31">
        <v>263</v>
      </c>
      <c r="G110" s="31">
        <v>0</v>
      </c>
      <c r="H110" s="31">
        <v>1</v>
      </c>
      <c r="I110" s="31">
        <v>173</v>
      </c>
      <c r="J110" s="31">
        <v>0</v>
      </c>
      <c r="K110" s="31">
        <v>2</v>
      </c>
      <c r="L110" s="31">
        <v>3</v>
      </c>
    </row>
    <row r="111" spans="1:12" x14ac:dyDescent="0.25">
      <c r="A111" s="30">
        <v>50</v>
      </c>
      <c r="B111" s="30" t="str">
        <f t="shared" si="3"/>
        <v>50-59</v>
      </c>
      <c r="C111" s="30">
        <v>0</v>
      </c>
      <c r="D111" s="30">
        <v>1</v>
      </c>
      <c r="E111" s="30">
        <v>120</v>
      </c>
      <c r="F111" s="30">
        <v>244</v>
      </c>
      <c r="G111" s="30">
        <v>0</v>
      </c>
      <c r="H111" s="30">
        <v>1</v>
      </c>
      <c r="I111" s="30">
        <v>162</v>
      </c>
      <c r="J111" s="30">
        <v>0</v>
      </c>
      <c r="K111" s="30">
        <v>2</v>
      </c>
      <c r="L111" s="30">
        <v>2</v>
      </c>
    </row>
    <row r="112" spans="1:12" x14ac:dyDescent="0.25">
      <c r="A112" s="31">
        <v>56</v>
      </c>
      <c r="B112" s="31" t="str">
        <f t="shared" si="3"/>
        <v>50-59</v>
      </c>
      <c r="C112" s="31">
        <v>1</v>
      </c>
      <c r="D112" s="31">
        <v>1</v>
      </c>
      <c r="E112" s="31">
        <v>120</v>
      </c>
      <c r="F112" s="31">
        <v>236</v>
      </c>
      <c r="G112" s="31">
        <v>0</v>
      </c>
      <c r="H112" s="31">
        <v>1</v>
      </c>
      <c r="I112" s="31">
        <v>178</v>
      </c>
      <c r="J112" s="31">
        <v>0</v>
      </c>
      <c r="K112" s="31">
        <v>2</v>
      </c>
      <c r="L112" s="31">
        <v>2</v>
      </c>
    </row>
    <row r="113" spans="1:12" x14ac:dyDescent="0.25">
      <c r="A113" s="30">
        <v>68</v>
      </c>
      <c r="B113" s="30" t="str">
        <f t="shared" si="3"/>
        <v>60-69</v>
      </c>
      <c r="C113" s="30">
        <v>0</v>
      </c>
      <c r="D113" s="30">
        <v>2</v>
      </c>
      <c r="E113" s="30">
        <v>120</v>
      </c>
      <c r="F113" s="30">
        <v>211</v>
      </c>
      <c r="G113" s="30">
        <v>0</v>
      </c>
      <c r="H113" s="30">
        <v>0</v>
      </c>
      <c r="I113" s="30">
        <v>115</v>
      </c>
      <c r="J113" s="30">
        <v>0</v>
      </c>
      <c r="K113" s="30">
        <v>1</v>
      </c>
      <c r="L113" s="30">
        <v>2</v>
      </c>
    </row>
    <row r="114" spans="1:12" x14ac:dyDescent="0.25">
      <c r="A114" s="30">
        <v>44</v>
      </c>
      <c r="B114" s="30" t="str">
        <f t="shared" si="3"/>
        <v>40-49</v>
      </c>
      <c r="C114" s="30">
        <v>1</v>
      </c>
      <c r="D114" s="30">
        <v>1</v>
      </c>
      <c r="E114" s="30">
        <v>120</v>
      </c>
      <c r="F114" s="30">
        <v>220</v>
      </c>
      <c r="G114" s="30">
        <v>0</v>
      </c>
      <c r="H114" s="30">
        <v>1</v>
      </c>
      <c r="I114" s="30">
        <v>170</v>
      </c>
      <c r="J114" s="30">
        <v>0</v>
      </c>
      <c r="K114" s="30">
        <v>2</v>
      </c>
      <c r="L114" s="30">
        <v>2</v>
      </c>
    </row>
    <row r="115" spans="1:12" x14ac:dyDescent="0.25">
      <c r="A115" s="31">
        <v>37</v>
      </c>
      <c r="B115" s="31" t="str">
        <f t="shared" si="3"/>
        <v>30-39</v>
      </c>
      <c r="C115" s="31">
        <v>0</v>
      </c>
      <c r="D115" s="31">
        <v>2</v>
      </c>
      <c r="E115" s="31">
        <v>120</v>
      </c>
      <c r="F115" s="31">
        <v>215</v>
      </c>
      <c r="G115" s="31">
        <v>0</v>
      </c>
      <c r="H115" s="31">
        <v>1</v>
      </c>
      <c r="I115" s="31">
        <v>170</v>
      </c>
      <c r="J115" s="31">
        <v>0</v>
      </c>
      <c r="K115" s="31">
        <v>2</v>
      </c>
      <c r="L115" s="31">
        <v>2</v>
      </c>
    </row>
    <row r="116" spans="1:12" x14ac:dyDescent="0.25">
      <c r="A116" s="31">
        <v>60</v>
      </c>
      <c r="B116" s="31" t="str">
        <f t="shared" si="3"/>
        <v>60-69</v>
      </c>
      <c r="C116" s="31">
        <v>0</v>
      </c>
      <c r="D116" s="31">
        <v>2</v>
      </c>
      <c r="E116" s="31">
        <v>120</v>
      </c>
      <c r="F116" s="31">
        <v>178</v>
      </c>
      <c r="G116" s="31">
        <v>1</v>
      </c>
      <c r="H116" s="31">
        <v>1</v>
      </c>
      <c r="I116" s="31">
        <v>96</v>
      </c>
      <c r="J116" s="31">
        <v>0</v>
      </c>
      <c r="K116" s="31">
        <v>2</v>
      </c>
      <c r="L116" s="31">
        <v>2</v>
      </c>
    </row>
    <row r="117" spans="1:12" x14ac:dyDescent="0.25">
      <c r="A117" s="30">
        <v>44</v>
      </c>
      <c r="B117" s="30" t="str">
        <f t="shared" si="3"/>
        <v>40-49</v>
      </c>
      <c r="C117" s="30">
        <v>1</v>
      </c>
      <c r="D117" s="30">
        <v>2</v>
      </c>
      <c r="E117" s="30">
        <v>120</v>
      </c>
      <c r="F117" s="30">
        <v>226</v>
      </c>
      <c r="G117" s="30">
        <v>0</v>
      </c>
      <c r="H117" s="30">
        <v>1</v>
      </c>
      <c r="I117" s="30">
        <v>169</v>
      </c>
      <c r="J117" s="30">
        <v>0</v>
      </c>
      <c r="K117" s="30">
        <v>2</v>
      </c>
      <c r="L117" s="30">
        <v>2</v>
      </c>
    </row>
    <row r="118" spans="1:12" x14ac:dyDescent="0.25">
      <c r="A118" s="30">
        <v>74</v>
      </c>
      <c r="B118" s="30" t="str">
        <f t="shared" si="3"/>
        <v>70+</v>
      </c>
      <c r="C118" s="30">
        <v>0</v>
      </c>
      <c r="D118" s="30">
        <v>1</v>
      </c>
      <c r="E118" s="30">
        <v>120</v>
      </c>
      <c r="F118" s="30">
        <v>269</v>
      </c>
      <c r="G118" s="30">
        <v>0</v>
      </c>
      <c r="H118" s="30">
        <v>0</v>
      </c>
      <c r="I118" s="30">
        <v>121</v>
      </c>
      <c r="J118" s="30">
        <v>1</v>
      </c>
      <c r="K118" s="30">
        <v>2</v>
      </c>
      <c r="L118" s="30">
        <v>2</v>
      </c>
    </row>
    <row r="119" spans="1:12" x14ac:dyDescent="0.25">
      <c r="A119" s="31">
        <v>50</v>
      </c>
      <c r="B119" s="31" t="str">
        <f t="shared" si="3"/>
        <v>50-59</v>
      </c>
      <c r="C119" s="31">
        <v>0</v>
      </c>
      <c r="D119" s="31">
        <v>2</v>
      </c>
      <c r="E119" s="31">
        <v>120</v>
      </c>
      <c r="F119" s="31">
        <v>219</v>
      </c>
      <c r="G119" s="31">
        <v>0</v>
      </c>
      <c r="H119" s="31">
        <v>1</v>
      </c>
      <c r="I119" s="31">
        <v>158</v>
      </c>
      <c r="J119" s="31">
        <v>0</v>
      </c>
      <c r="K119" s="31">
        <v>1</v>
      </c>
      <c r="L119" s="31">
        <v>2</v>
      </c>
    </row>
    <row r="120" spans="1:12" x14ac:dyDescent="0.25">
      <c r="A120" s="30">
        <v>42</v>
      </c>
      <c r="B120" s="30" t="str">
        <f t="shared" si="3"/>
        <v>40-49</v>
      </c>
      <c r="C120" s="30">
        <v>1</v>
      </c>
      <c r="D120" s="30">
        <v>1</v>
      </c>
      <c r="E120" s="30">
        <v>120</v>
      </c>
      <c r="F120" s="30">
        <v>295</v>
      </c>
      <c r="G120" s="30">
        <v>0</v>
      </c>
      <c r="H120" s="30">
        <v>1</v>
      </c>
      <c r="I120" s="30">
        <v>162</v>
      </c>
      <c r="J120" s="30">
        <v>0</v>
      </c>
      <c r="K120" s="30">
        <v>2</v>
      </c>
      <c r="L120" s="30">
        <v>2</v>
      </c>
    </row>
    <row r="121" spans="1:12" x14ac:dyDescent="0.25">
      <c r="A121" s="30">
        <v>54</v>
      </c>
      <c r="B121" s="30" t="str">
        <f t="shared" si="3"/>
        <v>50-59</v>
      </c>
      <c r="C121" s="30">
        <v>1</v>
      </c>
      <c r="D121" s="30">
        <v>2</v>
      </c>
      <c r="E121" s="30">
        <v>120</v>
      </c>
      <c r="F121" s="30">
        <v>258</v>
      </c>
      <c r="G121" s="30">
        <v>0</v>
      </c>
      <c r="H121" s="30">
        <v>0</v>
      </c>
      <c r="I121" s="30">
        <v>147</v>
      </c>
      <c r="J121" s="30">
        <v>0</v>
      </c>
      <c r="K121" s="30">
        <v>1</v>
      </c>
      <c r="L121" s="30">
        <v>3</v>
      </c>
    </row>
    <row r="122" spans="1:12" x14ac:dyDescent="0.25">
      <c r="A122" s="31">
        <v>41</v>
      </c>
      <c r="B122" s="31" t="str">
        <f t="shared" si="3"/>
        <v>40-49</v>
      </c>
      <c r="C122" s="31">
        <v>1</v>
      </c>
      <c r="D122" s="31">
        <v>1</v>
      </c>
      <c r="E122" s="31">
        <v>120</v>
      </c>
      <c r="F122" s="31">
        <v>157</v>
      </c>
      <c r="G122" s="31">
        <v>0</v>
      </c>
      <c r="H122" s="31">
        <v>1</v>
      </c>
      <c r="I122" s="31">
        <v>182</v>
      </c>
      <c r="J122" s="31">
        <v>0</v>
      </c>
      <c r="K122" s="31">
        <v>2</v>
      </c>
      <c r="L122" s="31">
        <v>2</v>
      </c>
    </row>
    <row r="123" spans="1:12" x14ac:dyDescent="0.25">
      <c r="A123" s="30">
        <v>58</v>
      </c>
      <c r="B123" s="30" t="str">
        <f t="shared" si="3"/>
        <v>50-59</v>
      </c>
      <c r="C123" s="30">
        <v>0</v>
      </c>
      <c r="D123" s="30">
        <v>2</v>
      </c>
      <c r="E123" s="30">
        <v>120</v>
      </c>
      <c r="F123" s="30">
        <v>340</v>
      </c>
      <c r="G123" s="30">
        <v>0</v>
      </c>
      <c r="H123" s="30">
        <v>1</v>
      </c>
      <c r="I123" s="30">
        <v>172</v>
      </c>
      <c r="J123" s="30">
        <v>0</v>
      </c>
      <c r="K123" s="30">
        <v>2</v>
      </c>
      <c r="L123" s="30">
        <v>2</v>
      </c>
    </row>
    <row r="124" spans="1:12" x14ac:dyDescent="0.25">
      <c r="A124" s="30">
        <v>42</v>
      </c>
      <c r="B124" s="30" t="str">
        <f t="shared" si="3"/>
        <v>40-49</v>
      </c>
      <c r="C124" s="30">
        <v>0</v>
      </c>
      <c r="D124" s="30">
        <v>2</v>
      </c>
      <c r="E124" s="30">
        <v>120</v>
      </c>
      <c r="F124" s="30">
        <v>209</v>
      </c>
      <c r="G124" s="30">
        <v>0</v>
      </c>
      <c r="H124" s="30">
        <v>1</v>
      </c>
      <c r="I124" s="30">
        <v>173</v>
      </c>
      <c r="J124" s="30">
        <v>0</v>
      </c>
      <c r="K124" s="30">
        <v>1</v>
      </c>
      <c r="L124" s="30">
        <v>2</v>
      </c>
    </row>
    <row r="125" spans="1:12" x14ac:dyDescent="0.25">
      <c r="A125" s="31">
        <v>51</v>
      </c>
      <c r="B125" s="31" t="str">
        <f t="shared" si="3"/>
        <v>50-59</v>
      </c>
      <c r="C125" s="31">
        <v>0</v>
      </c>
      <c r="D125" s="31">
        <v>2</v>
      </c>
      <c r="E125" s="31">
        <v>120</v>
      </c>
      <c r="F125" s="31">
        <v>295</v>
      </c>
      <c r="G125" s="31">
        <v>0</v>
      </c>
      <c r="H125" s="31">
        <v>0</v>
      </c>
      <c r="I125" s="31">
        <v>157</v>
      </c>
      <c r="J125" s="31">
        <v>0</v>
      </c>
      <c r="K125" s="31">
        <v>2</v>
      </c>
      <c r="L125" s="31">
        <v>2</v>
      </c>
    </row>
    <row r="126" spans="1:12" x14ac:dyDescent="0.25">
      <c r="A126" s="31">
        <v>52</v>
      </c>
      <c r="B126" s="31" t="str">
        <f t="shared" si="3"/>
        <v>50-59</v>
      </c>
      <c r="C126" s="31">
        <v>1</v>
      </c>
      <c r="D126" s="31">
        <v>1</v>
      </c>
      <c r="E126" s="31">
        <v>120</v>
      </c>
      <c r="F126" s="31">
        <v>325</v>
      </c>
      <c r="G126" s="31">
        <v>0</v>
      </c>
      <c r="H126" s="31">
        <v>1</v>
      </c>
      <c r="I126" s="31">
        <v>172</v>
      </c>
      <c r="J126" s="31">
        <v>0</v>
      </c>
      <c r="K126" s="31">
        <v>2</v>
      </c>
      <c r="L126" s="31">
        <v>2</v>
      </c>
    </row>
    <row r="127" spans="1:12" x14ac:dyDescent="0.25">
      <c r="A127" s="31">
        <v>57</v>
      </c>
      <c r="B127" s="31" t="str">
        <f t="shared" si="3"/>
        <v>50-59</v>
      </c>
      <c r="C127" s="31">
        <v>0</v>
      </c>
      <c r="D127" s="31">
        <v>0</v>
      </c>
      <c r="E127" s="31">
        <v>120</v>
      </c>
      <c r="F127" s="31">
        <v>354</v>
      </c>
      <c r="G127" s="31">
        <v>0</v>
      </c>
      <c r="H127" s="31">
        <v>1</v>
      </c>
      <c r="I127" s="31">
        <v>163</v>
      </c>
      <c r="J127" s="31">
        <v>1</v>
      </c>
      <c r="K127" s="31">
        <v>2</v>
      </c>
      <c r="L127" s="31">
        <v>2</v>
      </c>
    </row>
    <row r="128" spans="1:12" x14ac:dyDescent="0.25">
      <c r="A128" s="30">
        <v>66</v>
      </c>
      <c r="B128" s="30" t="str">
        <f t="shared" si="3"/>
        <v>60-69</v>
      </c>
      <c r="C128" s="30">
        <v>1</v>
      </c>
      <c r="D128" s="30">
        <v>0</v>
      </c>
      <c r="E128" s="30">
        <v>120</v>
      </c>
      <c r="F128" s="30">
        <v>302</v>
      </c>
      <c r="G128" s="30">
        <v>0</v>
      </c>
      <c r="H128" s="30">
        <v>0</v>
      </c>
      <c r="I128" s="30">
        <v>151</v>
      </c>
      <c r="J128" s="30">
        <v>0</v>
      </c>
      <c r="K128" s="30">
        <v>1</v>
      </c>
      <c r="L128" s="30">
        <v>2</v>
      </c>
    </row>
    <row r="129" spans="1:12" x14ac:dyDescent="0.25">
      <c r="A129" s="30">
        <v>68</v>
      </c>
      <c r="B129" s="30" t="str">
        <f t="shared" si="3"/>
        <v>60-69</v>
      </c>
      <c r="C129" s="30">
        <v>1</v>
      </c>
      <c r="D129" s="30">
        <v>2</v>
      </c>
      <c r="E129" s="30">
        <v>118</v>
      </c>
      <c r="F129" s="30">
        <v>277</v>
      </c>
      <c r="G129" s="30">
        <v>0</v>
      </c>
      <c r="H129" s="30">
        <v>1</v>
      </c>
      <c r="I129" s="30">
        <v>151</v>
      </c>
      <c r="J129" s="30">
        <v>0</v>
      </c>
      <c r="K129" s="30">
        <v>2</v>
      </c>
      <c r="L129" s="30">
        <v>3</v>
      </c>
    </row>
    <row r="130" spans="1:12" x14ac:dyDescent="0.25">
      <c r="A130" s="31">
        <v>34</v>
      </c>
      <c r="B130" s="31" t="str">
        <f t="shared" ref="B130:B161" si="4">IF(A130&lt;30,"20-29",IF(A130&lt;40,"30-39",IF(A130&lt;50,"40-49",IF(A130&lt;60,"50-59",IF(A130&lt;70,"60-69",IF(A130&lt;80,"70+"))))))</f>
        <v>30-39</v>
      </c>
      <c r="C130" s="31">
        <v>0</v>
      </c>
      <c r="D130" s="31">
        <v>1</v>
      </c>
      <c r="E130" s="31">
        <v>118</v>
      </c>
      <c r="F130" s="31">
        <v>210</v>
      </c>
      <c r="G130" s="31">
        <v>0</v>
      </c>
      <c r="H130" s="31">
        <v>1</v>
      </c>
      <c r="I130" s="31">
        <v>192</v>
      </c>
      <c r="J130" s="31">
        <v>0</v>
      </c>
      <c r="K130" s="31">
        <v>2</v>
      </c>
      <c r="L130" s="31">
        <v>2</v>
      </c>
    </row>
    <row r="131" spans="1:12" x14ac:dyDescent="0.25">
      <c r="A131" s="31">
        <v>34</v>
      </c>
      <c r="B131" s="31" t="str">
        <f t="shared" si="4"/>
        <v>30-39</v>
      </c>
      <c r="C131" s="31">
        <v>1</v>
      </c>
      <c r="D131" s="31">
        <v>3</v>
      </c>
      <c r="E131" s="31">
        <v>118</v>
      </c>
      <c r="F131" s="31">
        <v>182</v>
      </c>
      <c r="G131" s="31">
        <v>0</v>
      </c>
      <c r="H131" s="31">
        <v>0</v>
      </c>
      <c r="I131" s="31">
        <v>174</v>
      </c>
      <c r="J131" s="31">
        <v>0</v>
      </c>
      <c r="K131" s="31">
        <v>2</v>
      </c>
      <c r="L131" s="31">
        <v>2</v>
      </c>
    </row>
    <row r="132" spans="1:12" x14ac:dyDescent="0.25">
      <c r="A132" s="31">
        <v>44</v>
      </c>
      <c r="B132" s="31" t="str">
        <f t="shared" si="4"/>
        <v>40-49</v>
      </c>
      <c r="C132" s="31">
        <v>0</v>
      </c>
      <c r="D132" s="31">
        <v>2</v>
      </c>
      <c r="E132" s="31">
        <v>118</v>
      </c>
      <c r="F132" s="31">
        <v>242</v>
      </c>
      <c r="G132" s="31">
        <v>0</v>
      </c>
      <c r="H132" s="31">
        <v>1</v>
      </c>
      <c r="I132" s="31">
        <v>149</v>
      </c>
      <c r="J132" s="31">
        <v>0</v>
      </c>
      <c r="K132" s="31">
        <v>1</v>
      </c>
      <c r="L132" s="31">
        <v>2</v>
      </c>
    </row>
    <row r="133" spans="1:12" x14ac:dyDescent="0.25">
      <c r="A133" s="31">
        <v>52</v>
      </c>
      <c r="B133" s="31" t="str">
        <f t="shared" si="4"/>
        <v>50-59</v>
      </c>
      <c r="C133" s="31">
        <v>1</v>
      </c>
      <c r="D133" s="31">
        <v>3</v>
      </c>
      <c r="E133" s="31">
        <v>118</v>
      </c>
      <c r="F133" s="31">
        <v>186</v>
      </c>
      <c r="G133" s="31">
        <v>0</v>
      </c>
      <c r="H133" s="31">
        <v>0</v>
      </c>
      <c r="I133" s="31">
        <v>190</v>
      </c>
      <c r="J133" s="31">
        <v>0</v>
      </c>
      <c r="K133" s="31">
        <v>1</v>
      </c>
      <c r="L133" s="31">
        <v>1</v>
      </c>
    </row>
    <row r="134" spans="1:12" x14ac:dyDescent="0.25">
      <c r="A134" s="31">
        <v>43</v>
      </c>
      <c r="B134" s="31" t="str">
        <f t="shared" si="4"/>
        <v>40-49</v>
      </c>
      <c r="C134" s="31">
        <v>1</v>
      </c>
      <c r="D134" s="31">
        <v>0</v>
      </c>
      <c r="E134" s="31">
        <v>115</v>
      </c>
      <c r="F134" s="31">
        <v>303</v>
      </c>
      <c r="G134" s="31">
        <v>0</v>
      </c>
      <c r="H134" s="31">
        <v>1</v>
      </c>
      <c r="I134" s="31">
        <v>181</v>
      </c>
      <c r="J134" s="31">
        <v>0</v>
      </c>
      <c r="K134" s="31">
        <v>1</v>
      </c>
      <c r="L134" s="31">
        <v>2</v>
      </c>
    </row>
    <row r="135" spans="1:12" x14ac:dyDescent="0.25">
      <c r="A135" s="30">
        <v>45</v>
      </c>
      <c r="B135" s="30" t="str">
        <f t="shared" si="4"/>
        <v>40-49</v>
      </c>
      <c r="C135" s="30">
        <v>1</v>
      </c>
      <c r="D135" s="30">
        <v>0</v>
      </c>
      <c r="E135" s="30">
        <v>115</v>
      </c>
      <c r="F135" s="30">
        <v>260</v>
      </c>
      <c r="G135" s="30">
        <v>0</v>
      </c>
      <c r="H135" s="30">
        <v>0</v>
      </c>
      <c r="I135" s="30">
        <v>185</v>
      </c>
      <c r="J135" s="30">
        <v>0</v>
      </c>
      <c r="K135" s="30">
        <v>2</v>
      </c>
      <c r="L135" s="30">
        <v>2</v>
      </c>
    </row>
    <row r="136" spans="1:12" x14ac:dyDescent="0.25">
      <c r="A136" s="30">
        <v>67</v>
      </c>
      <c r="B136" s="30" t="str">
        <f t="shared" si="4"/>
        <v>60-69</v>
      </c>
      <c r="C136" s="30">
        <v>0</v>
      </c>
      <c r="D136" s="30">
        <v>2</v>
      </c>
      <c r="E136" s="30">
        <v>115</v>
      </c>
      <c r="F136" s="30">
        <v>564</v>
      </c>
      <c r="G136" s="30">
        <v>0</v>
      </c>
      <c r="H136" s="30">
        <v>0</v>
      </c>
      <c r="I136" s="30">
        <v>160</v>
      </c>
      <c r="J136" s="30">
        <v>0</v>
      </c>
      <c r="K136" s="30">
        <v>1</v>
      </c>
      <c r="L136" s="30">
        <v>3</v>
      </c>
    </row>
    <row r="137" spans="1:12" x14ac:dyDescent="0.25">
      <c r="A137" s="30">
        <v>41</v>
      </c>
      <c r="B137" s="30" t="str">
        <f t="shared" si="4"/>
        <v>40-49</v>
      </c>
      <c r="C137" s="30">
        <v>1</v>
      </c>
      <c r="D137" s="30">
        <v>2</v>
      </c>
      <c r="E137" s="30">
        <v>112</v>
      </c>
      <c r="F137" s="30">
        <v>250</v>
      </c>
      <c r="G137" s="30">
        <v>0</v>
      </c>
      <c r="H137" s="30">
        <v>1</v>
      </c>
      <c r="I137" s="30">
        <v>179</v>
      </c>
      <c r="J137" s="30">
        <v>0</v>
      </c>
      <c r="K137" s="30">
        <v>2</v>
      </c>
      <c r="L137" s="30">
        <v>2</v>
      </c>
    </row>
    <row r="138" spans="1:12" x14ac:dyDescent="0.25">
      <c r="A138" s="30">
        <v>41</v>
      </c>
      <c r="B138" s="30" t="str">
        <f t="shared" si="4"/>
        <v>40-49</v>
      </c>
      <c r="C138" s="30">
        <v>0</v>
      </c>
      <c r="D138" s="30">
        <v>2</v>
      </c>
      <c r="E138" s="30">
        <v>112</v>
      </c>
      <c r="F138" s="30">
        <v>268</v>
      </c>
      <c r="G138" s="30">
        <v>0</v>
      </c>
      <c r="H138" s="30">
        <v>0</v>
      </c>
      <c r="I138" s="30">
        <v>172</v>
      </c>
      <c r="J138" s="30">
        <v>1</v>
      </c>
      <c r="K138" s="30">
        <v>2</v>
      </c>
      <c r="L138" s="30">
        <v>2</v>
      </c>
    </row>
    <row r="139" spans="1:12" x14ac:dyDescent="0.25">
      <c r="A139" s="31">
        <v>45</v>
      </c>
      <c r="B139" s="31" t="str">
        <f t="shared" si="4"/>
        <v>40-49</v>
      </c>
      <c r="C139" s="31">
        <v>0</v>
      </c>
      <c r="D139" s="31">
        <v>1</v>
      </c>
      <c r="E139" s="31">
        <v>112</v>
      </c>
      <c r="F139" s="31">
        <v>160</v>
      </c>
      <c r="G139" s="31">
        <v>0</v>
      </c>
      <c r="H139" s="31">
        <v>1</v>
      </c>
      <c r="I139" s="31">
        <v>138</v>
      </c>
      <c r="J139" s="31">
        <v>0</v>
      </c>
      <c r="K139" s="31">
        <v>1</v>
      </c>
      <c r="L139" s="31">
        <v>2</v>
      </c>
    </row>
    <row r="140" spans="1:12" x14ac:dyDescent="0.25">
      <c r="A140" s="31">
        <v>47</v>
      </c>
      <c r="B140" s="31" t="str">
        <f t="shared" si="4"/>
        <v>40-49</v>
      </c>
      <c r="C140" s="31">
        <v>1</v>
      </c>
      <c r="D140" s="31">
        <v>0</v>
      </c>
      <c r="E140" s="31">
        <v>112</v>
      </c>
      <c r="F140" s="31">
        <v>204</v>
      </c>
      <c r="G140" s="31">
        <v>0</v>
      </c>
      <c r="H140" s="31">
        <v>1</v>
      </c>
      <c r="I140" s="31">
        <v>143</v>
      </c>
      <c r="J140" s="31">
        <v>0</v>
      </c>
      <c r="K140" s="31">
        <v>2</v>
      </c>
      <c r="L140" s="31">
        <v>2</v>
      </c>
    </row>
    <row r="141" spans="1:12" x14ac:dyDescent="0.25">
      <c r="A141" s="31">
        <v>71</v>
      </c>
      <c r="B141" s="31" t="str">
        <f t="shared" si="4"/>
        <v>70+</v>
      </c>
      <c r="C141" s="31">
        <v>0</v>
      </c>
      <c r="D141" s="31">
        <v>0</v>
      </c>
      <c r="E141" s="31">
        <v>112</v>
      </c>
      <c r="F141" s="31">
        <v>149</v>
      </c>
      <c r="G141" s="31">
        <v>0</v>
      </c>
      <c r="H141" s="31">
        <v>1</v>
      </c>
      <c r="I141" s="31">
        <v>125</v>
      </c>
      <c r="J141" s="31">
        <v>0</v>
      </c>
      <c r="K141" s="31">
        <v>1</v>
      </c>
      <c r="L141" s="31">
        <v>2</v>
      </c>
    </row>
    <row r="142" spans="1:12" x14ac:dyDescent="0.25">
      <c r="A142" s="31">
        <v>57</v>
      </c>
      <c r="B142" s="31" t="str">
        <f t="shared" si="4"/>
        <v>50-59</v>
      </c>
      <c r="C142" s="31">
        <v>1</v>
      </c>
      <c r="D142" s="31">
        <v>0</v>
      </c>
      <c r="E142" s="31">
        <v>110</v>
      </c>
      <c r="F142" s="31">
        <v>201</v>
      </c>
      <c r="G142" s="31">
        <v>0</v>
      </c>
      <c r="H142" s="31">
        <v>1</v>
      </c>
      <c r="I142" s="31">
        <v>126</v>
      </c>
      <c r="J142" s="31">
        <v>1</v>
      </c>
      <c r="K142" s="31">
        <v>1</v>
      </c>
      <c r="L142" s="31">
        <v>1</v>
      </c>
    </row>
    <row r="143" spans="1:12" x14ac:dyDescent="0.25">
      <c r="A143" s="31">
        <v>41</v>
      </c>
      <c r="B143" s="31" t="str">
        <f t="shared" si="4"/>
        <v>40-49</v>
      </c>
      <c r="C143" s="31">
        <v>1</v>
      </c>
      <c r="D143" s="31">
        <v>1</v>
      </c>
      <c r="E143" s="31">
        <v>110</v>
      </c>
      <c r="F143" s="31">
        <v>235</v>
      </c>
      <c r="G143" s="31">
        <v>0</v>
      </c>
      <c r="H143" s="31">
        <v>1</v>
      </c>
      <c r="I143" s="31">
        <v>153</v>
      </c>
      <c r="J143" s="31">
        <v>0</v>
      </c>
      <c r="K143" s="31">
        <v>2</v>
      </c>
      <c r="L143" s="31">
        <v>2</v>
      </c>
    </row>
    <row r="144" spans="1:12" x14ac:dyDescent="0.25">
      <c r="A144" s="30">
        <v>54</v>
      </c>
      <c r="B144" s="30" t="str">
        <f t="shared" si="4"/>
        <v>50-59</v>
      </c>
      <c r="C144" s="30">
        <v>0</v>
      </c>
      <c r="D144" s="30">
        <v>2</v>
      </c>
      <c r="E144" s="30">
        <v>110</v>
      </c>
      <c r="F144" s="30">
        <v>214</v>
      </c>
      <c r="G144" s="30">
        <v>0</v>
      </c>
      <c r="H144" s="30">
        <v>1</v>
      </c>
      <c r="I144" s="30">
        <v>158</v>
      </c>
      <c r="J144" s="30">
        <v>0</v>
      </c>
      <c r="K144" s="30">
        <v>1</v>
      </c>
      <c r="L144" s="30">
        <v>2</v>
      </c>
    </row>
    <row r="145" spans="1:12" x14ac:dyDescent="0.25">
      <c r="A145" s="30">
        <v>71</v>
      </c>
      <c r="B145" s="30" t="str">
        <f t="shared" si="4"/>
        <v>70+</v>
      </c>
      <c r="C145" s="30">
        <v>0</v>
      </c>
      <c r="D145" s="30">
        <v>2</v>
      </c>
      <c r="E145" s="30">
        <v>110</v>
      </c>
      <c r="F145" s="30">
        <v>265</v>
      </c>
      <c r="G145" s="30">
        <v>1</v>
      </c>
      <c r="H145" s="30">
        <v>0</v>
      </c>
      <c r="I145" s="30">
        <v>130</v>
      </c>
      <c r="J145" s="30">
        <v>0</v>
      </c>
      <c r="K145" s="30">
        <v>2</v>
      </c>
      <c r="L145" s="30">
        <v>2</v>
      </c>
    </row>
    <row r="146" spans="1:12" x14ac:dyDescent="0.25">
      <c r="A146" s="30">
        <v>50</v>
      </c>
      <c r="B146" s="30" t="str">
        <f t="shared" si="4"/>
        <v>50-59</v>
      </c>
      <c r="C146" s="30">
        <v>0</v>
      </c>
      <c r="D146" s="30">
        <v>0</v>
      </c>
      <c r="E146" s="30">
        <v>110</v>
      </c>
      <c r="F146" s="30">
        <v>254</v>
      </c>
      <c r="G146" s="30">
        <v>0</v>
      </c>
      <c r="H146" s="30">
        <v>0</v>
      </c>
      <c r="I146" s="30">
        <v>159</v>
      </c>
      <c r="J146" s="30">
        <v>0</v>
      </c>
      <c r="K146" s="30">
        <v>2</v>
      </c>
      <c r="L146" s="30">
        <v>2</v>
      </c>
    </row>
    <row r="147" spans="1:12" x14ac:dyDescent="0.25">
      <c r="A147" s="30">
        <v>43</v>
      </c>
      <c r="B147" s="30" t="str">
        <f t="shared" si="4"/>
        <v>40-49</v>
      </c>
      <c r="C147" s="30">
        <v>1</v>
      </c>
      <c r="D147" s="30">
        <v>0</v>
      </c>
      <c r="E147" s="30">
        <v>110</v>
      </c>
      <c r="F147" s="30">
        <v>211</v>
      </c>
      <c r="G147" s="30">
        <v>0</v>
      </c>
      <c r="H147" s="30">
        <v>1</v>
      </c>
      <c r="I147" s="30">
        <v>161</v>
      </c>
      <c r="J147" s="30">
        <v>0</v>
      </c>
      <c r="K147" s="30">
        <v>2</v>
      </c>
      <c r="L147" s="30">
        <v>3</v>
      </c>
    </row>
    <row r="148" spans="1:12" x14ac:dyDescent="0.25">
      <c r="A148" s="30">
        <v>51</v>
      </c>
      <c r="B148" s="30" t="str">
        <f t="shared" si="4"/>
        <v>50-59</v>
      </c>
      <c r="C148" s="30">
        <v>1</v>
      </c>
      <c r="D148" s="30">
        <v>2</v>
      </c>
      <c r="E148" s="30">
        <v>110</v>
      </c>
      <c r="F148" s="30">
        <v>175</v>
      </c>
      <c r="G148" s="30">
        <v>0</v>
      </c>
      <c r="H148" s="30">
        <v>1</v>
      </c>
      <c r="I148" s="30">
        <v>123</v>
      </c>
      <c r="J148" s="30">
        <v>0</v>
      </c>
      <c r="K148" s="30">
        <v>2</v>
      </c>
      <c r="L148" s="30">
        <v>2</v>
      </c>
    </row>
    <row r="149" spans="1:12" x14ac:dyDescent="0.25">
      <c r="A149" s="31">
        <v>64</v>
      </c>
      <c r="B149" s="31" t="str">
        <f t="shared" si="4"/>
        <v>60-69</v>
      </c>
      <c r="C149" s="31">
        <v>1</v>
      </c>
      <c r="D149" s="31">
        <v>3</v>
      </c>
      <c r="E149" s="31">
        <v>110</v>
      </c>
      <c r="F149" s="31">
        <v>211</v>
      </c>
      <c r="G149" s="31">
        <v>0</v>
      </c>
      <c r="H149" s="31">
        <v>0</v>
      </c>
      <c r="I149" s="31">
        <v>144</v>
      </c>
      <c r="J149" s="31">
        <v>1</v>
      </c>
      <c r="K149" s="31">
        <v>1</v>
      </c>
      <c r="L149" s="31">
        <v>2</v>
      </c>
    </row>
    <row r="150" spans="1:12" x14ac:dyDescent="0.25">
      <c r="A150" s="30">
        <v>54</v>
      </c>
      <c r="B150" s="30" t="str">
        <f t="shared" si="4"/>
        <v>50-59</v>
      </c>
      <c r="C150" s="30">
        <v>0</v>
      </c>
      <c r="D150" s="30">
        <v>2</v>
      </c>
      <c r="E150" s="30">
        <v>108</v>
      </c>
      <c r="F150" s="30">
        <v>267</v>
      </c>
      <c r="G150" s="30">
        <v>0</v>
      </c>
      <c r="H150" s="30">
        <v>0</v>
      </c>
      <c r="I150" s="30">
        <v>167</v>
      </c>
      <c r="J150" s="30">
        <v>0</v>
      </c>
      <c r="K150" s="30">
        <v>2</v>
      </c>
      <c r="L150" s="30">
        <v>2</v>
      </c>
    </row>
    <row r="151" spans="1:12" x14ac:dyDescent="0.25">
      <c r="A151" s="31">
        <v>44</v>
      </c>
      <c r="B151" s="31" t="str">
        <f t="shared" si="4"/>
        <v>40-49</v>
      </c>
      <c r="C151" s="31">
        <v>0</v>
      </c>
      <c r="D151" s="31">
        <v>2</v>
      </c>
      <c r="E151" s="31">
        <v>108</v>
      </c>
      <c r="F151" s="31">
        <v>141</v>
      </c>
      <c r="G151" s="31">
        <v>0</v>
      </c>
      <c r="H151" s="31">
        <v>1</v>
      </c>
      <c r="I151" s="31">
        <v>175</v>
      </c>
      <c r="J151" s="31">
        <v>0</v>
      </c>
      <c r="K151" s="31">
        <v>1</v>
      </c>
      <c r="L151" s="31">
        <v>2</v>
      </c>
    </row>
    <row r="152" spans="1:12" x14ac:dyDescent="0.25">
      <c r="A152" s="30">
        <v>52</v>
      </c>
      <c r="B152" s="30" t="str">
        <f t="shared" si="4"/>
        <v>50-59</v>
      </c>
      <c r="C152" s="30">
        <v>1</v>
      </c>
      <c r="D152" s="30">
        <v>0</v>
      </c>
      <c r="E152" s="30">
        <v>108</v>
      </c>
      <c r="F152" s="30">
        <v>233</v>
      </c>
      <c r="G152" s="30">
        <v>1</v>
      </c>
      <c r="H152" s="30">
        <v>1</v>
      </c>
      <c r="I152" s="30">
        <v>147</v>
      </c>
      <c r="J152" s="30">
        <v>0</v>
      </c>
      <c r="K152" s="30">
        <v>2</v>
      </c>
      <c r="L152" s="30">
        <v>3</v>
      </c>
    </row>
    <row r="153" spans="1:12" x14ac:dyDescent="0.25">
      <c r="A153" s="31">
        <v>54</v>
      </c>
      <c r="B153" s="31" t="str">
        <f t="shared" si="4"/>
        <v>50-59</v>
      </c>
      <c r="C153" s="31">
        <v>1</v>
      </c>
      <c r="D153" s="31">
        <v>1</v>
      </c>
      <c r="E153" s="31">
        <v>108</v>
      </c>
      <c r="F153" s="31">
        <v>309</v>
      </c>
      <c r="G153" s="31">
        <v>0</v>
      </c>
      <c r="H153" s="31">
        <v>1</v>
      </c>
      <c r="I153" s="31">
        <v>156</v>
      </c>
      <c r="J153" s="31">
        <v>0</v>
      </c>
      <c r="K153" s="31">
        <v>2</v>
      </c>
      <c r="L153" s="31">
        <v>3</v>
      </c>
    </row>
    <row r="154" spans="1:12" x14ac:dyDescent="0.25">
      <c r="A154" s="30">
        <v>67</v>
      </c>
      <c r="B154" s="30" t="str">
        <f t="shared" si="4"/>
        <v>60-69</v>
      </c>
      <c r="C154" s="30">
        <v>0</v>
      </c>
      <c r="D154" s="30">
        <v>0</v>
      </c>
      <c r="E154" s="30">
        <v>106</v>
      </c>
      <c r="F154" s="30">
        <v>223</v>
      </c>
      <c r="G154" s="30">
        <v>0</v>
      </c>
      <c r="H154" s="30">
        <v>1</v>
      </c>
      <c r="I154" s="30">
        <v>142</v>
      </c>
      <c r="J154" s="30">
        <v>0</v>
      </c>
      <c r="K154" s="30">
        <v>2</v>
      </c>
      <c r="L154" s="30">
        <v>2</v>
      </c>
    </row>
    <row r="155" spans="1:12" x14ac:dyDescent="0.25">
      <c r="A155" s="30">
        <v>58</v>
      </c>
      <c r="B155" s="30" t="str">
        <f t="shared" si="4"/>
        <v>50-59</v>
      </c>
      <c r="C155" s="30">
        <v>1</v>
      </c>
      <c r="D155" s="30">
        <v>2</v>
      </c>
      <c r="E155" s="30">
        <v>105</v>
      </c>
      <c r="F155" s="30">
        <v>240</v>
      </c>
      <c r="G155" s="30">
        <v>0</v>
      </c>
      <c r="H155" s="30">
        <v>0</v>
      </c>
      <c r="I155" s="30">
        <v>154</v>
      </c>
      <c r="J155" s="30">
        <v>1</v>
      </c>
      <c r="K155" s="30">
        <v>1</v>
      </c>
      <c r="L155" s="30">
        <v>3</v>
      </c>
    </row>
    <row r="156" spans="1:12" x14ac:dyDescent="0.25">
      <c r="A156" s="31">
        <v>46</v>
      </c>
      <c r="B156" s="31" t="str">
        <f t="shared" si="4"/>
        <v>40-49</v>
      </c>
      <c r="C156" s="31">
        <v>0</v>
      </c>
      <c r="D156" s="31">
        <v>1</v>
      </c>
      <c r="E156" s="31">
        <v>105</v>
      </c>
      <c r="F156" s="31">
        <v>204</v>
      </c>
      <c r="G156" s="31">
        <v>0</v>
      </c>
      <c r="H156" s="31">
        <v>1</v>
      </c>
      <c r="I156" s="31">
        <v>172</v>
      </c>
      <c r="J156" s="31">
        <v>0</v>
      </c>
      <c r="K156" s="31">
        <v>2</v>
      </c>
      <c r="L156" s="31">
        <v>2</v>
      </c>
    </row>
    <row r="157" spans="1:12" x14ac:dyDescent="0.25">
      <c r="A157" s="31">
        <v>41</v>
      </c>
      <c r="B157" s="31" t="str">
        <f t="shared" si="4"/>
        <v>40-49</v>
      </c>
      <c r="C157" s="31">
        <v>0</v>
      </c>
      <c r="D157" s="31">
        <v>1</v>
      </c>
      <c r="E157" s="31">
        <v>105</v>
      </c>
      <c r="F157" s="31">
        <v>198</v>
      </c>
      <c r="G157" s="31">
        <v>0</v>
      </c>
      <c r="H157" s="31">
        <v>1</v>
      </c>
      <c r="I157" s="31">
        <v>168</v>
      </c>
      <c r="J157" s="31">
        <v>0</v>
      </c>
      <c r="K157" s="31">
        <v>2</v>
      </c>
      <c r="L157" s="31">
        <v>2</v>
      </c>
    </row>
    <row r="158" spans="1:12" x14ac:dyDescent="0.25">
      <c r="A158" s="31">
        <v>45</v>
      </c>
      <c r="B158" s="31" t="str">
        <f t="shared" si="4"/>
        <v>40-49</v>
      </c>
      <c r="C158" s="31">
        <v>1</v>
      </c>
      <c r="D158" s="31">
        <v>0</v>
      </c>
      <c r="E158" s="31">
        <v>104</v>
      </c>
      <c r="F158" s="31">
        <v>208</v>
      </c>
      <c r="G158" s="31">
        <v>0</v>
      </c>
      <c r="H158" s="31">
        <v>0</v>
      </c>
      <c r="I158" s="31">
        <v>148</v>
      </c>
      <c r="J158" s="31">
        <v>1</v>
      </c>
      <c r="K158" s="31">
        <v>1</v>
      </c>
      <c r="L158" s="31">
        <v>2</v>
      </c>
    </row>
    <row r="159" spans="1:12" x14ac:dyDescent="0.25">
      <c r="A159" s="31">
        <v>42</v>
      </c>
      <c r="B159" s="31" t="str">
        <f t="shared" si="4"/>
        <v>40-49</v>
      </c>
      <c r="C159" s="31">
        <v>0</v>
      </c>
      <c r="D159" s="31">
        <v>0</v>
      </c>
      <c r="E159" s="31">
        <v>102</v>
      </c>
      <c r="F159" s="31">
        <v>265</v>
      </c>
      <c r="G159" s="31">
        <v>0</v>
      </c>
      <c r="H159" s="31">
        <v>0</v>
      </c>
      <c r="I159" s="31">
        <v>122</v>
      </c>
      <c r="J159" s="31">
        <v>0</v>
      </c>
      <c r="K159" s="31">
        <v>1</v>
      </c>
      <c r="L159" s="31">
        <v>2</v>
      </c>
    </row>
    <row r="160" spans="1:12" x14ac:dyDescent="0.25">
      <c r="A160" s="30">
        <v>60</v>
      </c>
      <c r="B160" s="30" t="str">
        <f t="shared" si="4"/>
        <v>60-69</v>
      </c>
      <c r="C160" s="30">
        <v>0</v>
      </c>
      <c r="D160" s="30">
        <v>2</v>
      </c>
      <c r="E160" s="30">
        <v>102</v>
      </c>
      <c r="F160" s="30">
        <v>318</v>
      </c>
      <c r="G160" s="30">
        <v>0</v>
      </c>
      <c r="H160" s="30">
        <v>1</v>
      </c>
      <c r="I160" s="30">
        <v>160</v>
      </c>
      <c r="J160" s="30">
        <v>0</v>
      </c>
      <c r="K160" s="30">
        <v>2</v>
      </c>
      <c r="L160" s="30">
        <v>2</v>
      </c>
    </row>
    <row r="161" spans="1:12" x14ac:dyDescent="0.25">
      <c r="A161" s="31">
        <v>46</v>
      </c>
      <c r="B161" s="31" t="str">
        <f t="shared" si="4"/>
        <v>40-49</v>
      </c>
      <c r="C161" s="31">
        <v>1</v>
      </c>
      <c r="D161" s="31">
        <v>1</v>
      </c>
      <c r="E161" s="31">
        <v>101</v>
      </c>
      <c r="F161" s="31">
        <v>197</v>
      </c>
      <c r="G161" s="31">
        <v>1</v>
      </c>
      <c r="H161" s="31">
        <v>1</v>
      </c>
      <c r="I161" s="31">
        <v>156</v>
      </c>
      <c r="J161" s="31">
        <v>0</v>
      </c>
      <c r="K161" s="31">
        <v>2</v>
      </c>
      <c r="L161" s="31">
        <v>3</v>
      </c>
    </row>
    <row r="162" spans="1:12" x14ac:dyDescent="0.25">
      <c r="A162" s="30">
        <v>51</v>
      </c>
      <c r="B162" s="30" t="str">
        <f t="shared" ref="B162:B193" si="5">IF(A162&lt;30,"20-29",IF(A162&lt;40,"30-39",IF(A162&lt;50,"40-49",IF(A162&lt;60,"50-59",IF(A162&lt;70,"60-69",IF(A162&lt;80,"70+"))))))</f>
        <v>50-59</v>
      </c>
      <c r="C162" s="30">
        <v>1</v>
      </c>
      <c r="D162" s="30">
        <v>2</v>
      </c>
      <c r="E162" s="30">
        <v>100</v>
      </c>
      <c r="F162" s="30">
        <v>222</v>
      </c>
      <c r="G162" s="30">
        <v>0</v>
      </c>
      <c r="H162" s="30">
        <v>1</v>
      </c>
      <c r="I162" s="30">
        <v>143</v>
      </c>
      <c r="J162" s="30">
        <v>1</v>
      </c>
      <c r="K162" s="30">
        <v>1</v>
      </c>
      <c r="L162" s="30">
        <v>2</v>
      </c>
    </row>
    <row r="163" spans="1:12" x14ac:dyDescent="0.25">
      <c r="A163" s="30">
        <v>58</v>
      </c>
      <c r="B163" s="30" t="str">
        <f t="shared" si="5"/>
        <v>50-59</v>
      </c>
      <c r="C163" s="30">
        <v>0</v>
      </c>
      <c r="D163" s="30">
        <v>0</v>
      </c>
      <c r="E163" s="30">
        <v>100</v>
      </c>
      <c r="F163" s="30">
        <v>248</v>
      </c>
      <c r="G163" s="30">
        <v>0</v>
      </c>
      <c r="H163" s="30">
        <v>0</v>
      </c>
      <c r="I163" s="30">
        <v>122</v>
      </c>
      <c r="J163" s="30">
        <v>0</v>
      </c>
      <c r="K163" s="30">
        <v>1</v>
      </c>
      <c r="L163" s="30">
        <v>2</v>
      </c>
    </row>
    <row r="164" spans="1:12" x14ac:dyDescent="0.25">
      <c r="A164" s="31">
        <v>51</v>
      </c>
      <c r="B164" s="31" t="str">
        <f t="shared" si="5"/>
        <v>50-59</v>
      </c>
      <c r="C164" s="31">
        <v>1</v>
      </c>
      <c r="D164" s="31">
        <v>2</v>
      </c>
      <c r="E164" s="31">
        <v>94</v>
      </c>
      <c r="F164" s="31">
        <v>227</v>
      </c>
      <c r="G164" s="31">
        <v>0</v>
      </c>
      <c r="H164" s="31">
        <v>1</v>
      </c>
      <c r="I164" s="31">
        <v>154</v>
      </c>
      <c r="J164" s="31">
        <v>1</v>
      </c>
      <c r="K164" s="31">
        <v>2</v>
      </c>
      <c r="L164" s="31">
        <v>3</v>
      </c>
    </row>
    <row r="165" spans="1:12" x14ac:dyDescent="0.25">
      <c r="A165" s="31">
        <v>39</v>
      </c>
      <c r="B165" s="31" t="str">
        <f t="shared" si="5"/>
        <v>30-39</v>
      </c>
      <c r="C165" s="31">
        <v>0</v>
      </c>
      <c r="D165" s="31">
        <v>2</v>
      </c>
      <c r="E165" s="31">
        <v>94</v>
      </c>
      <c r="F165" s="31">
        <v>199</v>
      </c>
      <c r="G165" s="31">
        <v>0</v>
      </c>
      <c r="H165" s="31">
        <v>1</v>
      </c>
      <c r="I165" s="31">
        <v>179</v>
      </c>
      <c r="J165" s="31">
        <v>0</v>
      </c>
      <c r="K165" s="31">
        <v>2</v>
      </c>
      <c r="L165" s="31">
        <v>2</v>
      </c>
    </row>
  </sheetData>
  <conditionalFormatting sqref="F528:F1048576 E1:E16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28:G1048576 F1:F16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9"/>
  <sheetViews>
    <sheetView zoomScale="150" zoomScaleNormal="150" workbookViewId="0">
      <selection activeCell="C1" sqref="C1:C1048576"/>
    </sheetView>
  </sheetViews>
  <sheetFormatPr defaultRowHeight="15" x14ac:dyDescent="0.25"/>
  <cols>
    <col min="1" max="11" width="9.140625" style="28"/>
    <col min="13" max="13" width="8.28515625" style="28" bestFit="1" customWidth="1"/>
    <col min="14" max="14" width="6.7109375" style="28" bestFit="1" customWidth="1"/>
  </cols>
  <sheetData>
    <row r="1" spans="1:14" x14ac:dyDescent="0.25">
      <c r="A1" s="32" t="s">
        <v>0</v>
      </c>
      <c r="B1" s="32" t="s">
        <v>1</v>
      </c>
      <c r="C1" s="32" t="s">
        <v>10</v>
      </c>
      <c r="D1" s="32" t="s">
        <v>9</v>
      </c>
      <c r="E1" s="32" t="s">
        <v>2</v>
      </c>
      <c r="F1" s="32" t="s">
        <v>3</v>
      </c>
      <c r="G1" s="32" t="s">
        <v>4</v>
      </c>
      <c r="H1" s="32" t="s">
        <v>11</v>
      </c>
      <c r="I1" s="32" t="s">
        <v>5</v>
      </c>
      <c r="J1" s="32" t="s">
        <v>6</v>
      </c>
      <c r="K1" s="32" t="s">
        <v>7</v>
      </c>
      <c r="L1" s="7"/>
      <c r="M1" s="32" t="s">
        <v>36</v>
      </c>
      <c r="N1" s="32" t="s">
        <v>37</v>
      </c>
    </row>
    <row r="2" spans="1:14" x14ac:dyDescent="0.25">
      <c r="A2" s="33">
        <v>56</v>
      </c>
      <c r="B2" s="31">
        <v>0</v>
      </c>
      <c r="C2" s="31">
        <v>0</v>
      </c>
      <c r="D2" s="31">
        <v>134</v>
      </c>
      <c r="E2" s="31">
        <v>409</v>
      </c>
      <c r="F2" s="31">
        <v>0</v>
      </c>
      <c r="G2" s="31">
        <v>0</v>
      </c>
      <c r="H2" s="31">
        <v>150</v>
      </c>
      <c r="I2" s="31">
        <v>1</v>
      </c>
      <c r="J2" s="31">
        <v>1</v>
      </c>
      <c r="K2" s="31">
        <v>3</v>
      </c>
      <c r="M2" s="28">
        <f>COUNTIF(B2:B527, "0")</f>
        <v>24</v>
      </c>
      <c r="N2" s="28">
        <f>COUNTIF(B2:B527, "1")</f>
        <v>114</v>
      </c>
    </row>
    <row r="3" spans="1:14" x14ac:dyDescent="0.25">
      <c r="A3" s="34">
        <v>63</v>
      </c>
      <c r="B3" s="30">
        <v>0</v>
      </c>
      <c r="C3" s="30">
        <v>0</v>
      </c>
      <c r="D3" s="30">
        <v>150</v>
      </c>
      <c r="E3" s="30">
        <v>407</v>
      </c>
      <c r="F3" s="30">
        <v>0</v>
      </c>
      <c r="G3" s="30">
        <v>0</v>
      </c>
      <c r="H3" s="30">
        <v>154</v>
      </c>
      <c r="I3" s="30">
        <v>0</v>
      </c>
      <c r="J3" s="30">
        <v>1</v>
      </c>
      <c r="K3" s="30">
        <v>3</v>
      </c>
    </row>
    <row r="4" spans="1:14" x14ac:dyDescent="0.25">
      <c r="A4" s="34">
        <v>55</v>
      </c>
      <c r="B4" s="30">
        <v>1</v>
      </c>
      <c r="C4" s="30">
        <v>0</v>
      </c>
      <c r="D4" s="30">
        <v>132</v>
      </c>
      <c r="E4" s="30">
        <v>353</v>
      </c>
      <c r="F4" s="30">
        <v>0</v>
      </c>
      <c r="G4" s="30">
        <v>1</v>
      </c>
      <c r="H4" s="30">
        <v>132</v>
      </c>
      <c r="I4" s="30">
        <v>1</v>
      </c>
      <c r="J4" s="30">
        <v>1</v>
      </c>
      <c r="K4" s="30">
        <v>3</v>
      </c>
    </row>
    <row r="5" spans="1:14" x14ac:dyDescent="0.25">
      <c r="A5" s="34">
        <v>43</v>
      </c>
      <c r="B5" s="30">
        <v>0</v>
      </c>
      <c r="C5" s="30">
        <v>0</v>
      </c>
      <c r="D5" s="30">
        <v>132</v>
      </c>
      <c r="E5" s="30">
        <v>341</v>
      </c>
      <c r="F5" s="30">
        <v>1</v>
      </c>
      <c r="G5" s="30">
        <v>0</v>
      </c>
      <c r="H5" s="30">
        <v>136</v>
      </c>
      <c r="I5" s="30">
        <v>1</v>
      </c>
      <c r="J5" s="30">
        <v>1</v>
      </c>
      <c r="K5" s="30">
        <v>3</v>
      </c>
    </row>
    <row r="6" spans="1:14" x14ac:dyDescent="0.25">
      <c r="A6" s="34">
        <v>57</v>
      </c>
      <c r="B6" s="30">
        <v>1</v>
      </c>
      <c r="C6" s="30">
        <v>0</v>
      </c>
      <c r="D6" s="30">
        <v>110</v>
      </c>
      <c r="E6" s="30">
        <v>335</v>
      </c>
      <c r="F6" s="30">
        <v>0</v>
      </c>
      <c r="G6" s="30">
        <v>1</v>
      </c>
      <c r="H6" s="30">
        <v>143</v>
      </c>
      <c r="I6" s="30">
        <v>1</v>
      </c>
      <c r="J6" s="30">
        <v>1</v>
      </c>
      <c r="K6" s="30">
        <v>3</v>
      </c>
    </row>
    <row r="7" spans="1:14" x14ac:dyDescent="0.25">
      <c r="A7" s="34">
        <v>64</v>
      </c>
      <c r="B7" s="30">
        <v>1</v>
      </c>
      <c r="C7" s="30">
        <v>2</v>
      </c>
      <c r="D7" s="30">
        <v>140</v>
      </c>
      <c r="E7" s="30">
        <v>335</v>
      </c>
      <c r="F7" s="30">
        <v>0</v>
      </c>
      <c r="G7" s="30">
        <v>1</v>
      </c>
      <c r="H7" s="30">
        <v>158</v>
      </c>
      <c r="I7" s="30">
        <v>0</v>
      </c>
      <c r="J7" s="30">
        <v>2</v>
      </c>
      <c r="K7" s="30">
        <v>2</v>
      </c>
    </row>
    <row r="8" spans="1:14" x14ac:dyDescent="0.25">
      <c r="A8" s="34">
        <v>61</v>
      </c>
      <c r="B8" s="30">
        <v>0</v>
      </c>
      <c r="C8" s="30">
        <v>0</v>
      </c>
      <c r="D8" s="30">
        <v>130</v>
      </c>
      <c r="E8" s="30">
        <v>330</v>
      </c>
      <c r="F8" s="30">
        <v>0</v>
      </c>
      <c r="G8" s="30">
        <v>0</v>
      </c>
      <c r="H8" s="30">
        <v>169</v>
      </c>
      <c r="I8" s="30">
        <v>0</v>
      </c>
      <c r="J8" s="30">
        <v>2</v>
      </c>
      <c r="K8" s="30">
        <v>2</v>
      </c>
    </row>
    <row r="9" spans="1:14" x14ac:dyDescent="0.25">
      <c r="A9" s="33">
        <v>63</v>
      </c>
      <c r="B9" s="31">
        <v>1</v>
      </c>
      <c r="C9" s="31">
        <v>0</v>
      </c>
      <c r="D9" s="31">
        <v>130</v>
      </c>
      <c r="E9" s="31">
        <v>330</v>
      </c>
      <c r="F9" s="31">
        <v>1</v>
      </c>
      <c r="G9" s="31">
        <v>0</v>
      </c>
      <c r="H9" s="31">
        <v>132</v>
      </c>
      <c r="I9" s="31">
        <v>1</v>
      </c>
      <c r="J9" s="31">
        <v>2</v>
      </c>
      <c r="K9" s="31">
        <v>3</v>
      </c>
    </row>
    <row r="10" spans="1:14" x14ac:dyDescent="0.25">
      <c r="A10" s="34">
        <v>55</v>
      </c>
      <c r="B10" s="30">
        <v>0</v>
      </c>
      <c r="C10" s="30">
        <v>0</v>
      </c>
      <c r="D10" s="30">
        <v>180</v>
      </c>
      <c r="E10" s="30">
        <v>327</v>
      </c>
      <c r="F10" s="30">
        <v>0</v>
      </c>
      <c r="G10" s="30">
        <v>2</v>
      </c>
      <c r="H10" s="30">
        <v>117</v>
      </c>
      <c r="I10" s="30">
        <v>1</v>
      </c>
      <c r="J10" s="30">
        <v>1</v>
      </c>
      <c r="K10" s="30">
        <v>2</v>
      </c>
    </row>
    <row r="11" spans="1:14" x14ac:dyDescent="0.25">
      <c r="A11" s="34">
        <v>59</v>
      </c>
      <c r="B11" s="30">
        <v>1</v>
      </c>
      <c r="C11" s="30">
        <v>0</v>
      </c>
      <c r="D11" s="30">
        <v>170</v>
      </c>
      <c r="E11" s="30">
        <v>326</v>
      </c>
      <c r="F11" s="30">
        <v>0</v>
      </c>
      <c r="G11" s="30">
        <v>0</v>
      </c>
      <c r="H11" s="30">
        <v>140</v>
      </c>
      <c r="I11" s="30">
        <v>1</v>
      </c>
      <c r="J11" s="30">
        <v>0</v>
      </c>
      <c r="K11" s="30">
        <v>3</v>
      </c>
    </row>
    <row r="12" spans="1:14" x14ac:dyDescent="0.25">
      <c r="A12" s="33">
        <v>70</v>
      </c>
      <c r="B12" s="31">
        <v>1</v>
      </c>
      <c r="C12" s="31">
        <v>0</v>
      </c>
      <c r="D12" s="31">
        <v>130</v>
      </c>
      <c r="E12" s="31">
        <v>322</v>
      </c>
      <c r="F12" s="31">
        <v>0</v>
      </c>
      <c r="G12" s="31">
        <v>0</v>
      </c>
      <c r="H12" s="31">
        <v>109</v>
      </c>
      <c r="I12" s="31">
        <v>0</v>
      </c>
      <c r="J12" s="31">
        <v>1</v>
      </c>
      <c r="K12" s="31">
        <v>2</v>
      </c>
    </row>
    <row r="13" spans="1:14" x14ac:dyDescent="0.25">
      <c r="A13" s="33">
        <v>58</v>
      </c>
      <c r="B13" s="31">
        <v>0</v>
      </c>
      <c r="C13" s="31">
        <v>1</v>
      </c>
      <c r="D13" s="31">
        <v>136</v>
      </c>
      <c r="E13" s="31">
        <v>319</v>
      </c>
      <c r="F13" s="31">
        <v>1</v>
      </c>
      <c r="G13" s="31">
        <v>0</v>
      </c>
      <c r="H13" s="31">
        <v>152</v>
      </c>
      <c r="I13" s="31">
        <v>0</v>
      </c>
      <c r="J13" s="31">
        <v>2</v>
      </c>
      <c r="K13" s="31">
        <v>2</v>
      </c>
    </row>
    <row r="14" spans="1:14" x14ac:dyDescent="0.25">
      <c r="A14" s="33">
        <v>58</v>
      </c>
      <c r="B14" s="31">
        <v>1</v>
      </c>
      <c r="C14" s="31">
        <v>0</v>
      </c>
      <c r="D14" s="31">
        <v>114</v>
      </c>
      <c r="E14" s="31">
        <v>318</v>
      </c>
      <c r="F14" s="31">
        <v>0</v>
      </c>
      <c r="G14" s="31">
        <v>2</v>
      </c>
      <c r="H14" s="31">
        <v>140</v>
      </c>
      <c r="I14" s="31">
        <v>0</v>
      </c>
      <c r="J14" s="31">
        <v>0</v>
      </c>
      <c r="K14" s="31">
        <v>1</v>
      </c>
    </row>
    <row r="15" spans="1:14" x14ac:dyDescent="0.25">
      <c r="A15" s="33">
        <v>42</v>
      </c>
      <c r="B15" s="31">
        <v>1</v>
      </c>
      <c r="C15" s="31">
        <v>0</v>
      </c>
      <c r="D15" s="31">
        <v>136</v>
      </c>
      <c r="E15" s="31">
        <v>315</v>
      </c>
      <c r="F15" s="31">
        <v>0</v>
      </c>
      <c r="G15" s="31">
        <v>1</v>
      </c>
      <c r="H15" s="31">
        <v>125</v>
      </c>
      <c r="I15" s="31">
        <v>1</v>
      </c>
      <c r="J15" s="31">
        <v>1</v>
      </c>
      <c r="K15" s="31">
        <v>1</v>
      </c>
    </row>
    <row r="16" spans="1:14" x14ac:dyDescent="0.25">
      <c r="A16" s="33">
        <v>46</v>
      </c>
      <c r="B16" s="31">
        <v>1</v>
      </c>
      <c r="C16" s="31">
        <v>0</v>
      </c>
      <c r="D16" s="31">
        <v>140</v>
      </c>
      <c r="E16" s="31">
        <v>311</v>
      </c>
      <c r="F16" s="31">
        <v>0</v>
      </c>
      <c r="G16" s="31">
        <v>1</v>
      </c>
      <c r="H16" s="31">
        <v>120</v>
      </c>
      <c r="I16" s="31">
        <v>1</v>
      </c>
      <c r="J16" s="31">
        <v>1</v>
      </c>
      <c r="K16" s="31">
        <v>3</v>
      </c>
    </row>
    <row r="17" spans="1:11" x14ac:dyDescent="0.25">
      <c r="A17" s="33">
        <v>64</v>
      </c>
      <c r="B17" s="31">
        <v>1</v>
      </c>
      <c r="C17" s="31">
        <v>2</v>
      </c>
      <c r="D17" s="31">
        <v>125</v>
      </c>
      <c r="E17" s="31">
        <v>309</v>
      </c>
      <c r="F17" s="31">
        <v>0</v>
      </c>
      <c r="G17" s="31">
        <v>1</v>
      </c>
      <c r="H17" s="31">
        <v>131</v>
      </c>
      <c r="I17" s="31">
        <v>1</v>
      </c>
      <c r="J17" s="31">
        <v>1</v>
      </c>
      <c r="K17" s="31">
        <v>3</v>
      </c>
    </row>
    <row r="18" spans="1:11" x14ac:dyDescent="0.25">
      <c r="A18" s="34">
        <v>45</v>
      </c>
      <c r="B18" s="30">
        <v>1</v>
      </c>
      <c r="C18" s="30">
        <v>0</v>
      </c>
      <c r="D18" s="30">
        <v>142</v>
      </c>
      <c r="E18" s="30">
        <v>309</v>
      </c>
      <c r="F18" s="30">
        <v>0</v>
      </c>
      <c r="G18" s="30">
        <v>0</v>
      </c>
      <c r="H18" s="30">
        <v>147</v>
      </c>
      <c r="I18" s="30">
        <v>1</v>
      </c>
      <c r="J18" s="30">
        <v>1</v>
      </c>
      <c r="K18" s="30">
        <v>3</v>
      </c>
    </row>
    <row r="19" spans="1:11" x14ac:dyDescent="0.25">
      <c r="A19" s="34">
        <v>61</v>
      </c>
      <c r="B19" s="30">
        <v>0</v>
      </c>
      <c r="C19" s="30">
        <v>0</v>
      </c>
      <c r="D19" s="30">
        <v>145</v>
      </c>
      <c r="E19" s="30">
        <v>307</v>
      </c>
      <c r="F19" s="30">
        <v>0</v>
      </c>
      <c r="G19" s="30">
        <v>0</v>
      </c>
      <c r="H19" s="30">
        <v>146</v>
      </c>
      <c r="I19" s="30">
        <v>1</v>
      </c>
      <c r="J19" s="30">
        <v>1</v>
      </c>
      <c r="K19" s="30">
        <v>3</v>
      </c>
    </row>
    <row r="20" spans="1:11" x14ac:dyDescent="0.25">
      <c r="A20" s="34">
        <v>51</v>
      </c>
      <c r="B20" s="30">
        <v>0</v>
      </c>
      <c r="C20" s="30">
        <v>0</v>
      </c>
      <c r="D20" s="30">
        <v>130</v>
      </c>
      <c r="E20" s="30">
        <v>305</v>
      </c>
      <c r="F20" s="30">
        <v>0</v>
      </c>
      <c r="G20" s="30">
        <v>1</v>
      </c>
      <c r="H20" s="30">
        <v>142</v>
      </c>
      <c r="I20" s="30">
        <v>1</v>
      </c>
      <c r="J20" s="30">
        <v>1</v>
      </c>
      <c r="K20" s="30">
        <v>3</v>
      </c>
    </row>
    <row r="21" spans="1:11" x14ac:dyDescent="0.25">
      <c r="A21" s="33">
        <v>77</v>
      </c>
      <c r="B21" s="31">
        <v>1</v>
      </c>
      <c r="C21" s="31">
        <v>0</v>
      </c>
      <c r="D21" s="31">
        <v>125</v>
      </c>
      <c r="E21" s="31">
        <v>304</v>
      </c>
      <c r="F21" s="31">
        <v>0</v>
      </c>
      <c r="G21" s="31">
        <v>0</v>
      </c>
      <c r="H21" s="31">
        <v>162</v>
      </c>
      <c r="I21" s="31">
        <v>1</v>
      </c>
      <c r="J21" s="31">
        <v>2</v>
      </c>
      <c r="K21" s="31">
        <v>2</v>
      </c>
    </row>
    <row r="22" spans="1:11" x14ac:dyDescent="0.25">
      <c r="A22" s="34">
        <v>58</v>
      </c>
      <c r="B22" s="30">
        <v>1</v>
      </c>
      <c r="C22" s="30">
        <v>0</v>
      </c>
      <c r="D22" s="30">
        <v>125</v>
      </c>
      <c r="E22" s="30">
        <v>300</v>
      </c>
      <c r="F22" s="30">
        <v>0</v>
      </c>
      <c r="G22" s="30">
        <v>0</v>
      </c>
      <c r="H22" s="30">
        <v>171</v>
      </c>
      <c r="I22" s="30">
        <v>0</v>
      </c>
      <c r="J22" s="30">
        <v>2</v>
      </c>
      <c r="K22" s="30">
        <v>3</v>
      </c>
    </row>
    <row r="23" spans="1:11" x14ac:dyDescent="0.25">
      <c r="A23" s="34">
        <v>67</v>
      </c>
      <c r="B23" s="30">
        <v>1</v>
      </c>
      <c r="C23" s="30">
        <v>0</v>
      </c>
      <c r="D23" s="30">
        <v>100</v>
      </c>
      <c r="E23" s="30">
        <v>299</v>
      </c>
      <c r="F23" s="30">
        <v>0</v>
      </c>
      <c r="G23" s="30">
        <v>0</v>
      </c>
      <c r="H23" s="30">
        <v>125</v>
      </c>
      <c r="I23" s="30">
        <v>1</v>
      </c>
      <c r="J23" s="30">
        <v>1</v>
      </c>
      <c r="K23" s="30">
        <v>2</v>
      </c>
    </row>
    <row r="24" spans="1:11" x14ac:dyDescent="0.25">
      <c r="A24" s="33">
        <v>51</v>
      </c>
      <c r="B24" s="31">
        <v>1</v>
      </c>
      <c r="C24" s="31">
        <v>0</v>
      </c>
      <c r="D24" s="31">
        <v>140</v>
      </c>
      <c r="E24" s="31">
        <v>299</v>
      </c>
      <c r="F24" s="31">
        <v>0</v>
      </c>
      <c r="G24" s="31">
        <v>1</v>
      </c>
      <c r="H24" s="31">
        <v>173</v>
      </c>
      <c r="I24" s="31">
        <v>1</v>
      </c>
      <c r="J24" s="31">
        <v>2</v>
      </c>
      <c r="K24" s="31">
        <v>3</v>
      </c>
    </row>
    <row r="25" spans="1:11" x14ac:dyDescent="0.25">
      <c r="A25" s="33">
        <v>51</v>
      </c>
      <c r="B25" s="31">
        <v>1</v>
      </c>
      <c r="C25" s="31">
        <v>0</v>
      </c>
      <c r="D25" s="31">
        <v>140</v>
      </c>
      <c r="E25" s="31">
        <v>298</v>
      </c>
      <c r="F25" s="31">
        <v>0</v>
      </c>
      <c r="G25" s="31">
        <v>1</v>
      </c>
      <c r="H25" s="31">
        <v>122</v>
      </c>
      <c r="I25" s="31">
        <v>1</v>
      </c>
      <c r="J25" s="31">
        <v>1</v>
      </c>
      <c r="K25" s="31">
        <v>3</v>
      </c>
    </row>
    <row r="26" spans="1:11" x14ac:dyDescent="0.25">
      <c r="A26" s="34">
        <v>62</v>
      </c>
      <c r="B26" s="30">
        <v>0</v>
      </c>
      <c r="C26" s="30">
        <v>0</v>
      </c>
      <c r="D26" s="30">
        <v>138</v>
      </c>
      <c r="E26" s="30">
        <v>294</v>
      </c>
      <c r="F26" s="30">
        <v>1</v>
      </c>
      <c r="G26" s="30">
        <v>1</v>
      </c>
      <c r="H26" s="30">
        <v>106</v>
      </c>
      <c r="I26" s="30">
        <v>0</v>
      </c>
      <c r="J26" s="30">
        <v>1</v>
      </c>
      <c r="K26" s="30">
        <v>2</v>
      </c>
    </row>
    <row r="27" spans="1:11" x14ac:dyDescent="0.25">
      <c r="A27" s="33">
        <v>60</v>
      </c>
      <c r="B27" s="31">
        <v>1</v>
      </c>
      <c r="C27" s="31">
        <v>0</v>
      </c>
      <c r="D27" s="31">
        <v>140</v>
      </c>
      <c r="E27" s="31">
        <v>293</v>
      </c>
      <c r="F27" s="31">
        <v>0</v>
      </c>
      <c r="G27" s="31">
        <v>0</v>
      </c>
      <c r="H27" s="31">
        <v>170</v>
      </c>
      <c r="I27" s="31">
        <v>0</v>
      </c>
      <c r="J27" s="31">
        <v>1</v>
      </c>
      <c r="K27" s="31">
        <v>3</v>
      </c>
    </row>
    <row r="28" spans="1:11" x14ac:dyDescent="0.25">
      <c r="A28" s="33">
        <v>44</v>
      </c>
      <c r="B28" s="31">
        <v>1</v>
      </c>
      <c r="C28" s="31">
        <v>0</v>
      </c>
      <c r="D28" s="31">
        <v>112</v>
      </c>
      <c r="E28" s="31">
        <v>290</v>
      </c>
      <c r="F28" s="31">
        <v>0</v>
      </c>
      <c r="G28" s="31">
        <v>0</v>
      </c>
      <c r="H28" s="31">
        <v>153</v>
      </c>
      <c r="I28" s="31">
        <v>0</v>
      </c>
      <c r="J28" s="31">
        <v>2</v>
      </c>
      <c r="K28" s="31">
        <v>2</v>
      </c>
    </row>
    <row r="29" spans="1:11" x14ac:dyDescent="0.25">
      <c r="A29" s="34">
        <v>55</v>
      </c>
      <c r="B29" s="30">
        <v>1</v>
      </c>
      <c r="C29" s="30">
        <v>0</v>
      </c>
      <c r="D29" s="30">
        <v>160</v>
      </c>
      <c r="E29" s="30">
        <v>289</v>
      </c>
      <c r="F29" s="30">
        <v>0</v>
      </c>
      <c r="G29" s="30">
        <v>0</v>
      </c>
      <c r="H29" s="30">
        <v>145</v>
      </c>
      <c r="I29" s="30">
        <v>1</v>
      </c>
      <c r="J29" s="30">
        <v>1</v>
      </c>
      <c r="K29" s="30">
        <v>3</v>
      </c>
    </row>
    <row r="30" spans="1:11" x14ac:dyDescent="0.25">
      <c r="A30" s="33">
        <v>57</v>
      </c>
      <c r="B30" s="31">
        <v>1</v>
      </c>
      <c r="C30" s="31">
        <v>0</v>
      </c>
      <c r="D30" s="31">
        <v>165</v>
      </c>
      <c r="E30" s="31">
        <v>289</v>
      </c>
      <c r="F30" s="31">
        <v>1</v>
      </c>
      <c r="G30" s="31">
        <v>0</v>
      </c>
      <c r="H30" s="31">
        <v>124</v>
      </c>
      <c r="I30" s="31">
        <v>0</v>
      </c>
      <c r="J30" s="31">
        <v>1</v>
      </c>
      <c r="K30" s="31">
        <v>3</v>
      </c>
    </row>
    <row r="31" spans="1:11" x14ac:dyDescent="0.25">
      <c r="A31" s="34">
        <v>59</v>
      </c>
      <c r="B31" s="30">
        <v>1</v>
      </c>
      <c r="C31" s="30">
        <v>3</v>
      </c>
      <c r="D31" s="30">
        <v>170</v>
      </c>
      <c r="E31" s="30">
        <v>288</v>
      </c>
      <c r="F31" s="30">
        <v>0</v>
      </c>
      <c r="G31" s="30">
        <v>0</v>
      </c>
      <c r="H31" s="30">
        <v>159</v>
      </c>
      <c r="I31" s="30">
        <v>0</v>
      </c>
      <c r="J31" s="30">
        <v>1</v>
      </c>
      <c r="K31" s="30">
        <v>3</v>
      </c>
    </row>
    <row r="32" spans="1:11" x14ac:dyDescent="0.25">
      <c r="A32" s="33">
        <v>56</v>
      </c>
      <c r="B32" s="31">
        <v>0</v>
      </c>
      <c r="C32" s="31">
        <v>0</v>
      </c>
      <c r="D32" s="31">
        <v>200</v>
      </c>
      <c r="E32" s="31">
        <v>288</v>
      </c>
      <c r="F32" s="31">
        <v>1</v>
      </c>
      <c r="G32" s="31">
        <v>0</v>
      </c>
      <c r="H32" s="31">
        <v>133</v>
      </c>
      <c r="I32" s="31">
        <v>1</v>
      </c>
      <c r="J32" s="31">
        <v>0</v>
      </c>
      <c r="K32" s="31">
        <v>3</v>
      </c>
    </row>
    <row r="33" spans="1:11" x14ac:dyDescent="0.25">
      <c r="A33" s="34">
        <v>54</v>
      </c>
      <c r="B33" s="30">
        <v>1</v>
      </c>
      <c r="C33" s="30">
        <v>0</v>
      </c>
      <c r="D33" s="30">
        <v>122</v>
      </c>
      <c r="E33" s="30">
        <v>286</v>
      </c>
      <c r="F33" s="30">
        <v>0</v>
      </c>
      <c r="G33" s="30">
        <v>0</v>
      </c>
      <c r="H33" s="30">
        <v>116</v>
      </c>
      <c r="I33" s="30">
        <v>1</v>
      </c>
      <c r="J33" s="30">
        <v>1</v>
      </c>
      <c r="K33" s="30">
        <v>2</v>
      </c>
    </row>
    <row r="34" spans="1:11" x14ac:dyDescent="0.25">
      <c r="A34" s="33">
        <v>67</v>
      </c>
      <c r="B34" s="31">
        <v>1</v>
      </c>
      <c r="C34" s="31">
        <v>0</v>
      </c>
      <c r="D34" s="31">
        <v>160</v>
      </c>
      <c r="E34" s="31">
        <v>286</v>
      </c>
      <c r="F34" s="31">
        <v>0</v>
      </c>
      <c r="G34" s="31">
        <v>0</v>
      </c>
      <c r="H34" s="31">
        <v>108</v>
      </c>
      <c r="I34" s="31">
        <v>1</v>
      </c>
      <c r="J34" s="31">
        <v>1</v>
      </c>
      <c r="K34" s="31">
        <v>2</v>
      </c>
    </row>
    <row r="35" spans="1:11" x14ac:dyDescent="0.25">
      <c r="A35" s="34">
        <v>58</v>
      </c>
      <c r="B35" s="30">
        <v>1</v>
      </c>
      <c r="C35" s="30">
        <v>1</v>
      </c>
      <c r="D35" s="30">
        <v>120</v>
      </c>
      <c r="E35" s="30">
        <v>284</v>
      </c>
      <c r="F35" s="30">
        <v>0</v>
      </c>
      <c r="G35" s="30">
        <v>0</v>
      </c>
      <c r="H35" s="30">
        <v>160</v>
      </c>
      <c r="I35" s="30">
        <v>0</v>
      </c>
      <c r="J35" s="30">
        <v>1</v>
      </c>
      <c r="K35" s="30">
        <v>2</v>
      </c>
    </row>
    <row r="36" spans="1:11" x14ac:dyDescent="0.25">
      <c r="A36" s="34">
        <v>54</v>
      </c>
      <c r="B36" s="30">
        <v>1</v>
      </c>
      <c r="C36" s="30">
        <v>1</v>
      </c>
      <c r="D36" s="30">
        <v>192</v>
      </c>
      <c r="E36" s="30">
        <v>283</v>
      </c>
      <c r="F36" s="30">
        <v>0</v>
      </c>
      <c r="G36" s="30">
        <v>0</v>
      </c>
      <c r="H36" s="30">
        <v>195</v>
      </c>
      <c r="I36" s="30">
        <v>0</v>
      </c>
      <c r="J36" s="30">
        <v>2</v>
      </c>
      <c r="K36" s="30">
        <v>3</v>
      </c>
    </row>
    <row r="37" spans="1:11" x14ac:dyDescent="0.25">
      <c r="A37" s="33">
        <v>56</v>
      </c>
      <c r="B37" s="31">
        <v>1</v>
      </c>
      <c r="C37" s="31">
        <v>0</v>
      </c>
      <c r="D37" s="31">
        <v>130</v>
      </c>
      <c r="E37" s="31">
        <v>283</v>
      </c>
      <c r="F37" s="31">
        <v>1</v>
      </c>
      <c r="G37" s="31">
        <v>0</v>
      </c>
      <c r="H37" s="31">
        <v>103</v>
      </c>
      <c r="I37" s="31">
        <v>1</v>
      </c>
      <c r="J37" s="31">
        <v>0</v>
      </c>
      <c r="K37" s="31">
        <v>3</v>
      </c>
    </row>
    <row r="38" spans="1:11" x14ac:dyDescent="0.25">
      <c r="A38" s="33">
        <v>53</v>
      </c>
      <c r="B38" s="31">
        <v>1</v>
      </c>
      <c r="C38" s="31">
        <v>0</v>
      </c>
      <c r="D38" s="31">
        <v>123</v>
      </c>
      <c r="E38" s="31">
        <v>282</v>
      </c>
      <c r="F38" s="31">
        <v>0</v>
      </c>
      <c r="G38" s="31">
        <v>1</v>
      </c>
      <c r="H38" s="31">
        <v>95</v>
      </c>
      <c r="I38" s="31">
        <v>1</v>
      </c>
      <c r="J38" s="31">
        <v>1</v>
      </c>
      <c r="K38" s="31">
        <v>3</v>
      </c>
    </row>
    <row r="39" spans="1:11" x14ac:dyDescent="0.25">
      <c r="A39" s="34">
        <v>65</v>
      </c>
      <c r="B39" s="30">
        <v>1</v>
      </c>
      <c r="C39" s="30">
        <v>3</v>
      </c>
      <c r="D39" s="30">
        <v>138</v>
      </c>
      <c r="E39" s="30">
        <v>282</v>
      </c>
      <c r="F39" s="30">
        <v>1</v>
      </c>
      <c r="G39" s="30">
        <v>0</v>
      </c>
      <c r="H39" s="30">
        <v>174</v>
      </c>
      <c r="I39" s="30">
        <v>0</v>
      </c>
      <c r="J39" s="30">
        <v>1</v>
      </c>
      <c r="K39" s="30">
        <v>2</v>
      </c>
    </row>
    <row r="40" spans="1:11" x14ac:dyDescent="0.25">
      <c r="A40" s="34">
        <v>60</v>
      </c>
      <c r="B40" s="30">
        <v>1</v>
      </c>
      <c r="C40" s="30">
        <v>0</v>
      </c>
      <c r="D40" s="30">
        <v>145</v>
      </c>
      <c r="E40" s="30">
        <v>282</v>
      </c>
      <c r="F40" s="30">
        <v>0</v>
      </c>
      <c r="G40" s="30">
        <v>0</v>
      </c>
      <c r="H40" s="30">
        <v>142</v>
      </c>
      <c r="I40" s="30">
        <v>1</v>
      </c>
      <c r="J40" s="30">
        <v>1</v>
      </c>
      <c r="K40" s="30">
        <v>3</v>
      </c>
    </row>
    <row r="41" spans="1:11" x14ac:dyDescent="0.25">
      <c r="A41" s="33">
        <v>35</v>
      </c>
      <c r="B41" s="31">
        <v>1</v>
      </c>
      <c r="C41" s="31">
        <v>0</v>
      </c>
      <c r="D41" s="31">
        <v>126</v>
      </c>
      <c r="E41" s="31">
        <v>282</v>
      </c>
      <c r="F41" s="31">
        <v>0</v>
      </c>
      <c r="G41" s="31">
        <v>0</v>
      </c>
      <c r="H41" s="31">
        <v>156</v>
      </c>
      <c r="I41" s="31">
        <v>1</v>
      </c>
      <c r="J41" s="31">
        <v>2</v>
      </c>
      <c r="K41" s="31">
        <v>3</v>
      </c>
    </row>
    <row r="42" spans="1:11" x14ac:dyDescent="0.25">
      <c r="A42" s="33">
        <v>62</v>
      </c>
      <c r="B42" s="31">
        <v>1</v>
      </c>
      <c r="C42" s="31">
        <v>1</v>
      </c>
      <c r="D42" s="31">
        <v>120</v>
      </c>
      <c r="E42" s="31">
        <v>281</v>
      </c>
      <c r="F42" s="31">
        <v>0</v>
      </c>
      <c r="G42" s="31">
        <v>0</v>
      </c>
      <c r="H42" s="31">
        <v>103</v>
      </c>
      <c r="I42" s="31">
        <v>0</v>
      </c>
      <c r="J42" s="31">
        <v>1</v>
      </c>
      <c r="K42" s="31">
        <v>3</v>
      </c>
    </row>
    <row r="43" spans="1:11" x14ac:dyDescent="0.25">
      <c r="A43" s="33">
        <v>57</v>
      </c>
      <c r="B43" s="31">
        <v>1</v>
      </c>
      <c r="C43" s="31">
        <v>0</v>
      </c>
      <c r="D43" s="31">
        <v>150</v>
      </c>
      <c r="E43" s="31">
        <v>276</v>
      </c>
      <c r="F43" s="31">
        <v>0</v>
      </c>
      <c r="G43" s="31">
        <v>0</v>
      </c>
      <c r="H43" s="31">
        <v>112</v>
      </c>
      <c r="I43" s="31">
        <v>1</v>
      </c>
      <c r="J43" s="31">
        <v>1</v>
      </c>
      <c r="K43" s="31">
        <v>1</v>
      </c>
    </row>
    <row r="44" spans="1:11" x14ac:dyDescent="0.25">
      <c r="A44" s="33">
        <v>47</v>
      </c>
      <c r="B44" s="31">
        <v>1</v>
      </c>
      <c r="C44" s="31">
        <v>0</v>
      </c>
      <c r="D44" s="31">
        <v>110</v>
      </c>
      <c r="E44" s="31">
        <v>275</v>
      </c>
      <c r="F44" s="31">
        <v>0</v>
      </c>
      <c r="G44" s="31">
        <v>0</v>
      </c>
      <c r="H44" s="31">
        <v>118</v>
      </c>
      <c r="I44" s="31">
        <v>1</v>
      </c>
      <c r="J44" s="31">
        <v>1</v>
      </c>
      <c r="K44" s="31">
        <v>2</v>
      </c>
    </row>
    <row r="45" spans="1:11" x14ac:dyDescent="0.25">
      <c r="A45" s="33">
        <v>57</v>
      </c>
      <c r="B45" s="31">
        <v>1</v>
      </c>
      <c r="C45" s="31">
        <v>0</v>
      </c>
      <c r="D45" s="31">
        <v>152</v>
      </c>
      <c r="E45" s="31">
        <v>274</v>
      </c>
      <c r="F45" s="31">
        <v>0</v>
      </c>
      <c r="G45" s="31">
        <v>1</v>
      </c>
      <c r="H45" s="31">
        <v>88</v>
      </c>
      <c r="I45" s="31">
        <v>1</v>
      </c>
      <c r="J45" s="31">
        <v>1</v>
      </c>
      <c r="K45" s="31">
        <v>3</v>
      </c>
    </row>
    <row r="46" spans="1:11" x14ac:dyDescent="0.25">
      <c r="A46" s="34">
        <v>48</v>
      </c>
      <c r="B46" s="30">
        <v>1</v>
      </c>
      <c r="C46" s="30">
        <v>0</v>
      </c>
      <c r="D46" s="30">
        <v>124</v>
      </c>
      <c r="E46" s="30">
        <v>274</v>
      </c>
      <c r="F46" s="30">
        <v>0</v>
      </c>
      <c r="G46" s="30">
        <v>0</v>
      </c>
      <c r="H46" s="30">
        <v>166</v>
      </c>
      <c r="I46" s="30">
        <v>0</v>
      </c>
      <c r="J46" s="30">
        <v>1</v>
      </c>
      <c r="K46" s="30">
        <v>3</v>
      </c>
    </row>
    <row r="47" spans="1:11" x14ac:dyDescent="0.25">
      <c r="A47" s="33">
        <v>68</v>
      </c>
      <c r="B47" s="31">
        <v>1</v>
      </c>
      <c r="C47" s="31">
        <v>2</v>
      </c>
      <c r="D47" s="31">
        <v>180</v>
      </c>
      <c r="E47" s="31">
        <v>274</v>
      </c>
      <c r="F47" s="31">
        <v>1</v>
      </c>
      <c r="G47" s="31">
        <v>0</v>
      </c>
      <c r="H47" s="31">
        <v>150</v>
      </c>
      <c r="I47" s="31">
        <v>1</v>
      </c>
      <c r="J47" s="31">
        <v>1</v>
      </c>
      <c r="K47" s="31">
        <v>3</v>
      </c>
    </row>
    <row r="48" spans="1:11" x14ac:dyDescent="0.25">
      <c r="A48" s="34">
        <v>59</v>
      </c>
      <c r="B48" s="30">
        <v>1</v>
      </c>
      <c r="C48" s="30">
        <v>3</v>
      </c>
      <c r="D48" s="30">
        <v>160</v>
      </c>
      <c r="E48" s="30">
        <v>273</v>
      </c>
      <c r="F48" s="30">
        <v>0</v>
      </c>
      <c r="G48" s="30">
        <v>0</v>
      </c>
      <c r="H48" s="30">
        <v>125</v>
      </c>
      <c r="I48" s="30">
        <v>0</v>
      </c>
      <c r="J48" s="30">
        <v>2</v>
      </c>
      <c r="K48" s="30">
        <v>2</v>
      </c>
    </row>
    <row r="49" spans="1:11" x14ac:dyDescent="0.25">
      <c r="A49" s="33">
        <v>58</v>
      </c>
      <c r="B49" s="31">
        <v>1</v>
      </c>
      <c r="C49" s="31">
        <v>0</v>
      </c>
      <c r="D49" s="31">
        <v>150</v>
      </c>
      <c r="E49" s="31">
        <v>270</v>
      </c>
      <c r="F49" s="31">
        <v>0</v>
      </c>
      <c r="G49" s="31">
        <v>0</v>
      </c>
      <c r="H49" s="31">
        <v>111</v>
      </c>
      <c r="I49" s="31">
        <v>1</v>
      </c>
      <c r="J49" s="31">
        <v>2</v>
      </c>
      <c r="K49" s="31">
        <v>3</v>
      </c>
    </row>
    <row r="50" spans="1:11" x14ac:dyDescent="0.25">
      <c r="A50" s="34">
        <v>70</v>
      </c>
      <c r="B50" s="30">
        <v>1</v>
      </c>
      <c r="C50" s="30">
        <v>2</v>
      </c>
      <c r="D50" s="30">
        <v>160</v>
      </c>
      <c r="E50" s="30">
        <v>269</v>
      </c>
      <c r="F50" s="30">
        <v>0</v>
      </c>
      <c r="G50" s="30">
        <v>1</v>
      </c>
      <c r="H50" s="30">
        <v>112</v>
      </c>
      <c r="I50" s="30">
        <v>1</v>
      </c>
      <c r="J50" s="30">
        <v>1</v>
      </c>
      <c r="K50" s="30">
        <v>3</v>
      </c>
    </row>
    <row r="51" spans="1:11" x14ac:dyDescent="0.25">
      <c r="A51" s="34">
        <v>63</v>
      </c>
      <c r="B51" s="30">
        <v>0</v>
      </c>
      <c r="C51" s="30">
        <v>0</v>
      </c>
      <c r="D51" s="30">
        <v>108</v>
      </c>
      <c r="E51" s="30">
        <v>269</v>
      </c>
      <c r="F51" s="30">
        <v>0</v>
      </c>
      <c r="G51" s="30">
        <v>1</v>
      </c>
      <c r="H51" s="30">
        <v>169</v>
      </c>
      <c r="I51" s="30">
        <v>1</v>
      </c>
      <c r="J51" s="30">
        <v>1</v>
      </c>
      <c r="K51" s="30">
        <v>2</v>
      </c>
    </row>
    <row r="52" spans="1:11" x14ac:dyDescent="0.25">
      <c r="A52" s="33">
        <v>62</v>
      </c>
      <c r="B52" s="31">
        <v>0</v>
      </c>
      <c r="C52" s="31">
        <v>0</v>
      </c>
      <c r="D52" s="31">
        <v>140</v>
      </c>
      <c r="E52" s="31">
        <v>268</v>
      </c>
      <c r="F52" s="31">
        <v>0</v>
      </c>
      <c r="G52" s="31">
        <v>0</v>
      </c>
      <c r="H52" s="31">
        <v>160</v>
      </c>
      <c r="I52" s="31">
        <v>0</v>
      </c>
      <c r="J52" s="31">
        <v>0</v>
      </c>
      <c r="K52" s="31">
        <v>2</v>
      </c>
    </row>
    <row r="53" spans="1:11" x14ac:dyDescent="0.25">
      <c r="A53" s="33">
        <v>62</v>
      </c>
      <c r="B53" s="31">
        <v>1</v>
      </c>
      <c r="C53" s="31">
        <v>0</v>
      </c>
      <c r="D53" s="31">
        <v>120</v>
      </c>
      <c r="E53" s="31">
        <v>267</v>
      </c>
      <c r="F53" s="31">
        <v>0</v>
      </c>
      <c r="G53" s="31">
        <v>1</v>
      </c>
      <c r="H53" s="31">
        <v>99</v>
      </c>
      <c r="I53" s="31">
        <v>1</v>
      </c>
      <c r="J53" s="31">
        <v>1</v>
      </c>
      <c r="K53" s="31">
        <v>3</v>
      </c>
    </row>
    <row r="54" spans="1:11" x14ac:dyDescent="0.25">
      <c r="A54" s="34">
        <v>54</v>
      </c>
      <c r="B54" s="30">
        <v>1</v>
      </c>
      <c r="C54" s="30">
        <v>0</v>
      </c>
      <c r="D54" s="30">
        <v>124</v>
      </c>
      <c r="E54" s="30">
        <v>266</v>
      </c>
      <c r="F54" s="30">
        <v>0</v>
      </c>
      <c r="G54" s="30">
        <v>0</v>
      </c>
      <c r="H54" s="30">
        <v>109</v>
      </c>
      <c r="I54" s="30">
        <v>1</v>
      </c>
      <c r="J54" s="30">
        <v>1</v>
      </c>
      <c r="K54" s="30">
        <v>3</v>
      </c>
    </row>
    <row r="55" spans="1:11" x14ac:dyDescent="0.25">
      <c r="A55" s="33">
        <v>45</v>
      </c>
      <c r="B55" s="31">
        <v>1</v>
      </c>
      <c r="C55" s="31">
        <v>3</v>
      </c>
      <c r="D55" s="31">
        <v>110</v>
      </c>
      <c r="E55" s="31">
        <v>264</v>
      </c>
      <c r="F55" s="31">
        <v>0</v>
      </c>
      <c r="G55" s="31">
        <v>1</v>
      </c>
      <c r="H55" s="31">
        <v>132</v>
      </c>
      <c r="I55" s="31">
        <v>0</v>
      </c>
      <c r="J55" s="31">
        <v>1</v>
      </c>
      <c r="K55" s="31">
        <v>3</v>
      </c>
    </row>
    <row r="56" spans="1:11" x14ac:dyDescent="0.25">
      <c r="A56" s="34">
        <v>62</v>
      </c>
      <c r="B56" s="30">
        <v>0</v>
      </c>
      <c r="C56" s="30">
        <v>2</v>
      </c>
      <c r="D56" s="30">
        <v>130</v>
      </c>
      <c r="E56" s="30">
        <v>263</v>
      </c>
      <c r="F56" s="30">
        <v>0</v>
      </c>
      <c r="G56" s="30">
        <v>1</v>
      </c>
      <c r="H56" s="30">
        <v>97</v>
      </c>
      <c r="I56" s="30">
        <v>0</v>
      </c>
      <c r="J56" s="30">
        <v>1</v>
      </c>
      <c r="K56" s="30">
        <v>3</v>
      </c>
    </row>
    <row r="57" spans="1:11" x14ac:dyDescent="0.25">
      <c r="A57" s="34">
        <v>57</v>
      </c>
      <c r="B57" s="30">
        <v>1</v>
      </c>
      <c r="C57" s="30">
        <v>1</v>
      </c>
      <c r="D57" s="30">
        <v>124</v>
      </c>
      <c r="E57" s="30">
        <v>261</v>
      </c>
      <c r="F57" s="30">
        <v>0</v>
      </c>
      <c r="G57" s="30">
        <v>1</v>
      </c>
      <c r="H57" s="30">
        <v>141</v>
      </c>
      <c r="I57" s="30">
        <v>0</v>
      </c>
      <c r="J57" s="30">
        <v>2</v>
      </c>
      <c r="K57" s="30">
        <v>3</v>
      </c>
    </row>
    <row r="58" spans="1:11" x14ac:dyDescent="0.25">
      <c r="A58" s="34">
        <v>61</v>
      </c>
      <c r="B58" s="30">
        <v>1</v>
      </c>
      <c r="C58" s="30">
        <v>0</v>
      </c>
      <c r="D58" s="30">
        <v>120</v>
      </c>
      <c r="E58" s="30">
        <v>260</v>
      </c>
      <c r="F58" s="30">
        <v>0</v>
      </c>
      <c r="G58" s="30">
        <v>1</v>
      </c>
      <c r="H58" s="30">
        <v>140</v>
      </c>
      <c r="I58" s="30">
        <v>1</v>
      </c>
      <c r="J58" s="30">
        <v>1</v>
      </c>
      <c r="K58" s="30">
        <v>3</v>
      </c>
    </row>
    <row r="59" spans="1:11" x14ac:dyDescent="0.25">
      <c r="A59" s="34">
        <v>58</v>
      </c>
      <c r="B59" s="30">
        <v>1</v>
      </c>
      <c r="C59" s="30">
        <v>0</v>
      </c>
      <c r="D59" s="30">
        <v>128</v>
      </c>
      <c r="E59" s="30">
        <v>259</v>
      </c>
      <c r="F59" s="30">
        <v>0</v>
      </c>
      <c r="G59" s="30">
        <v>0</v>
      </c>
      <c r="H59" s="30">
        <v>130</v>
      </c>
      <c r="I59" s="30">
        <v>1</v>
      </c>
      <c r="J59" s="30">
        <v>1</v>
      </c>
      <c r="K59" s="30">
        <v>3</v>
      </c>
    </row>
    <row r="60" spans="1:11" x14ac:dyDescent="0.25">
      <c r="A60" s="33">
        <v>60</v>
      </c>
      <c r="B60" s="31">
        <v>1</v>
      </c>
      <c r="C60" s="31">
        <v>0</v>
      </c>
      <c r="D60" s="31">
        <v>125</v>
      </c>
      <c r="E60" s="31">
        <v>258</v>
      </c>
      <c r="F60" s="31">
        <v>0</v>
      </c>
      <c r="G60" s="31">
        <v>0</v>
      </c>
      <c r="H60" s="31">
        <v>141</v>
      </c>
      <c r="I60" s="31">
        <v>1</v>
      </c>
      <c r="J60" s="31">
        <v>1</v>
      </c>
      <c r="K60" s="31">
        <v>3</v>
      </c>
    </row>
    <row r="61" spans="1:11" x14ac:dyDescent="0.25">
      <c r="A61" s="33">
        <v>60</v>
      </c>
      <c r="B61" s="31">
        <v>0</v>
      </c>
      <c r="C61" s="31">
        <v>0</v>
      </c>
      <c r="D61" s="31">
        <v>150</v>
      </c>
      <c r="E61" s="31">
        <v>258</v>
      </c>
      <c r="F61" s="31">
        <v>0</v>
      </c>
      <c r="G61" s="31">
        <v>0</v>
      </c>
      <c r="H61" s="31">
        <v>157</v>
      </c>
      <c r="I61" s="31">
        <v>0</v>
      </c>
      <c r="J61" s="31">
        <v>1</v>
      </c>
      <c r="K61" s="31">
        <v>3</v>
      </c>
    </row>
    <row r="62" spans="1:11" x14ac:dyDescent="0.25">
      <c r="A62" s="33">
        <v>56</v>
      </c>
      <c r="B62" s="31">
        <v>1</v>
      </c>
      <c r="C62" s="31">
        <v>2</v>
      </c>
      <c r="D62" s="31">
        <v>130</v>
      </c>
      <c r="E62" s="31">
        <v>256</v>
      </c>
      <c r="F62" s="31">
        <v>1</v>
      </c>
      <c r="G62" s="31">
        <v>0</v>
      </c>
      <c r="H62" s="31">
        <v>142</v>
      </c>
      <c r="I62" s="31">
        <v>1</v>
      </c>
      <c r="J62" s="31">
        <v>1</v>
      </c>
      <c r="K62" s="31">
        <v>1</v>
      </c>
    </row>
    <row r="63" spans="1:11" x14ac:dyDescent="0.25">
      <c r="A63" s="34">
        <v>48</v>
      </c>
      <c r="B63" s="30">
        <v>1</v>
      </c>
      <c r="C63" s="30">
        <v>0</v>
      </c>
      <c r="D63" s="30">
        <v>130</v>
      </c>
      <c r="E63" s="30">
        <v>256</v>
      </c>
      <c r="F63" s="30">
        <v>1</v>
      </c>
      <c r="G63" s="30">
        <v>0</v>
      </c>
      <c r="H63" s="30">
        <v>150</v>
      </c>
      <c r="I63" s="30">
        <v>1</v>
      </c>
      <c r="J63" s="30">
        <v>2</v>
      </c>
      <c r="K63" s="30">
        <v>3</v>
      </c>
    </row>
    <row r="64" spans="1:11" x14ac:dyDescent="0.25">
      <c r="A64" s="33">
        <v>52</v>
      </c>
      <c r="B64" s="31">
        <v>1</v>
      </c>
      <c r="C64" s="31">
        <v>0</v>
      </c>
      <c r="D64" s="31">
        <v>128</v>
      </c>
      <c r="E64" s="31">
        <v>255</v>
      </c>
      <c r="F64" s="31">
        <v>0</v>
      </c>
      <c r="G64" s="31">
        <v>1</v>
      </c>
      <c r="H64" s="31">
        <v>161</v>
      </c>
      <c r="I64" s="31">
        <v>1</v>
      </c>
      <c r="J64" s="31">
        <v>2</v>
      </c>
      <c r="K64" s="31">
        <v>3</v>
      </c>
    </row>
    <row r="65" spans="1:11" x14ac:dyDescent="0.25">
      <c r="A65" s="34">
        <v>67</v>
      </c>
      <c r="B65" s="30">
        <v>1</v>
      </c>
      <c r="C65" s="30">
        <v>0</v>
      </c>
      <c r="D65" s="30">
        <v>125</v>
      </c>
      <c r="E65" s="30">
        <v>254</v>
      </c>
      <c r="F65" s="30">
        <v>1</v>
      </c>
      <c r="G65" s="30">
        <v>1</v>
      </c>
      <c r="H65" s="30">
        <v>163</v>
      </c>
      <c r="I65" s="30">
        <v>0</v>
      </c>
      <c r="J65" s="30">
        <v>1</v>
      </c>
      <c r="K65" s="30">
        <v>3</v>
      </c>
    </row>
    <row r="66" spans="1:11" x14ac:dyDescent="0.25">
      <c r="A66" s="33">
        <v>63</v>
      </c>
      <c r="B66" s="31">
        <v>1</v>
      </c>
      <c r="C66" s="31">
        <v>0</v>
      </c>
      <c r="D66" s="31">
        <v>130</v>
      </c>
      <c r="E66" s="31">
        <v>254</v>
      </c>
      <c r="F66" s="31">
        <v>0</v>
      </c>
      <c r="G66" s="31">
        <v>0</v>
      </c>
      <c r="H66" s="31">
        <v>147</v>
      </c>
      <c r="I66" s="31">
        <v>0</v>
      </c>
      <c r="J66" s="31">
        <v>1</v>
      </c>
      <c r="K66" s="31">
        <v>3</v>
      </c>
    </row>
    <row r="67" spans="1:11" x14ac:dyDescent="0.25">
      <c r="A67" s="33">
        <v>65</v>
      </c>
      <c r="B67" s="31">
        <v>1</v>
      </c>
      <c r="C67" s="31">
        <v>0</v>
      </c>
      <c r="D67" s="31">
        <v>135</v>
      </c>
      <c r="E67" s="31">
        <v>254</v>
      </c>
      <c r="F67" s="31">
        <v>0</v>
      </c>
      <c r="G67" s="31">
        <v>0</v>
      </c>
      <c r="H67" s="31">
        <v>127</v>
      </c>
      <c r="I67" s="31">
        <v>0</v>
      </c>
      <c r="J67" s="31">
        <v>1</v>
      </c>
      <c r="K67" s="31">
        <v>3</v>
      </c>
    </row>
    <row r="68" spans="1:11" x14ac:dyDescent="0.25">
      <c r="A68" s="33">
        <v>69</v>
      </c>
      <c r="B68" s="31">
        <v>1</v>
      </c>
      <c r="C68" s="31">
        <v>2</v>
      </c>
      <c r="D68" s="31">
        <v>140</v>
      </c>
      <c r="E68" s="31">
        <v>254</v>
      </c>
      <c r="F68" s="31">
        <v>0</v>
      </c>
      <c r="G68" s="31">
        <v>0</v>
      </c>
      <c r="H68" s="31">
        <v>146</v>
      </c>
      <c r="I68" s="31">
        <v>0</v>
      </c>
      <c r="J68" s="31">
        <v>1</v>
      </c>
      <c r="K68" s="31">
        <v>3</v>
      </c>
    </row>
    <row r="69" spans="1:11" x14ac:dyDescent="0.25">
      <c r="A69" s="34">
        <v>60</v>
      </c>
      <c r="B69" s="30">
        <v>1</v>
      </c>
      <c r="C69" s="30">
        <v>0</v>
      </c>
      <c r="D69" s="30">
        <v>130</v>
      </c>
      <c r="E69" s="30">
        <v>253</v>
      </c>
      <c r="F69" s="30">
        <v>0</v>
      </c>
      <c r="G69" s="30">
        <v>1</v>
      </c>
      <c r="H69" s="30">
        <v>144</v>
      </c>
      <c r="I69" s="30">
        <v>1</v>
      </c>
      <c r="J69" s="30">
        <v>2</v>
      </c>
      <c r="K69" s="30">
        <v>3</v>
      </c>
    </row>
    <row r="70" spans="1:11" x14ac:dyDescent="0.25">
      <c r="A70" s="33">
        <v>46</v>
      </c>
      <c r="B70" s="31">
        <v>1</v>
      </c>
      <c r="C70" s="31">
        <v>0</v>
      </c>
      <c r="D70" s="31">
        <v>120</v>
      </c>
      <c r="E70" s="31">
        <v>249</v>
      </c>
      <c r="F70" s="31">
        <v>0</v>
      </c>
      <c r="G70" s="31">
        <v>0</v>
      </c>
      <c r="H70" s="31">
        <v>144</v>
      </c>
      <c r="I70" s="31">
        <v>0</v>
      </c>
      <c r="J70" s="31">
        <v>2</v>
      </c>
      <c r="K70" s="31">
        <v>3</v>
      </c>
    </row>
    <row r="71" spans="1:11" x14ac:dyDescent="0.25">
      <c r="A71" s="33">
        <v>56</v>
      </c>
      <c r="B71" s="31">
        <v>1</v>
      </c>
      <c r="C71" s="31">
        <v>0</v>
      </c>
      <c r="D71" s="31">
        <v>125</v>
      </c>
      <c r="E71" s="31">
        <v>249</v>
      </c>
      <c r="F71" s="31">
        <v>1</v>
      </c>
      <c r="G71" s="31">
        <v>0</v>
      </c>
      <c r="H71" s="31">
        <v>144</v>
      </c>
      <c r="I71" s="31">
        <v>1</v>
      </c>
      <c r="J71" s="31">
        <v>1</v>
      </c>
      <c r="K71" s="31">
        <v>2</v>
      </c>
    </row>
    <row r="72" spans="1:11" x14ac:dyDescent="0.25">
      <c r="A72" s="34">
        <v>59</v>
      </c>
      <c r="B72" s="30">
        <v>0</v>
      </c>
      <c r="C72" s="30">
        <v>0</v>
      </c>
      <c r="D72" s="30">
        <v>174</v>
      </c>
      <c r="E72" s="30">
        <v>249</v>
      </c>
      <c r="F72" s="30">
        <v>0</v>
      </c>
      <c r="G72" s="30">
        <v>1</v>
      </c>
      <c r="H72" s="30">
        <v>143</v>
      </c>
      <c r="I72" s="30">
        <v>1</v>
      </c>
      <c r="J72" s="30">
        <v>1</v>
      </c>
      <c r="K72" s="30">
        <v>2</v>
      </c>
    </row>
    <row r="73" spans="1:11" x14ac:dyDescent="0.25">
      <c r="A73" s="34">
        <v>65</v>
      </c>
      <c r="B73" s="30">
        <v>1</v>
      </c>
      <c r="C73" s="30">
        <v>0</v>
      </c>
      <c r="D73" s="30">
        <v>110</v>
      </c>
      <c r="E73" s="30">
        <v>248</v>
      </c>
      <c r="F73" s="30">
        <v>0</v>
      </c>
      <c r="G73" s="30">
        <v>0</v>
      </c>
      <c r="H73" s="30">
        <v>158</v>
      </c>
      <c r="I73" s="30">
        <v>0</v>
      </c>
      <c r="J73" s="30">
        <v>2</v>
      </c>
      <c r="K73" s="30">
        <v>1</v>
      </c>
    </row>
    <row r="74" spans="1:11" x14ac:dyDescent="0.25">
      <c r="A74" s="33">
        <v>43</v>
      </c>
      <c r="B74" s="31">
        <v>1</v>
      </c>
      <c r="C74" s="31">
        <v>0</v>
      </c>
      <c r="D74" s="31">
        <v>132</v>
      </c>
      <c r="E74" s="31">
        <v>247</v>
      </c>
      <c r="F74" s="31">
        <v>1</v>
      </c>
      <c r="G74" s="31">
        <v>0</v>
      </c>
      <c r="H74" s="31">
        <v>143</v>
      </c>
      <c r="I74" s="31">
        <v>1</v>
      </c>
      <c r="J74" s="31">
        <v>1</v>
      </c>
      <c r="K74" s="31">
        <v>3</v>
      </c>
    </row>
    <row r="75" spans="1:11" x14ac:dyDescent="0.25">
      <c r="A75" s="34">
        <v>64</v>
      </c>
      <c r="B75" s="30">
        <v>1</v>
      </c>
      <c r="C75" s="30">
        <v>0</v>
      </c>
      <c r="D75" s="30">
        <v>120</v>
      </c>
      <c r="E75" s="30">
        <v>246</v>
      </c>
      <c r="F75" s="30">
        <v>0</v>
      </c>
      <c r="G75" s="30">
        <v>0</v>
      </c>
      <c r="H75" s="30">
        <v>96</v>
      </c>
      <c r="I75" s="30">
        <v>1</v>
      </c>
      <c r="J75" s="30">
        <v>0</v>
      </c>
      <c r="K75" s="30">
        <v>2</v>
      </c>
    </row>
    <row r="76" spans="1:11" x14ac:dyDescent="0.25">
      <c r="A76" s="33">
        <v>66</v>
      </c>
      <c r="B76" s="31">
        <v>1</v>
      </c>
      <c r="C76" s="31">
        <v>1</v>
      </c>
      <c r="D76" s="31">
        <v>160</v>
      </c>
      <c r="E76" s="31">
        <v>246</v>
      </c>
      <c r="F76" s="31">
        <v>0</v>
      </c>
      <c r="G76" s="31">
        <v>1</v>
      </c>
      <c r="H76" s="31">
        <v>120</v>
      </c>
      <c r="I76" s="31">
        <v>1</v>
      </c>
      <c r="J76" s="31">
        <v>1</v>
      </c>
      <c r="K76" s="31">
        <v>1</v>
      </c>
    </row>
    <row r="77" spans="1:11" x14ac:dyDescent="0.25">
      <c r="A77" s="33">
        <v>62</v>
      </c>
      <c r="B77" s="31">
        <v>0</v>
      </c>
      <c r="C77" s="31">
        <v>0</v>
      </c>
      <c r="D77" s="31">
        <v>150</v>
      </c>
      <c r="E77" s="31">
        <v>244</v>
      </c>
      <c r="F77" s="31">
        <v>0</v>
      </c>
      <c r="G77" s="31">
        <v>1</v>
      </c>
      <c r="H77" s="31">
        <v>154</v>
      </c>
      <c r="I77" s="31">
        <v>1</v>
      </c>
      <c r="J77" s="31">
        <v>1</v>
      </c>
      <c r="K77" s="31">
        <v>2</v>
      </c>
    </row>
    <row r="78" spans="1:11" x14ac:dyDescent="0.25">
      <c r="A78" s="34">
        <v>50</v>
      </c>
      <c r="B78" s="30">
        <v>1</v>
      </c>
      <c r="C78" s="30">
        <v>0</v>
      </c>
      <c r="D78" s="30">
        <v>150</v>
      </c>
      <c r="E78" s="30">
        <v>243</v>
      </c>
      <c r="F78" s="30">
        <v>0</v>
      </c>
      <c r="G78" s="30">
        <v>0</v>
      </c>
      <c r="H78" s="30">
        <v>128</v>
      </c>
      <c r="I78" s="30">
        <v>0</v>
      </c>
      <c r="J78" s="30">
        <v>1</v>
      </c>
      <c r="K78" s="30">
        <v>3</v>
      </c>
    </row>
    <row r="79" spans="1:11" x14ac:dyDescent="0.25">
      <c r="A79" s="34">
        <v>47</v>
      </c>
      <c r="B79" s="30">
        <v>1</v>
      </c>
      <c r="C79" s="30">
        <v>2</v>
      </c>
      <c r="D79" s="30">
        <v>108</v>
      </c>
      <c r="E79" s="30">
        <v>243</v>
      </c>
      <c r="F79" s="30">
        <v>0</v>
      </c>
      <c r="G79" s="30">
        <v>1</v>
      </c>
      <c r="H79" s="30">
        <v>152</v>
      </c>
      <c r="I79" s="30">
        <v>0</v>
      </c>
      <c r="J79" s="30">
        <v>2</v>
      </c>
      <c r="K79" s="30">
        <v>2</v>
      </c>
    </row>
    <row r="80" spans="1:11" x14ac:dyDescent="0.25">
      <c r="A80" s="33">
        <v>57</v>
      </c>
      <c r="B80" s="31">
        <v>0</v>
      </c>
      <c r="C80" s="31">
        <v>0</v>
      </c>
      <c r="D80" s="31">
        <v>140</v>
      </c>
      <c r="E80" s="31">
        <v>241</v>
      </c>
      <c r="F80" s="31">
        <v>0</v>
      </c>
      <c r="G80" s="31">
        <v>1</v>
      </c>
      <c r="H80" s="31">
        <v>123</v>
      </c>
      <c r="I80" s="31">
        <v>1</v>
      </c>
      <c r="J80" s="31">
        <v>1</v>
      </c>
      <c r="K80" s="31">
        <v>3</v>
      </c>
    </row>
    <row r="81" spans="1:11" x14ac:dyDescent="0.25">
      <c r="A81" s="34">
        <v>59</v>
      </c>
      <c r="B81" s="30">
        <v>1</v>
      </c>
      <c r="C81" s="30">
        <v>0</v>
      </c>
      <c r="D81" s="30">
        <v>110</v>
      </c>
      <c r="E81" s="30">
        <v>239</v>
      </c>
      <c r="F81" s="30">
        <v>0</v>
      </c>
      <c r="G81" s="30">
        <v>0</v>
      </c>
      <c r="H81" s="30">
        <v>142</v>
      </c>
      <c r="I81" s="30">
        <v>1</v>
      </c>
      <c r="J81" s="30">
        <v>1</v>
      </c>
      <c r="K81" s="30">
        <v>3</v>
      </c>
    </row>
    <row r="82" spans="1:11" x14ac:dyDescent="0.25">
      <c r="A82" s="33">
        <v>54</v>
      </c>
      <c r="B82" s="31">
        <v>1</v>
      </c>
      <c r="C82" s="31">
        <v>0</v>
      </c>
      <c r="D82" s="31">
        <v>110</v>
      </c>
      <c r="E82" s="31">
        <v>239</v>
      </c>
      <c r="F82" s="31">
        <v>0</v>
      </c>
      <c r="G82" s="31">
        <v>1</v>
      </c>
      <c r="H82" s="31">
        <v>126</v>
      </c>
      <c r="I82" s="31">
        <v>1</v>
      </c>
      <c r="J82" s="31">
        <v>1</v>
      </c>
      <c r="K82" s="31">
        <v>3</v>
      </c>
    </row>
    <row r="83" spans="1:11" x14ac:dyDescent="0.25">
      <c r="A83" s="33">
        <v>67</v>
      </c>
      <c r="B83" s="31">
        <v>1</v>
      </c>
      <c r="C83" s="31">
        <v>0</v>
      </c>
      <c r="D83" s="31">
        <v>120</v>
      </c>
      <c r="E83" s="31">
        <v>237</v>
      </c>
      <c r="F83" s="31">
        <v>0</v>
      </c>
      <c r="G83" s="31">
        <v>1</v>
      </c>
      <c r="H83" s="31">
        <v>71</v>
      </c>
      <c r="I83" s="31">
        <v>0</v>
      </c>
      <c r="J83" s="31">
        <v>1</v>
      </c>
      <c r="K83" s="31">
        <v>2</v>
      </c>
    </row>
    <row r="84" spans="1:11" x14ac:dyDescent="0.25">
      <c r="A84" s="33">
        <v>57</v>
      </c>
      <c r="B84" s="31">
        <v>0</v>
      </c>
      <c r="C84" s="31">
        <v>1</v>
      </c>
      <c r="D84" s="31">
        <v>130</v>
      </c>
      <c r="E84" s="31">
        <v>236</v>
      </c>
      <c r="F84" s="31">
        <v>0</v>
      </c>
      <c r="G84" s="31">
        <v>0</v>
      </c>
      <c r="H84" s="31">
        <v>174</v>
      </c>
      <c r="I84" s="31">
        <v>0</v>
      </c>
      <c r="J84" s="31">
        <v>1</v>
      </c>
      <c r="K84" s="31">
        <v>2</v>
      </c>
    </row>
    <row r="85" spans="1:11" x14ac:dyDescent="0.25">
      <c r="A85" s="34">
        <v>61</v>
      </c>
      <c r="B85" s="30">
        <v>1</v>
      </c>
      <c r="C85" s="30">
        <v>3</v>
      </c>
      <c r="D85" s="30">
        <v>134</v>
      </c>
      <c r="E85" s="30">
        <v>234</v>
      </c>
      <c r="F85" s="30">
        <v>0</v>
      </c>
      <c r="G85" s="30">
        <v>1</v>
      </c>
      <c r="H85" s="30">
        <v>145</v>
      </c>
      <c r="I85" s="30">
        <v>0</v>
      </c>
      <c r="J85" s="30">
        <v>1</v>
      </c>
      <c r="K85" s="30">
        <v>2</v>
      </c>
    </row>
    <row r="86" spans="1:11" x14ac:dyDescent="0.25">
      <c r="A86" s="33">
        <v>58</v>
      </c>
      <c r="B86" s="31">
        <v>1</v>
      </c>
      <c r="C86" s="31">
        <v>0</v>
      </c>
      <c r="D86" s="31">
        <v>100</v>
      </c>
      <c r="E86" s="31">
        <v>234</v>
      </c>
      <c r="F86" s="31">
        <v>0</v>
      </c>
      <c r="G86" s="31">
        <v>1</v>
      </c>
      <c r="H86" s="31">
        <v>156</v>
      </c>
      <c r="I86" s="31">
        <v>0</v>
      </c>
      <c r="J86" s="31">
        <v>2</v>
      </c>
      <c r="K86" s="31">
        <v>3</v>
      </c>
    </row>
    <row r="87" spans="1:11" x14ac:dyDescent="0.25">
      <c r="A87" s="34">
        <v>50</v>
      </c>
      <c r="B87" s="30">
        <v>1</v>
      </c>
      <c r="C87" s="30">
        <v>2</v>
      </c>
      <c r="D87" s="30">
        <v>140</v>
      </c>
      <c r="E87" s="30">
        <v>233</v>
      </c>
      <c r="F87" s="30">
        <v>0</v>
      </c>
      <c r="G87" s="30">
        <v>1</v>
      </c>
      <c r="H87" s="30">
        <v>163</v>
      </c>
      <c r="I87" s="30">
        <v>0</v>
      </c>
      <c r="J87" s="30">
        <v>1</v>
      </c>
      <c r="K87" s="30">
        <v>3</v>
      </c>
    </row>
    <row r="88" spans="1:11" x14ac:dyDescent="0.25">
      <c r="A88" s="33">
        <v>57</v>
      </c>
      <c r="B88" s="31">
        <v>1</v>
      </c>
      <c r="C88" s="31">
        <v>1</v>
      </c>
      <c r="D88" s="31">
        <v>154</v>
      </c>
      <c r="E88" s="31">
        <v>232</v>
      </c>
      <c r="F88" s="31">
        <v>0</v>
      </c>
      <c r="G88" s="31">
        <v>0</v>
      </c>
      <c r="H88" s="31">
        <v>164</v>
      </c>
      <c r="I88" s="31">
        <v>0</v>
      </c>
      <c r="J88" s="31">
        <v>2</v>
      </c>
      <c r="K88" s="31">
        <v>2</v>
      </c>
    </row>
    <row r="89" spans="1:11" x14ac:dyDescent="0.25">
      <c r="A89" s="33">
        <v>46</v>
      </c>
      <c r="B89" s="31">
        <v>1</v>
      </c>
      <c r="C89" s="31">
        <v>2</v>
      </c>
      <c r="D89" s="31">
        <v>150</v>
      </c>
      <c r="E89" s="31">
        <v>231</v>
      </c>
      <c r="F89" s="31">
        <v>0</v>
      </c>
      <c r="G89" s="31">
        <v>1</v>
      </c>
      <c r="H89" s="31">
        <v>147</v>
      </c>
      <c r="I89" s="31">
        <v>0</v>
      </c>
      <c r="J89" s="31">
        <v>1</v>
      </c>
      <c r="K89" s="31">
        <v>2</v>
      </c>
    </row>
    <row r="90" spans="1:11" x14ac:dyDescent="0.25">
      <c r="A90" s="33">
        <v>38</v>
      </c>
      <c r="B90" s="31">
        <v>1</v>
      </c>
      <c r="C90" s="31">
        <v>3</v>
      </c>
      <c r="D90" s="31">
        <v>120</v>
      </c>
      <c r="E90" s="31">
        <v>231</v>
      </c>
      <c r="F90" s="31">
        <v>0</v>
      </c>
      <c r="G90" s="31">
        <v>1</v>
      </c>
      <c r="H90" s="31">
        <v>182</v>
      </c>
      <c r="I90" s="31">
        <v>1</v>
      </c>
      <c r="J90" s="31">
        <v>1</v>
      </c>
      <c r="K90" s="31">
        <v>3</v>
      </c>
    </row>
    <row r="91" spans="1:11" x14ac:dyDescent="0.25">
      <c r="A91" s="34">
        <v>60</v>
      </c>
      <c r="B91" s="30">
        <v>1</v>
      </c>
      <c r="C91" s="30">
        <v>0</v>
      </c>
      <c r="D91" s="30">
        <v>117</v>
      </c>
      <c r="E91" s="30">
        <v>230</v>
      </c>
      <c r="F91" s="30">
        <v>1</v>
      </c>
      <c r="G91" s="30">
        <v>1</v>
      </c>
      <c r="H91" s="30">
        <v>160</v>
      </c>
      <c r="I91" s="30">
        <v>1</v>
      </c>
      <c r="J91" s="30">
        <v>2</v>
      </c>
      <c r="K91" s="30">
        <v>3</v>
      </c>
    </row>
    <row r="92" spans="1:11" x14ac:dyDescent="0.25">
      <c r="A92" s="33">
        <v>58</v>
      </c>
      <c r="B92" s="31">
        <v>1</v>
      </c>
      <c r="C92" s="31">
        <v>2</v>
      </c>
      <c r="D92" s="31">
        <v>112</v>
      </c>
      <c r="E92" s="31">
        <v>230</v>
      </c>
      <c r="F92" s="31">
        <v>0</v>
      </c>
      <c r="G92" s="31">
        <v>0</v>
      </c>
      <c r="H92" s="31">
        <v>165</v>
      </c>
      <c r="I92" s="31">
        <v>0</v>
      </c>
      <c r="J92" s="31">
        <v>1</v>
      </c>
      <c r="K92" s="31">
        <v>3</v>
      </c>
    </row>
    <row r="93" spans="1:11" x14ac:dyDescent="0.25">
      <c r="A93" s="34">
        <v>52</v>
      </c>
      <c r="B93" s="30">
        <v>1</v>
      </c>
      <c r="C93" s="30">
        <v>0</v>
      </c>
      <c r="D93" s="30">
        <v>112</v>
      </c>
      <c r="E93" s="30">
        <v>230</v>
      </c>
      <c r="F93" s="30">
        <v>0</v>
      </c>
      <c r="G93" s="30">
        <v>1</v>
      </c>
      <c r="H93" s="30">
        <v>160</v>
      </c>
      <c r="I93" s="30">
        <v>0</v>
      </c>
      <c r="J93" s="30">
        <v>2</v>
      </c>
      <c r="K93" s="30">
        <v>2</v>
      </c>
    </row>
    <row r="94" spans="1:11" x14ac:dyDescent="0.25">
      <c r="A94" s="33">
        <v>57</v>
      </c>
      <c r="B94" s="31">
        <v>1</v>
      </c>
      <c r="C94" s="31">
        <v>2</v>
      </c>
      <c r="D94" s="31">
        <v>128</v>
      </c>
      <c r="E94" s="31">
        <v>229</v>
      </c>
      <c r="F94" s="31">
        <v>0</v>
      </c>
      <c r="G94" s="31">
        <v>0</v>
      </c>
      <c r="H94" s="31">
        <v>150</v>
      </c>
      <c r="I94" s="31">
        <v>0</v>
      </c>
      <c r="J94" s="31">
        <v>1</v>
      </c>
      <c r="K94" s="31">
        <v>3</v>
      </c>
    </row>
    <row r="95" spans="1:11" x14ac:dyDescent="0.25">
      <c r="A95" s="34">
        <v>48</v>
      </c>
      <c r="B95" s="30">
        <v>1</v>
      </c>
      <c r="C95" s="30">
        <v>1</v>
      </c>
      <c r="D95" s="30">
        <v>110</v>
      </c>
      <c r="E95" s="30">
        <v>229</v>
      </c>
      <c r="F95" s="30">
        <v>0</v>
      </c>
      <c r="G95" s="30">
        <v>1</v>
      </c>
      <c r="H95" s="30">
        <v>168</v>
      </c>
      <c r="I95" s="30">
        <v>0</v>
      </c>
      <c r="J95" s="30">
        <v>0</v>
      </c>
      <c r="K95" s="30">
        <v>3</v>
      </c>
    </row>
    <row r="96" spans="1:11" x14ac:dyDescent="0.25">
      <c r="A96" s="34">
        <v>67</v>
      </c>
      <c r="B96" s="30">
        <v>1</v>
      </c>
      <c r="C96" s="30">
        <v>0</v>
      </c>
      <c r="D96" s="30">
        <v>120</v>
      </c>
      <c r="E96" s="30">
        <v>229</v>
      </c>
      <c r="F96" s="30">
        <v>0</v>
      </c>
      <c r="G96" s="30">
        <v>0</v>
      </c>
      <c r="H96" s="30">
        <v>129</v>
      </c>
      <c r="I96" s="30">
        <v>1</v>
      </c>
      <c r="J96" s="30">
        <v>1</v>
      </c>
      <c r="K96" s="30">
        <v>3</v>
      </c>
    </row>
    <row r="97" spans="1:11" x14ac:dyDescent="0.25">
      <c r="A97" s="33">
        <v>66</v>
      </c>
      <c r="B97" s="31">
        <v>0</v>
      </c>
      <c r="C97" s="31">
        <v>0</v>
      </c>
      <c r="D97" s="31">
        <v>178</v>
      </c>
      <c r="E97" s="31">
        <v>228</v>
      </c>
      <c r="F97" s="31">
        <v>1</v>
      </c>
      <c r="G97" s="31">
        <v>1</v>
      </c>
      <c r="H97" s="31">
        <v>165</v>
      </c>
      <c r="I97" s="31">
        <v>1</v>
      </c>
      <c r="J97" s="31">
        <v>1</v>
      </c>
      <c r="K97" s="31">
        <v>3</v>
      </c>
    </row>
    <row r="98" spans="1:11" x14ac:dyDescent="0.25">
      <c r="A98" s="33">
        <v>58</v>
      </c>
      <c r="B98" s="31">
        <v>0</v>
      </c>
      <c r="C98" s="31">
        <v>0</v>
      </c>
      <c r="D98" s="31">
        <v>170</v>
      </c>
      <c r="E98" s="31">
        <v>225</v>
      </c>
      <c r="F98" s="31">
        <v>1</v>
      </c>
      <c r="G98" s="31">
        <v>0</v>
      </c>
      <c r="H98" s="31">
        <v>146</v>
      </c>
      <c r="I98" s="31">
        <v>1</v>
      </c>
      <c r="J98" s="31">
        <v>1</v>
      </c>
      <c r="K98" s="31">
        <v>1</v>
      </c>
    </row>
    <row r="99" spans="1:11" x14ac:dyDescent="0.25">
      <c r="A99" s="33">
        <v>65</v>
      </c>
      <c r="B99" s="31">
        <v>0</v>
      </c>
      <c r="C99" s="31">
        <v>0</v>
      </c>
      <c r="D99" s="31">
        <v>150</v>
      </c>
      <c r="E99" s="31">
        <v>225</v>
      </c>
      <c r="F99" s="31">
        <v>0</v>
      </c>
      <c r="G99" s="31">
        <v>0</v>
      </c>
      <c r="H99" s="31">
        <v>114</v>
      </c>
      <c r="I99" s="31">
        <v>0</v>
      </c>
      <c r="J99" s="31">
        <v>1</v>
      </c>
      <c r="K99" s="31">
        <v>3</v>
      </c>
    </row>
    <row r="100" spans="1:11" x14ac:dyDescent="0.25">
      <c r="A100" s="33">
        <v>58</v>
      </c>
      <c r="B100" s="31">
        <v>1</v>
      </c>
      <c r="C100" s="31">
        <v>2</v>
      </c>
      <c r="D100" s="31">
        <v>132</v>
      </c>
      <c r="E100" s="31">
        <v>224</v>
      </c>
      <c r="F100" s="31">
        <v>0</v>
      </c>
      <c r="G100" s="31">
        <v>0</v>
      </c>
      <c r="H100" s="31">
        <v>173</v>
      </c>
      <c r="I100" s="31">
        <v>0</v>
      </c>
      <c r="J100" s="31">
        <v>2</v>
      </c>
      <c r="K100" s="31">
        <v>3</v>
      </c>
    </row>
    <row r="101" spans="1:11" x14ac:dyDescent="0.25">
      <c r="A101" s="33">
        <v>40</v>
      </c>
      <c r="B101" s="31">
        <v>1</v>
      </c>
      <c r="C101" s="31">
        <v>0</v>
      </c>
      <c r="D101" s="31">
        <v>152</v>
      </c>
      <c r="E101" s="31">
        <v>223</v>
      </c>
      <c r="F101" s="31">
        <v>0</v>
      </c>
      <c r="G101" s="31">
        <v>1</v>
      </c>
      <c r="H101" s="31">
        <v>181</v>
      </c>
      <c r="I101" s="31">
        <v>0</v>
      </c>
      <c r="J101" s="31">
        <v>2</v>
      </c>
      <c r="K101" s="31">
        <v>3</v>
      </c>
    </row>
    <row r="102" spans="1:11" x14ac:dyDescent="0.25">
      <c r="A102" s="33">
        <v>39</v>
      </c>
      <c r="B102" s="31">
        <v>1</v>
      </c>
      <c r="C102" s="31">
        <v>0</v>
      </c>
      <c r="D102" s="31">
        <v>118</v>
      </c>
      <c r="E102" s="31">
        <v>219</v>
      </c>
      <c r="F102" s="31">
        <v>0</v>
      </c>
      <c r="G102" s="31">
        <v>1</v>
      </c>
      <c r="H102" s="31">
        <v>140</v>
      </c>
      <c r="I102" s="31">
        <v>0</v>
      </c>
      <c r="J102" s="31">
        <v>1</v>
      </c>
      <c r="K102" s="31">
        <v>3</v>
      </c>
    </row>
    <row r="103" spans="1:11" x14ac:dyDescent="0.25">
      <c r="A103" s="33">
        <v>59</v>
      </c>
      <c r="B103" s="31">
        <v>1</v>
      </c>
      <c r="C103" s="31">
        <v>2</v>
      </c>
      <c r="D103" s="31">
        <v>126</v>
      </c>
      <c r="E103" s="31">
        <v>218</v>
      </c>
      <c r="F103" s="31">
        <v>1</v>
      </c>
      <c r="G103" s="31">
        <v>1</v>
      </c>
      <c r="H103" s="31">
        <v>134</v>
      </c>
      <c r="I103" s="31">
        <v>0</v>
      </c>
      <c r="J103" s="31">
        <v>1</v>
      </c>
      <c r="K103" s="31">
        <v>1</v>
      </c>
    </row>
    <row r="104" spans="1:11" x14ac:dyDescent="0.25">
      <c r="A104" s="34">
        <v>58</v>
      </c>
      <c r="B104" s="30">
        <v>1</v>
      </c>
      <c r="C104" s="30">
        <v>0</v>
      </c>
      <c r="D104" s="30">
        <v>146</v>
      </c>
      <c r="E104" s="30">
        <v>218</v>
      </c>
      <c r="F104" s="30">
        <v>0</v>
      </c>
      <c r="G104" s="30">
        <v>1</v>
      </c>
      <c r="H104" s="30">
        <v>105</v>
      </c>
      <c r="I104" s="30">
        <v>0</v>
      </c>
      <c r="J104" s="30">
        <v>1</v>
      </c>
      <c r="K104" s="30">
        <v>3</v>
      </c>
    </row>
    <row r="105" spans="1:11" x14ac:dyDescent="0.25">
      <c r="A105" s="33">
        <v>55</v>
      </c>
      <c r="B105" s="31">
        <v>1</v>
      </c>
      <c r="C105" s="31">
        <v>0</v>
      </c>
      <c r="D105" s="31">
        <v>140</v>
      </c>
      <c r="E105" s="31">
        <v>217</v>
      </c>
      <c r="F105" s="31">
        <v>0</v>
      </c>
      <c r="G105" s="31">
        <v>1</v>
      </c>
      <c r="H105" s="31">
        <v>111</v>
      </c>
      <c r="I105" s="31">
        <v>1</v>
      </c>
      <c r="J105" s="31">
        <v>0</v>
      </c>
      <c r="K105" s="31">
        <v>3</v>
      </c>
    </row>
    <row r="106" spans="1:11" x14ac:dyDescent="0.25">
      <c r="A106" s="33">
        <v>58</v>
      </c>
      <c r="B106" s="31">
        <v>1</v>
      </c>
      <c r="C106" s="31">
        <v>0</v>
      </c>
      <c r="D106" s="31">
        <v>128</v>
      </c>
      <c r="E106" s="31">
        <v>216</v>
      </c>
      <c r="F106" s="31">
        <v>0</v>
      </c>
      <c r="G106" s="31">
        <v>0</v>
      </c>
      <c r="H106" s="31">
        <v>131</v>
      </c>
      <c r="I106" s="31">
        <v>1</v>
      </c>
      <c r="J106" s="31">
        <v>1</v>
      </c>
      <c r="K106" s="31">
        <v>3</v>
      </c>
    </row>
    <row r="107" spans="1:11" x14ac:dyDescent="0.25">
      <c r="A107" s="34">
        <v>52</v>
      </c>
      <c r="B107" s="30">
        <v>1</v>
      </c>
      <c r="C107" s="30">
        <v>0</v>
      </c>
      <c r="D107" s="30">
        <v>125</v>
      </c>
      <c r="E107" s="30">
        <v>212</v>
      </c>
      <c r="F107" s="30">
        <v>0</v>
      </c>
      <c r="G107" s="30">
        <v>1</v>
      </c>
      <c r="H107" s="30">
        <v>168</v>
      </c>
      <c r="I107" s="30">
        <v>0</v>
      </c>
      <c r="J107" s="30">
        <v>2</v>
      </c>
      <c r="K107" s="30">
        <v>3</v>
      </c>
    </row>
    <row r="108" spans="1:11" x14ac:dyDescent="0.25">
      <c r="A108" s="33">
        <v>67</v>
      </c>
      <c r="B108" s="31">
        <v>1</v>
      </c>
      <c r="C108" s="31">
        <v>2</v>
      </c>
      <c r="D108" s="31">
        <v>152</v>
      </c>
      <c r="E108" s="31">
        <v>212</v>
      </c>
      <c r="F108" s="31">
        <v>0</v>
      </c>
      <c r="G108" s="31">
        <v>0</v>
      </c>
      <c r="H108" s="31">
        <v>150</v>
      </c>
      <c r="I108" s="31">
        <v>0</v>
      </c>
      <c r="J108" s="31">
        <v>1</v>
      </c>
      <c r="K108" s="31">
        <v>3</v>
      </c>
    </row>
    <row r="109" spans="1:11" x14ac:dyDescent="0.25">
      <c r="A109" s="34">
        <v>64</v>
      </c>
      <c r="B109" s="30">
        <v>1</v>
      </c>
      <c r="C109" s="30">
        <v>0</v>
      </c>
      <c r="D109" s="30">
        <v>145</v>
      </c>
      <c r="E109" s="30">
        <v>212</v>
      </c>
      <c r="F109" s="30">
        <v>0</v>
      </c>
      <c r="G109" s="30">
        <v>0</v>
      </c>
      <c r="H109" s="30">
        <v>132</v>
      </c>
      <c r="I109" s="30">
        <v>0</v>
      </c>
      <c r="J109" s="30">
        <v>1</v>
      </c>
      <c r="K109" s="30">
        <v>1</v>
      </c>
    </row>
    <row r="110" spans="1:11" x14ac:dyDescent="0.25">
      <c r="A110" s="33">
        <v>66</v>
      </c>
      <c r="B110" s="31">
        <v>1</v>
      </c>
      <c r="C110" s="31">
        <v>0</v>
      </c>
      <c r="D110" s="31">
        <v>112</v>
      </c>
      <c r="E110" s="31">
        <v>212</v>
      </c>
      <c r="F110" s="31">
        <v>0</v>
      </c>
      <c r="G110" s="31">
        <v>0</v>
      </c>
      <c r="H110" s="31">
        <v>132</v>
      </c>
      <c r="I110" s="31">
        <v>1</v>
      </c>
      <c r="J110" s="31">
        <v>2</v>
      </c>
      <c r="K110" s="31">
        <v>2</v>
      </c>
    </row>
    <row r="111" spans="1:11" x14ac:dyDescent="0.25">
      <c r="A111" s="33">
        <v>61</v>
      </c>
      <c r="B111" s="31">
        <v>1</v>
      </c>
      <c r="C111" s="31">
        <v>0</v>
      </c>
      <c r="D111" s="31">
        <v>140</v>
      </c>
      <c r="E111" s="31">
        <v>207</v>
      </c>
      <c r="F111" s="31">
        <v>0</v>
      </c>
      <c r="G111" s="31">
        <v>0</v>
      </c>
      <c r="H111" s="31">
        <v>138</v>
      </c>
      <c r="I111" s="31">
        <v>1</v>
      </c>
      <c r="J111" s="31">
        <v>2</v>
      </c>
      <c r="K111" s="31">
        <v>3</v>
      </c>
    </row>
    <row r="112" spans="1:11" x14ac:dyDescent="0.25">
      <c r="A112" s="33">
        <v>54</v>
      </c>
      <c r="B112" s="31">
        <v>1</v>
      </c>
      <c r="C112" s="31">
        <v>0</v>
      </c>
      <c r="D112" s="31">
        <v>110</v>
      </c>
      <c r="E112" s="31">
        <v>206</v>
      </c>
      <c r="F112" s="31">
        <v>0</v>
      </c>
      <c r="G112" s="31">
        <v>0</v>
      </c>
      <c r="H112" s="31">
        <v>108</v>
      </c>
      <c r="I112" s="31">
        <v>1</v>
      </c>
      <c r="J112" s="31">
        <v>1</v>
      </c>
      <c r="K112" s="31">
        <v>2</v>
      </c>
    </row>
    <row r="113" spans="1:11" x14ac:dyDescent="0.25">
      <c r="A113" s="33">
        <v>60</v>
      </c>
      <c r="B113" s="31">
        <v>1</v>
      </c>
      <c r="C113" s="31">
        <v>0</v>
      </c>
      <c r="D113" s="31">
        <v>130</v>
      </c>
      <c r="E113" s="31">
        <v>206</v>
      </c>
      <c r="F113" s="31">
        <v>0</v>
      </c>
      <c r="G113" s="31">
        <v>0</v>
      </c>
      <c r="H113" s="31">
        <v>132</v>
      </c>
      <c r="I113" s="31">
        <v>1</v>
      </c>
      <c r="J113" s="31">
        <v>1</v>
      </c>
      <c r="K113" s="31">
        <v>3</v>
      </c>
    </row>
    <row r="114" spans="1:11" x14ac:dyDescent="0.25">
      <c r="A114" s="33">
        <v>55</v>
      </c>
      <c r="B114" s="31">
        <v>0</v>
      </c>
      <c r="C114" s="31">
        <v>0</v>
      </c>
      <c r="D114" s="31">
        <v>128</v>
      </c>
      <c r="E114" s="31">
        <v>205</v>
      </c>
      <c r="F114" s="31">
        <v>0</v>
      </c>
      <c r="G114" s="31">
        <v>2</v>
      </c>
      <c r="H114" s="31">
        <v>130</v>
      </c>
      <c r="I114" s="31">
        <v>1</v>
      </c>
      <c r="J114" s="31">
        <v>1</v>
      </c>
      <c r="K114" s="31">
        <v>3</v>
      </c>
    </row>
    <row r="115" spans="1:11" x14ac:dyDescent="0.25">
      <c r="A115" s="33">
        <v>52</v>
      </c>
      <c r="B115" s="31">
        <v>1</v>
      </c>
      <c r="C115" s="31">
        <v>0</v>
      </c>
      <c r="D115" s="31">
        <v>128</v>
      </c>
      <c r="E115" s="31">
        <v>204</v>
      </c>
      <c r="F115" s="31">
        <v>1</v>
      </c>
      <c r="G115" s="31">
        <v>1</v>
      </c>
      <c r="H115" s="31">
        <v>156</v>
      </c>
      <c r="I115" s="31">
        <v>1</v>
      </c>
      <c r="J115" s="31">
        <v>1</v>
      </c>
      <c r="K115" s="31">
        <v>0</v>
      </c>
    </row>
    <row r="116" spans="1:11" x14ac:dyDescent="0.25">
      <c r="A116" s="34">
        <v>59</v>
      </c>
      <c r="B116" s="30">
        <v>1</v>
      </c>
      <c r="C116" s="30">
        <v>3</v>
      </c>
      <c r="D116" s="30">
        <v>134</v>
      </c>
      <c r="E116" s="30">
        <v>204</v>
      </c>
      <c r="F116" s="30">
        <v>0</v>
      </c>
      <c r="G116" s="30">
        <v>1</v>
      </c>
      <c r="H116" s="30">
        <v>162</v>
      </c>
      <c r="I116" s="30">
        <v>0</v>
      </c>
      <c r="J116" s="30">
        <v>2</v>
      </c>
      <c r="K116" s="30">
        <v>2</v>
      </c>
    </row>
    <row r="117" spans="1:11" x14ac:dyDescent="0.25">
      <c r="A117" s="33">
        <v>53</v>
      </c>
      <c r="B117" s="31">
        <v>1</v>
      </c>
      <c r="C117" s="31">
        <v>0</v>
      </c>
      <c r="D117" s="31">
        <v>140</v>
      </c>
      <c r="E117" s="31">
        <v>203</v>
      </c>
      <c r="F117" s="31">
        <v>1</v>
      </c>
      <c r="G117" s="31">
        <v>0</v>
      </c>
      <c r="H117" s="31">
        <v>155</v>
      </c>
      <c r="I117" s="31">
        <v>1</v>
      </c>
      <c r="J117" s="31">
        <v>0</v>
      </c>
      <c r="K117" s="31">
        <v>3</v>
      </c>
    </row>
    <row r="118" spans="1:11" x14ac:dyDescent="0.25">
      <c r="A118" s="34">
        <v>61</v>
      </c>
      <c r="B118" s="30">
        <v>1</v>
      </c>
      <c r="C118" s="30">
        <v>0</v>
      </c>
      <c r="D118" s="30">
        <v>148</v>
      </c>
      <c r="E118" s="30">
        <v>203</v>
      </c>
      <c r="F118" s="30">
        <v>0</v>
      </c>
      <c r="G118" s="30">
        <v>1</v>
      </c>
      <c r="H118" s="30">
        <v>161</v>
      </c>
      <c r="I118" s="30">
        <v>0</v>
      </c>
      <c r="J118" s="30">
        <v>2</v>
      </c>
      <c r="K118" s="30">
        <v>3</v>
      </c>
    </row>
    <row r="119" spans="1:11" x14ac:dyDescent="0.25">
      <c r="A119" s="33">
        <v>50</v>
      </c>
      <c r="B119" s="31">
        <v>1</v>
      </c>
      <c r="C119" s="31">
        <v>0</v>
      </c>
      <c r="D119" s="31">
        <v>144</v>
      </c>
      <c r="E119" s="31">
        <v>200</v>
      </c>
      <c r="F119" s="31">
        <v>0</v>
      </c>
      <c r="G119" s="31">
        <v>0</v>
      </c>
      <c r="H119" s="31">
        <v>126</v>
      </c>
      <c r="I119" s="31">
        <v>1</v>
      </c>
      <c r="J119" s="31">
        <v>1</v>
      </c>
      <c r="K119" s="31">
        <v>3</v>
      </c>
    </row>
    <row r="120" spans="1:11" x14ac:dyDescent="0.25">
      <c r="A120" s="34">
        <v>35</v>
      </c>
      <c r="B120" s="30">
        <v>1</v>
      </c>
      <c r="C120" s="30">
        <v>0</v>
      </c>
      <c r="D120" s="30">
        <v>120</v>
      </c>
      <c r="E120" s="30">
        <v>198</v>
      </c>
      <c r="F120" s="30">
        <v>0</v>
      </c>
      <c r="G120" s="30">
        <v>1</v>
      </c>
      <c r="H120" s="30">
        <v>130</v>
      </c>
      <c r="I120" s="30">
        <v>1</v>
      </c>
      <c r="J120" s="30">
        <v>1</v>
      </c>
      <c r="K120" s="30">
        <v>3</v>
      </c>
    </row>
    <row r="121" spans="1:11" x14ac:dyDescent="0.25">
      <c r="A121" s="34">
        <v>44</v>
      </c>
      <c r="B121" s="30">
        <v>1</v>
      </c>
      <c r="C121" s="30">
        <v>0</v>
      </c>
      <c r="D121" s="30">
        <v>110</v>
      </c>
      <c r="E121" s="30">
        <v>197</v>
      </c>
      <c r="F121" s="30">
        <v>0</v>
      </c>
      <c r="G121" s="30">
        <v>0</v>
      </c>
      <c r="H121" s="30">
        <v>177</v>
      </c>
      <c r="I121" s="30">
        <v>0</v>
      </c>
      <c r="J121" s="30">
        <v>2</v>
      </c>
      <c r="K121" s="30">
        <v>2</v>
      </c>
    </row>
    <row r="122" spans="1:11" x14ac:dyDescent="0.25">
      <c r="A122" s="33">
        <v>63</v>
      </c>
      <c r="B122" s="31">
        <v>0</v>
      </c>
      <c r="C122" s="31">
        <v>0</v>
      </c>
      <c r="D122" s="31">
        <v>124</v>
      </c>
      <c r="E122" s="31">
        <v>197</v>
      </c>
      <c r="F122" s="31">
        <v>0</v>
      </c>
      <c r="G122" s="31">
        <v>1</v>
      </c>
      <c r="H122" s="31">
        <v>136</v>
      </c>
      <c r="I122" s="31">
        <v>1</v>
      </c>
      <c r="J122" s="31">
        <v>1</v>
      </c>
      <c r="K122" s="31">
        <v>2</v>
      </c>
    </row>
    <row r="123" spans="1:11" x14ac:dyDescent="0.25">
      <c r="A123" s="34">
        <v>68</v>
      </c>
      <c r="B123" s="30">
        <v>1</v>
      </c>
      <c r="C123" s="30">
        <v>0</v>
      </c>
      <c r="D123" s="30">
        <v>144</v>
      </c>
      <c r="E123" s="30">
        <v>193</v>
      </c>
      <c r="F123" s="30">
        <v>1</v>
      </c>
      <c r="G123" s="30">
        <v>1</v>
      </c>
      <c r="H123" s="30">
        <v>141</v>
      </c>
      <c r="I123" s="30">
        <v>0</v>
      </c>
      <c r="J123" s="30">
        <v>1</v>
      </c>
      <c r="K123" s="30">
        <v>3</v>
      </c>
    </row>
    <row r="124" spans="1:11" x14ac:dyDescent="0.25">
      <c r="A124" s="33">
        <v>49</v>
      </c>
      <c r="B124" s="31">
        <v>1</v>
      </c>
      <c r="C124" s="31">
        <v>2</v>
      </c>
      <c r="D124" s="31">
        <v>120</v>
      </c>
      <c r="E124" s="31">
        <v>188</v>
      </c>
      <c r="F124" s="31">
        <v>0</v>
      </c>
      <c r="G124" s="31">
        <v>1</v>
      </c>
      <c r="H124" s="31">
        <v>139</v>
      </c>
      <c r="I124" s="31">
        <v>0</v>
      </c>
      <c r="J124" s="31">
        <v>1</v>
      </c>
      <c r="K124" s="31">
        <v>3</v>
      </c>
    </row>
    <row r="125" spans="1:11" x14ac:dyDescent="0.25">
      <c r="A125" s="34">
        <v>54</v>
      </c>
      <c r="B125" s="30">
        <v>1</v>
      </c>
      <c r="C125" s="30">
        <v>0</v>
      </c>
      <c r="D125" s="30">
        <v>120</v>
      </c>
      <c r="E125" s="30">
        <v>188</v>
      </c>
      <c r="F125" s="30">
        <v>0</v>
      </c>
      <c r="G125" s="30">
        <v>1</v>
      </c>
      <c r="H125" s="30">
        <v>113</v>
      </c>
      <c r="I125" s="30">
        <v>0</v>
      </c>
      <c r="J125" s="30">
        <v>1</v>
      </c>
      <c r="K125" s="30">
        <v>3</v>
      </c>
    </row>
    <row r="126" spans="1:11" x14ac:dyDescent="0.25">
      <c r="A126" s="34">
        <v>63</v>
      </c>
      <c r="B126" s="30">
        <v>1</v>
      </c>
      <c r="C126" s="30">
        <v>0</v>
      </c>
      <c r="D126" s="30">
        <v>140</v>
      </c>
      <c r="E126" s="30">
        <v>187</v>
      </c>
      <c r="F126" s="30">
        <v>0</v>
      </c>
      <c r="G126" s="30">
        <v>0</v>
      </c>
      <c r="H126" s="30">
        <v>144</v>
      </c>
      <c r="I126" s="30">
        <v>1</v>
      </c>
      <c r="J126" s="30">
        <v>2</v>
      </c>
      <c r="K126" s="30">
        <v>3</v>
      </c>
    </row>
    <row r="127" spans="1:11" x14ac:dyDescent="0.25">
      <c r="A127" s="34">
        <v>60</v>
      </c>
      <c r="B127" s="30">
        <v>1</v>
      </c>
      <c r="C127" s="30">
        <v>2</v>
      </c>
      <c r="D127" s="30">
        <v>140</v>
      </c>
      <c r="E127" s="30">
        <v>185</v>
      </c>
      <c r="F127" s="30">
        <v>0</v>
      </c>
      <c r="G127" s="30">
        <v>0</v>
      </c>
      <c r="H127" s="30">
        <v>155</v>
      </c>
      <c r="I127" s="30">
        <v>0</v>
      </c>
      <c r="J127" s="30">
        <v>1</v>
      </c>
      <c r="K127" s="30">
        <v>2</v>
      </c>
    </row>
    <row r="128" spans="1:11" x14ac:dyDescent="0.25">
      <c r="A128" s="33">
        <v>56</v>
      </c>
      <c r="B128" s="31">
        <v>1</v>
      </c>
      <c r="C128" s="31">
        <v>0</v>
      </c>
      <c r="D128" s="31">
        <v>132</v>
      </c>
      <c r="E128" s="31">
        <v>184</v>
      </c>
      <c r="F128" s="31">
        <v>0</v>
      </c>
      <c r="G128" s="31">
        <v>0</v>
      </c>
      <c r="H128" s="31">
        <v>105</v>
      </c>
      <c r="I128" s="31">
        <v>1</v>
      </c>
      <c r="J128" s="31">
        <v>1</v>
      </c>
      <c r="K128" s="31">
        <v>1</v>
      </c>
    </row>
    <row r="129" spans="1:11" x14ac:dyDescent="0.25">
      <c r="A129" s="34">
        <v>59</v>
      </c>
      <c r="B129" s="30">
        <v>1</v>
      </c>
      <c r="C129" s="30">
        <v>0</v>
      </c>
      <c r="D129" s="30">
        <v>140</v>
      </c>
      <c r="E129" s="30">
        <v>177</v>
      </c>
      <c r="F129" s="30">
        <v>0</v>
      </c>
      <c r="G129" s="30">
        <v>1</v>
      </c>
      <c r="H129" s="30">
        <v>162</v>
      </c>
      <c r="I129" s="30">
        <v>1</v>
      </c>
      <c r="J129" s="30">
        <v>2</v>
      </c>
      <c r="K129" s="30">
        <v>3</v>
      </c>
    </row>
    <row r="130" spans="1:11" x14ac:dyDescent="0.25">
      <c r="A130" s="33">
        <v>43</v>
      </c>
      <c r="B130" s="31">
        <v>1</v>
      </c>
      <c r="C130" s="31">
        <v>0</v>
      </c>
      <c r="D130" s="31">
        <v>120</v>
      </c>
      <c r="E130" s="31">
        <v>177</v>
      </c>
      <c r="F130" s="31">
        <v>0</v>
      </c>
      <c r="G130" s="31">
        <v>0</v>
      </c>
      <c r="H130" s="31">
        <v>120</v>
      </c>
      <c r="I130" s="31">
        <v>1</v>
      </c>
      <c r="J130" s="31">
        <v>1</v>
      </c>
      <c r="K130" s="31">
        <v>3</v>
      </c>
    </row>
    <row r="131" spans="1:11" x14ac:dyDescent="0.25">
      <c r="A131" s="34">
        <v>59</v>
      </c>
      <c r="B131" s="30">
        <v>1</v>
      </c>
      <c r="C131" s="30">
        <v>0</v>
      </c>
      <c r="D131" s="30">
        <v>164</v>
      </c>
      <c r="E131" s="30">
        <v>176</v>
      </c>
      <c r="F131" s="30">
        <v>1</v>
      </c>
      <c r="G131" s="30">
        <v>0</v>
      </c>
      <c r="H131" s="30">
        <v>90</v>
      </c>
      <c r="I131" s="30">
        <v>0</v>
      </c>
      <c r="J131" s="30">
        <v>1</v>
      </c>
      <c r="K131" s="30">
        <v>1</v>
      </c>
    </row>
    <row r="132" spans="1:11" x14ac:dyDescent="0.25">
      <c r="A132" s="33">
        <v>70</v>
      </c>
      <c r="B132" s="31">
        <v>1</v>
      </c>
      <c r="C132" s="31">
        <v>0</v>
      </c>
      <c r="D132" s="31">
        <v>145</v>
      </c>
      <c r="E132" s="31">
        <v>174</v>
      </c>
      <c r="F132" s="31">
        <v>0</v>
      </c>
      <c r="G132" s="31">
        <v>1</v>
      </c>
      <c r="H132" s="31">
        <v>125</v>
      </c>
      <c r="I132" s="31">
        <v>1</v>
      </c>
      <c r="J132" s="31">
        <v>0</v>
      </c>
      <c r="K132" s="31">
        <v>3</v>
      </c>
    </row>
    <row r="133" spans="1:11" x14ac:dyDescent="0.25">
      <c r="A133" s="33">
        <v>41</v>
      </c>
      <c r="B133" s="31">
        <v>1</v>
      </c>
      <c r="C133" s="31">
        <v>0</v>
      </c>
      <c r="D133" s="31">
        <v>110</v>
      </c>
      <c r="E133" s="31">
        <v>172</v>
      </c>
      <c r="F133" s="31">
        <v>0</v>
      </c>
      <c r="G133" s="31">
        <v>0</v>
      </c>
      <c r="H133" s="31">
        <v>158</v>
      </c>
      <c r="I133" s="31">
        <v>0</v>
      </c>
      <c r="J133" s="31">
        <v>2</v>
      </c>
      <c r="K133" s="31">
        <v>3</v>
      </c>
    </row>
    <row r="134" spans="1:11" x14ac:dyDescent="0.25">
      <c r="A134" s="34">
        <v>44</v>
      </c>
      <c r="B134" s="30">
        <v>1</v>
      </c>
      <c r="C134" s="30">
        <v>0</v>
      </c>
      <c r="D134" s="30">
        <v>120</v>
      </c>
      <c r="E134" s="30">
        <v>169</v>
      </c>
      <c r="F134" s="30">
        <v>0</v>
      </c>
      <c r="G134" s="30">
        <v>1</v>
      </c>
      <c r="H134" s="30">
        <v>144</v>
      </c>
      <c r="I134" s="30">
        <v>1</v>
      </c>
      <c r="J134" s="30">
        <v>0</v>
      </c>
      <c r="K134" s="30">
        <v>1</v>
      </c>
    </row>
    <row r="135" spans="1:11" x14ac:dyDescent="0.25">
      <c r="A135" s="34">
        <v>40</v>
      </c>
      <c r="B135" s="30">
        <v>1</v>
      </c>
      <c r="C135" s="30">
        <v>0</v>
      </c>
      <c r="D135" s="30">
        <v>110</v>
      </c>
      <c r="E135" s="30">
        <v>167</v>
      </c>
      <c r="F135" s="30">
        <v>0</v>
      </c>
      <c r="G135" s="30">
        <v>0</v>
      </c>
      <c r="H135" s="30">
        <v>114</v>
      </c>
      <c r="I135" s="30">
        <v>1</v>
      </c>
      <c r="J135" s="30">
        <v>1</v>
      </c>
      <c r="K135" s="30">
        <v>3</v>
      </c>
    </row>
    <row r="136" spans="1:11" x14ac:dyDescent="0.25">
      <c r="A136" s="34">
        <v>61</v>
      </c>
      <c r="B136" s="30">
        <v>1</v>
      </c>
      <c r="C136" s="30">
        <v>0</v>
      </c>
      <c r="D136" s="30">
        <v>138</v>
      </c>
      <c r="E136" s="30">
        <v>166</v>
      </c>
      <c r="F136" s="30">
        <v>0</v>
      </c>
      <c r="G136" s="30">
        <v>0</v>
      </c>
      <c r="H136" s="30">
        <v>125</v>
      </c>
      <c r="I136" s="30">
        <v>1</v>
      </c>
      <c r="J136" s="30">
        <v>1</v>
      </c>
      <c r="K136" s="30">
        <v>2</v>
      </c>
    </row>
    <row r="137" spans="1:11" x14ac:dyDescent="0.25">
      <c r="A137" s="34">
        <v>62</v>
      </c>
      <c r="B137" s="30">
        <v>0</v>
      </c>
      <c r="C137" s="30">
        <v>0</v>
      </c>
      <c r="D137" s="30">
        <v>160</v>
      </c>
      <c r="E137" s="30">
        <v>164</v>
      </c>
      <c r="F137" s="30">
        <v>0</v>
      </c>
      <c r="G137" s="30">
        <v>0</v>
      </c>
      <c r="H137" s="30">
        <v>145</v>
      </c>
      <c r="I137" s="30">
        <v>0</v>
      </c>
      <c r="J137" s="30">
        <v>0</v>
      </c>
      <c r="K137" s="30">
        <v>3</v>
      </c>
    </row>
    <row r="138" spans="1:11" x14ac:dyDescent="0.25">
      <c r="A138" s="33">
        <v>49</v>
      </c>
      <c r="B138" s="31">
        <v>1</v>
      </c>
      <c r="C138" s="31">
        <v>2</v>
      </c>
      <c r="D138" s="31">
        <v>118</v>
      </c>
      <c r="E138" s="31">
        <v>149</v>
      </c>
      <c r="F138" s="31">
        <v>0</v>
      </c>
      <c r="G138" s="31">
        <v>0</v>
      </c>
      <c r="H138" s="31">
        <v>126</v>
      </c>
      <c r="I138" s="31">
        <v>0</v>
      </c>
      <c r="J138" s="31">
        <v>2</v>
      </c>
      <c r="K138" s="31">
        <v>2</v>
      </c>
    </row>
    <row r="139" spans="1:11" x14ac:dyDescent="0.25">
      <c r="A139" s="33">
        <v>57</v>
      </c>
      <c r="B139" s="31">
        <v>1</v>
      </c>
      <c r="C139" s="31">
        <v>0</v>
      </c>
      <c r="D139" s="31">
        <v>130</v>
      </c>
      <c r="E139" s="31">
        <v>131</v>
      </c>
      <c r="F139" s="31">
        <v>0</v>
      </c>
      <c r="G139" s="31">
        <v>1</v>
      </c>
      <c r="H139" s="31">
        <v>115</v>
      </c>
      <c r="I139" s="31">
        <v>1</v>
      </c>
      <c r="J139" s="31">
        <v>1</v>
      </c>
      <c r="K139" s="31">
        <v>3</v>
      </c>
    </row>
  </sheetData>
  <conditionalFormatting sqref="D1:D1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93"/>
  <sheetViews>
    <sheetView zoomScale="120" zoomScaleNormal="120" workbookViewId="0">
      <selection activeCell="B2" sqref="B2"/>
    </sheetView>
  </sheetViews>
  <sheetFormatPr defaultRowHeight="15" x14ac:dyDescent="0.25"/>
  <cols>
    <col min="1" max="1" width="9.140625" style="28"/>
    <col min="2" max="2" width="9.7109375" style="28" bestFit="1" customWidth="1"/>
    <col min="3" max="3" width="9.140625" style="28"/>
    <col min="4" max="4" width="9.7109375" style="28" customWidth="1"/>
    <col min="5" max="6" width="9.140625" style="28"/>
    <col min="7" max="7" width="9.5703125" style="28" customWidth="1"/>
    <col min="8" max="11" width="9.140625" style="28"/>
    <col min="13" max="13" width="11.28515625" bestFit="1" customWidth="1"/>
  </cols>
  <sheetData>
    <row r="1" spans="1:11" x14ac:dyDescent="0.25">
      <c r="A1" s="36" t="s">
        <v>0</v>
      </c>
      <c r="B1" s="36" t="s">
        <v>107</v>
      </c>
      <c r="C1" s="36" t="s">
        <v>10</v>
      </c>
      <c r="D1" s="36" t="s">
        <v>9</v>
      </c>
      <c r="E1" s="36" t="s">
        <v>2</v>
      </c>
      <c r="F1" s="36" t="s">
        <v>3</v>
      </c>
      <c r="G1" s="36" t="s">
        <v>4</v>
      </c>
      <c r="H1" s="36" t="s">
        <v>11</v>
      </c>
      <c r="I1" s="36" t="s">
        <v>5</v>
      </c>
      <c r="J1" s="36" t="s">
        <v>6</v>
      </c>
      <c r="K1" s="36" t="s">
        <v>7</v>
      </c>
    </row>
    <row r="2" spans="1:11" x14ac:dyDescent="0.25">
      <c r="A2" s="31">
        <v>58</v>
      </c>
      <c r="B2" s="31" t="str">
        <f t="shared" ref="B2:B33" si="0">IF(A2&lt;30,"20-29",IF(A2&lt;40,"30-39",IF(A2&lt;50,"40-49",IF(A2&lt;60,"50-59",IF(A2&lt;70,"60-69",IF(A2&lt;80,"70+"))))))</f>
        <v>50-59</v>
      </c>
      <c r="C2" s="31">
        <v>2</v>
      </c>
      <c r="D2" s="31">
        <v>140</v>
      </c>
      <c r="E2" s="31">
        <v>211</v>
      </c>
      <c r="F2" s="31">
        <v>1</v>
      </c>
      <c r="G2" s="31">
        <v>0</v>
      </c>
      <c r="H2" s="31">
        <v>165</v>
      </c>
      <c r="I2" s="31">
        <v>0</v>
      </c>
      <c r="J2" s="31">
        <v>2</v>
      </c>
      <c r="K2" s="31">
        <v>2</v>
      </c>
    </row>
    <row r="3" spans="1:11" x14ac:dyDescent="0.25">
      <c r="A3" s="31">
        <v>45</v>
      </c>
      <c r="B3" s="31" t="str">
        <f t="shared" si="0"/>
        <v>40-49</v>
      </c>
      <c r="C3" s="31">
        <v>0</v>
      </c>
      <c r="D3" s="31">
        <v>104</v>
      </c>
      <c r="E3" s="31">
        <v>208</v>
      </c>
      <c r="F3" s="31">
        <v>0</v>
      </c>
      <c r="G3" s="31">
        <v>0</v>
      </c>
      <c r="H3" s="31">
        <v>148</v>
      </c>
      <c r="I3" s="31">
        <v>1</v>
      </c>
      <c r="J3" s="31">
        <v>1</v>
      </c>
      <c r="K3" s="31">
        <v>2</v>
      </c>
    </row>
    <row r="4" spans="1:11" x14ac:dyDescent="0.25">
      <c r="A4" s="30">
        <v>44</v>
      </c>
      <c r="B4" s="30" t="str">
        <f t="shared" si="0"/>
        <v>40-49</v>
      </c>
      <c r="C4" s="30">
        <v>2</v>
      </c>
      <c r="D4" s="30">
        <v>130</v>
      </c>
      <c r="E4" s="30">
        <v>233</v>
      </c>
      <c r="F4" s="30">
        <v>0</v>
      </c>
      <c r="G4" s="30">
        <v>1</v>
      </c>
      <c r="H4" s="30">
        <v>179</v>
      </c>
      <c r="I4" s="30">
        <v>1</v>
      </c>
      <c r="J4" s="30">
        <v>2</v>
      </c>
      <c r="K4" s="30">
        <v>2</v>
      </c>
    </row>
    <row r="5" spans="1:11" x14ac:dyDescent="0.25">
      <c r="A5" s="30">
        <v>50</v>
      </c>
      <c r="B5" s="30" t="str">
        <f t="shared" si="0"/>
        <v>50-59</v>
      </c>
      <c r="C5" s="30">
        <v>2</v>
      </c>
      <c r="D5" s="30">
        <v>129</v>
      </c>
      <c r="E5" s="30">
        <v>196</v>
      </c>
      <c r="F5" s="30">
        <v>0</v>
      </c>
      <c r="G5" s="30">
        <v>1</v>
      </c>
      <c r="H5" s="30">
        <v>163</v>
      </c>
      <c r="I5" s="30">
        <v>0</v>
      </c>
      <c r="J5" s="30">
        <v>2</v>
      </c>
      <c r="K5" s="30">
        <v>2</v>
      </c>
    </row>
    <row r="6" spans="1:11" x14ac:dyDescent="0.25">
      <c r="A6" s="31">
        <v>51</v>
      </c>
      <c r="B6" s="31" t="str">
        <f t="shared" si="0"/>
        <v>50-59</v>
      </c>
      <c r="C6" s="31">
        <v>3</v>
      </c>
      <c r="D6" s="31">
        <v>125</v>
      </c>
      <c r="E6" s="31">
        <v>213</v>
      </c>
      <c r="F6" s="31">
        <v>0</v>
      </c>
      <c r="G6" s="31">
        <v>0</v>
      </c>
      <c r="H6" s="31">
        <v>125</v>
      </c>
      <c r="I6" s="31">
        <v>1</v>
      </c>
      <c r="J6" s="31">
        <v>2</v>
      </c>
      <c r="K6" s="31">
        <v>2</v>
      </c>
    </row>
    <row r="7" spans="1:11" x14ac:dyDescent="0.25">
      <c r="A7" s="30">
        <v>59</v>
      </c>
      <c r="B7" s="30" t="str">
        <f t="shared" si="0"/>
        <v>50-59</v>
      </c>
      <c r="C7" s="30">
        <v>0</v>
      </c>
      <c r="D7" s="30">
        <v>138</v>
      </c>
      <c r="E7" s="30">
        <v>271</v>
      </c>
      <c r="F7" s="30">
        <v>0</v>
      </c>
      <c r="G7" s="30">
        <v>0</v>
      </c>
      <c r="H7" s="30">
        <v>182</v>
      </c>
      <c r="I7" s="30">
        <v>0</v>
      </c>
      <c r="J7" s="30">
        <v>2</v>
      </c>
      <c r="K7" s="30">
        <v>2</v>
      </c>
    </row>
    <row r="8" spans="1:11" x14ac:dyDescent="0.25">
      <c r="A8" s="31">
        <v>64</v>
      </c>
      <c r="B8" s="31" t="str">
        <f t="shared" si="0"/>
        <v>60-69</v>
      </c>
      <c r="C8" s="31">
        <v>0</v>
      </c>
      <c r="D8" s="31">
        <v>128</v>
      </c>
      <c r="E8" s="31">
        <v>263</v>
      </c>
      <c r="F8" s="31">
        <v>0</v>
      </c>
      <c r="G8" s="31">
        <v>1</v>
      </c>
      <c r="H8" s="31">
        <v>105</v>
      </c>
      <c r="I8" s="31">
        <v>1</v>
      </c>
      <c r="J8" s="31">
        <v>1</v>
      </c>
      <c r="K8" s="31">
        <v>3</v>
      </c>
    </row>
    <row r="9" spans="1:11" x14ac:dyDescent="0.25">
      <c r="A9" s="31">
        <v>54</v>
      </c>
      <c r="B9" s="31" t="str">
        <f t="shared" si="0"/>
        <v>50-59</v>
      </c>
      <c r="C9" s="31">
        <v>2</v>
      </c>
      <c r="D9" s="31">
        <v>120</v>
      </c>
      <c r="E9" s="31">
        <v>258</v>
      </c>
      <c r="F9" s="31">
        <v>0</v>
      </c>
      <c r="G9" s="31">
        <v>0</v>
      </c>
      <c r="H9" s="31">
        <v>147</v>
      </c>
      <c r="I9" s="31">
        <v>0</v>
      </c>
      <c r="J9" s="31">
        <v>1</v>
      </c>
      <c r="K9" s="31">
        <v>3</v>
      </c>
    </row>
    <row r="10" spans="1:11" x14ac:dyDescent="0.25">
      <c r="A10" s="31">
        <v>42</v>
      </c>
      <c r="B10" s="31" t="str">
        <f t="shared" si="0"/>
        <v>40-49</v>
      </c>
      <c r="C10" s="31">
        <v>0</v>
      </c>
      <c r="D10" s="31">
        <v>140</v>
      </c>
      <c r="E10" s="31">
        <v>226</v>
      </c>
      <c r="F10" s="31">
        <v>0</v>
      </c>
      <c r="G10" s="31">
        <v>1</v>
      </c>
      <c r="H10" s="31">
        <v>178</v>
      </c>
      <c r="I10" s="31">
        <v>0</v>
      </c>
      <c r="J10" s="31">
        <v>2</v>
      </c>
      <c r="K10" s="31">
        <v>2</v>
      </c>
    </row>
    <row r="11" spans="1:11" x14ac:dyDescent="0.25">
      <c r="A11" s="30">
        <v>41</v>
      </c>
      <c r="B11" s="30" t="str">
        <f t="shared" si="0"/>
        <v>40-49</v>
      </c>
      <c r="C11" s="30">
        <v>1</v>
      </c>
      <c r="D11" s="30">
        <v>135</v>
      </c>
      <c r="E11" s="30">
        <v>203</v>
      </c>
      <c r="F11" s="30">
        <v>0</v>
      </c>
      <c r="G11" s="30">
        <v>1</v>
      </c>
      <c r="H11" s="30">
        <v>132</v>
      </c>
      <c r="I11" s="30">
        <v>0</v>
      </c>
      <c r="J11" s="30">
        <v>1</v>
      </c>
      <c r="K11" s="30">
        <v>1</v>
      </c>
    </row>
    <row r="12" spans="1:11" x14ac:dyDescent="0.25">
      <c r="A12" s="31">
        <v>38</v>
      </c>
      <c r="B12" s="31" t="str">
        <f t="shared" si="0"/>
        <v>30-39</v>
      </c>
      <c r="C12" s="31">
        <v>2</v>
      </c>
      <c r="D12" s="31">
        <v>138</v>
      </c>
      <c r="E12" s="31">
        <v>175</v>
      </c>
      <c r="F12" s="31">
        <v>0</v>
      </c>
      <c r="G12" s="31">
        <v>1</v>
      </c>
      <c r="H12" s="31">
        <v>173</v>
      </c>
      <c r="I12" s="31">
        <v>0</v>
      </c>
      <c r="J12" s="31">
        <v>2</v>
      </c>
      <c r="K12" s="31">
        <v>2</v>
      </c>
    </row>
    <row r="13" spans="1:11" x14ac:dyDescent="0.25">
      <c r="A13" s="30">
        <v>56</v>
      </c>
      <c r="B13" s="30" t="str">
        <f t="shared" si="0"/>
        <v>50-59</v>
      </c>
      <c r="C13" s="30">
        <v>3</v>
      </c>
      <c r="D13" s="30">
        <v>120</v>
      </c>
      <c r="E13" s="30">
        <v>193</v>
      </c>
      <c r="F13" s="30">
        <v>0</v>
      </c>
      <c r="G13" s="30">
        <v>0</v>
      </c>
      <c r="H13" s="30">
        <v>162</v>
      </c>
      <c r="I13" s="30">
        <v>0</v>
      </c>
      <c r="J13" s="30">
        <v>1</v>
      </c>
      <c r="K13" s="30">
        <v>3</v>
      </c>
    </row>
    <row r="14" spans="1:11" x14ac:dyDescent="0.25">
      <c r="A14" s="31">
        <v>48</v>
      </c>
      <c r="B14" s="31" t="str">
        <f t="shared" si="0"/>
        <v>40-49</v>
      </c>
      <c r="C14" s="31">
        <v>1</v>
      </c>
      <c r="D14" s="31">
        <v>130</v>
      </c>
      <c r="E14" s="31">
        <v>245</v>
      </c>
      <c r="F14" s="31">
        <v>0</v>
      </c>
      <c r="G14" s="31">
        <v>0</v>
      </c>
      <c r="H14" s="31">
        <v>180</v>
      </c>
      <c r="I14" s="31">
        <v>0</v>
      </c>
      <c r="J14" s="31">
        <v>1</v>
      </c>
      <c r="K14" s="31">
        <v>2</v>
      </c>
    </row>
    <row r="15" spans="1:11" x14ac:dyDescent="0.25">
      <c r="A15" s="30">
        <v>29</v>
      </c>
      <c r="B15" s="30" t="str">
        <f t="shared" si="0"/>
        <v>20-29</v>
      </c>
      <c r="C15" s="30">
        <v>1</v>
      </c>
      <c r="D15" s="30">
        <v>130</v>
      </c>
      <c r="E15" s="30">
        <v>204</v>
      </c>
      <c r="F15" s="30">
        <v>0</v>
      </c>
      <c r="G15" s="30">
        <v>0</v>
      </c>
      <c r="H15" s="30">
        <v>202</v>
      </c>
      <c r="I15" s="30">
        <v>0</v>
      </c>
      <c r="J15" s="30">
        <v>2</v>
      </c>
      <c r="K15" s="30">
        <v>2</v>
      </c>
    </row>
    <row r="16" spans="1:11" x14ac:dyDescent="0.25">
      <c r="A16" s="30">
        <v>59</v>
      </c>
      <c r="B16" s="30" t="str">
        <f t="shared" si="0"/>
        <v>50-59</v>
      </c>
      <c r="C16" s="30">
        <v>2</v>
      </c>
      <c r="D16" s="30">
        <v>150</v>
      </c>
      <c r="E16" s="30">
        <v>212</v>
      </c>
      <c r="F16" s="30">
        <v>1</v>
      </c>
      <c r="G16" s="30">
        <v>1</v>
      </c>
      <c r="H16" s="30">
        <v>157</v>
      </c>
      <c r="I16" s="30">
        <v>0</v>
      </c>
      <c r="J16" s="30">
        <v>2</v>
      </c>
      <c r="K16" s="30">
        <v>2</v>
      </c>
    </row>
    <row r="17" spans="1:17" x14ac:dyDescent="0.25">
      <c r="A17" s="30">
        <v>53</v>
      </c>
      <c r="B17" s="30" t="str">
        <f t="shared" si="0"/>
        <v>50-59</v>
      </c>
      <c r="C17" s="30">
        <v>2</v>
      </c>
      <c r="D17" s="30">
        <v>130</v>
      </c>
      <c r="E17" s="30">
        <v>197</v>
      </c>
      <c r="F17" s="30">
        <v>1</v>
      </c>
      <c r="G17" s="30">
        <v>0</v>
      </c>
      <c r="H17" s="30">
        <v>152</v>
      </c>
      <c r="I17" s="30">
        <v>0</v>
      </c>
      <c r="J17" s="30">
        <v>0</v>
      </c>
      <c r="K17" s="30">
        <v>2</v>
      </c>
    </row>
    <row r="18" spans="1:17" x14ac:dyDescent="0.25">
      <c r="A18" s="30">
        <v>47</v>
      </c>
      <c r="B18" s="30" t="str">
        <f t="shared" si="0"/>
        <v>40-49</v>
      </c>
      <c r="C18" s="30">
        <v>2</v>
      </c>
      <c r="D18" s="30">
        <v>138</v>
      </c>
      <c r="E18" s="30">
        <v>257</v>
      </c>
      <c r="F18" s="30">
        <v>0</v>
      </c>
      <c r="G18" s="30">
        <v>0</v>
      </c>
      <c r="H18" s="30">
        <v>156</v>
      </c>
      <c r="I18" s="30">
        <v>0</v>
      </c>
      <c r="J18" s="30">
        <v>2</v>
      </c>
      <c r="K18" s="30">
        <v>2</v>
      </c>
    </row>
    <row r="19" spans="1:17" x14ac:dyDescent="0.25">
      <c r="A19" s="31">
        <v>48</v>
      </c>
      <c r="B19" s="31" t="str">
        <f t="shared" si="0"/>
        <v>40-49</v>
      </c>
      <c r="C19" s="31">
        <v>2</v>
      </c>
      <c r="D19" s="31">
        <v>124</v>
      </c>
      <c r="E19" s="31">
        <v>255</v>
      </c>
      <c r="F19" s="31">
        <v>1</v>
      </c>
      <c r="G19" s="31">
        <v>1</v>
      </c>
      <c r="H19" s="31">
        <v>175</v>
      </c>
      <c r="I19" s="31">
        <v>0</v>
      </c>
      <c r="J19" s="31">
        <v>2</v>
      </c>
      <c r="K19" s="31">
        <v>2</v>
      </c>
    </row>
    <row r="20" spans="1:17" x14ac:dyDescent="0.25">
      <c r="A20" s="30">
        <v>52</v>
      </c>
      <c r="B20" s="30" t="str">
        <f t="shared" si="0"/>
        <v>50-59</v>
      </c>
      <c r="C20" s="30">
        <v>1</v>
      </c>
      <c r="D20" s="30">
        <v>134</v>
      </c>
      <c r="E20" s="30">
        <v>201</v>
      </c>
      <c r="F20" s="30">
        <v>0</v>
      </c>
      <c r="G20" s="30">
        <v>1</v>
      </c>
      <c r="H20" s="30">
        <v>158</v>
      </c>
      <c r="I20" s="30">
        <v>0</v>
      </c>
      <c r="J20" s="30">
        <v>2</v>
      </c>
      <c r="K20" s="30">
        <v>2</v>
      </c>
    </row>
    <row r="21" spans="1:17" x14ac:dyDescent="0.25">
      <c r="A21" s="30">
        <v>44</v>
      </c>
      <c r="B21" s="30" t="str">
        <f t="shared" si="0"/>
        <v>40-49</v>
      </c>
      <c r="C21" s="30">
        <v>1</v>
      </c>
      <c r="D21" s="30">
        <v>120</v>
      </c>
      <c r="E21" s="30">
        <v>220</v>
      </c>
      <c r="F21" s="30">
        <v>0</v>
      </c>
      <c r="G21" s="30">
        <v>1</v>
      </c>
      <c r="H21" s="30">
        <v>170</v>
      </c>
      <c r="I21" s="30">
        <v>0</v>
      </c>
      <c r="J21" s="30">
        <v>2</v>
      </c>
      <c r="K21" s="30">
        <v>2</v>
      </c>
      <c r="M21" s="4" t="s">
        <v>23</v>
      </c>
      <c r="N21" s="4" t="s">
        <v>24</v>
      </c>
      <c r="O21" s="4" t="s">
        <v>25</v>
      </c>
      <c r="P21" s="4" t="s">
        <v>26</v>
      </c>
      <c r="Q21" s="4" t="s">
        <v>27</v>
      </c>
    </row>
    <row r="22" spans="1:17" x14ac:dyDescent="0.25">
      <c r="A22" s="30">
        <v>62</v>
      </c>
      <c r="B22" s="30" t="str">
        <f t="shared" si="0"/>
        <v>60-69</v>
      </c>
      <c r="C22" s="30">
        <v>1</v>
      </c>
      <c r="D22" s="30">
        <v>128</v>
      </c>
      <c r="E22" s="30">
        <v>208</v>
      </c>
      <c r="F22" s="30">
        <v>1</v>
      </c>
      <c r="G22" s="30">
        <v>0</v>
      </c>
      <c r="H22" s="30">
        <v>140</v>
      </c>
      <c r="I22" s="30">
        <v>0</v>
      </c>
      <c r="J22" s="30">
        <v>2</v>
      </c>
      <c r="K22" s="30">
        <v>2</v>
      </c>
      <c r="M22" s="5" t="s">
        <v>28</v>
      </c>
      <c r="N22" s="6">
        <f>AVERAGE(A:A)</f>
        <v>51.043478260869563</v>
      </c>
      <c r="O22" s="6">
        <f>_xlfn.STDEV.P(A:A)</f>
        <v>8.5769066120680186</v>
      </c>
      <c r="P22" s="6">
        <f>MIN(A:A)</f>
        <v>29</v>
      </c>
      <c r="Q22" s="6">
        <f>MAX(A:A)</f>
        <v>70</v>
      </c>
    </row>
    <row r="23" spans="1:17" x14ac:dyDescent="0.25">
      <c r="A23" s="30">
        <v>62</v>
      </c>
      <c r="B23" s="30" t="str">
        <f t="shared" si="0"/>
        <v>60-69</v>
      </c>
      <c r="C23" s="30">
        <v>2</v>
      </c>
      <c r="D23" s="30">
        <v>130</v>
      </c>
      <c r="E23" s="30">
        <v>231</v>
      </c>
      <c r="F23" s="30">
        <v>0</v>
      </c>
      <c r="G23" s="30">
        <v>1</v>
      </c>
      <c r="H23" s="30">
        <v>146</v>
      </c>
      <c r="I23" s="30">
        <v>0</v>
      </c>
      <c r="J23" s="30">
        <v>1</v>
      </c>
      <c r="K23" s="30">
        <v>3</v>
      </c>
      <c r="M23" s="5" t="s">
        <v>29</v>
      </c>
      <c r="N23" s="6">
        <f>AVERAGE(D:D)</f>
        <v>129.65217391304347</v>
      </c>
      <c r="O23" s="6">
        <f>_xlfn.STDEV.P(D:D)</f>
        <v>15.932217006818698</v>
      </c>
      <c r="P23" s="6">
        <f>MIN(D:D)</f>
        <v>94</v>
      </c>
      <c r="Q23" s="6">
        <f>MAX(D:D)</f>
        <v>178</v>
      </c>
    </row>
    <row r="24" spans="1:17" x14ac:dyDescent="0.25">
      <c r="A24" s="30">
        <v>56</v>
      </c>
      <c r="B24" s="30" t="str">
        <f t="shared" si="0"/>
        <v>50-59</v>
      </c>
      <c r="C24" s="30">
        <v>1</v>
      </c>
      <c r="D24" s="30">
        <v>120</v>
      </c>
      <c r="E24" s="30">
        <v>236</v>
      </c>
      <c r="F24" s="30">
        <v>0</v>
      </c>
      <c r="G24" s="30">
        <v>1</v>
      </c>
      <c r="H24" s="30">
        <v>178</v>
      </c>
      <c r="I24" s="30">
        <v>0</v>
      </c>
      <c r="J24" s="30">
        <v>2</v>
      </c>
      <c r="K24" s="30">
        <v>2</v>
      </c>
      <c r="M24" s="5" t="s">
        <v>30</v>
      </c>
      <c r="N24" s="6">
        <f>AVERAGE(E:E)</f>
        <v>231.59782608695653</v>
      </c>
      <c r="O24" s="6">
        <f>_xlfn.STDEV.P(E:E)</f>
        <v>37.435759405021074</v>
      </c>
      <c r="P24" s="6">
        <f>MIN(E:E)</f>
        <v>126</v>
      </c>
      <c r="Q24" s="6">
        <f>MAX(E:E)</f>
        <v>325</v>
      </c>
    </row>
    <row r="25" spans="1:17" x14ac:dyDescent="0.25">
      <c r="A25" s="30">
        <v>44</v>
      </c>
      <c r="B25" s="30" t="str">
        <f t="shared" si="0"/>
        <v>40-49</v>
      </c>
      <c r="C25" s="30">
        <v>1</v>
      </c>
      <c r="D25" s="30">
        <v>120</v>
      </c>
      <c r="E25" s="30">
        <v>263</v>
      </c>
      <c r="F25" s="30">
        <v>0</v>
      </c>
      <c r="G25" s="30">
        <v>1</v>
      </c>
      <c r="H25" s="30">
        <v>173</v>
      </c>
      <c r="I25" s="30">
        <v>0</v>
      </c>
      <c r="J25" s="30">
        <v>2</v>
      </c>
      <c r="K25" s="30">
        <v>3</v>
      </c>
      <c r="M25" s="5" t="s">
        <v>31</v>
      </c>
      <c r="N25" s="6">
        <f>AVERAGE(H:H)</f>
        <v>161.78260869565219</v>
      </c>
      <c r="O25" s="6">
        <f>_xlfn.STDEV.P(H:H)</f>
        <v>18.455484684338082</v>
      </c>
      <c r="P25" s="6">
        <f>MIN(H:H)</f>
        <v>105</v>
      </c>
      <c r="Q25" s="6">
        <f>MAX(H:H)</f>
        <v>202</v>
      </c>
    </row>
    <row r="26" spans="1:17" x14ac:dyDescent="0.25">
      <c r="A26" s="30">
        <v>52</v>
      </c>
      <c r="B26" s="30" t="str">
        <f t="shared" si="0"/>
        <v>50-59</v>
      </c>
      <c r="C26" s="30">
        <v>0</v>
      </c>
      <c r="D26" s="30">
        <v>108</v>
      </c>
      <c r="E26" s="30">
        <v>233</v>
      </c>
      <c r="F26" s="30">
        <v>1</v>
      </c>
      <c r="G26" s="30">
        <v>1</v>
      </c>
      <c r="H26" s="30">
        <v>147</v>
      </c>
      <c r="I26" s="30">
        <v>0</v>
      </c>
      <c r="J26" s="30">
        <v>2</v>
      </c>
      <c r="K26" s="30">
        <v>3</v>
      </c>
    </row>
    <row r="27" spans="1:17" x14ac:dyDescent="0.25">
      <c r="A27" s="30">
        <v>42</v>
      </c>
      <c r="B27" s="30" t="str">
        <f t="shared" si="0"/>
        <v>40-49</v>
      </c>
      <c r="C27" s="30">
        <v>1</v>
      </c>
      <c r="D27" s="30">
        <v>120</v>
      </c>
      <c r="E27" s="30">
        <v>295</v>
      </c>
      <c r="F27" s="30">
        <v>0</v>
      </c>
      <c r="G27" s="30">
        <v>1</v>
      </c>
      <c r="H27" s="30">
        <v>162</v>
      </c>
      <c r="I27" s="30">
        <v>0</v>
      </c>
      <c r="J27" s="30">
        <v>2</v>
      </c>
      <c r="K27" s="30">
        <v>2</v>
      </c>
    </row>
    <row r="28" spans="1:17" x14ac:dyDescent="0.25">
      <c r="A28" s="31">
        <v>45</v>
      </c>
      <c r="B28" s="31" t="str">
        <f t="shared" si="0"/>
        <v>40-49</v>
      </c>
      <c r="C28" s="31">
        <v>1</v>
      </c>
      <c r="D28" s="31">
        <v>128</v>
      </c>
      <c r="E28" s="31">
        <v>308</v>
      </c>
      <c r="F28" s="31">
        <v>0</v>
      </c>
      <c r="G28" s="31">
        <v>0</v>
      </c>
      <c r="H28" s="31">
        <v>170</v>
      </c>
      <c r="I28" s="31">
        <v>0</v>
      </c>
      <c r="J28" s="31">
        <v>2</v>
      </c>
      <c r="K28" s="31">
        <v>2</v>
      </c>
    </row>
    <row r="29" spans="1:17" x14ac:dyDescent="0.25">
      <c r="A29" s="31">
        <v>57</v>
      </c>
      <c r="B29" s="31" t="str">
        <f t="shared" si="0"/>
        <v>50-59</v>
      </c>
      <c r="C29" s="31">
        <v>2</v>
      </c>
      <c r="D29" s="31">
        <v>150</v>
      </c>
      <c r="E29" s="31">
        <v>126</v>
      </c>
      <c r="F29" s="31">
        <v>1</v>
      </c>
      <c r="G29" s="31">
        <v>1</v>
      </c>
      <c r="H29" s="31">
        <v>173</v>
      </c>
      <c r="I29" s="31">
        <v>0</v>
      </c>
      <c r="J29" s="31">
        <v>2</v>
      </c>
      <c r="K29" s="31">
        <v>3</v>
      </c>
    </row>
    <row r="30" spans="1:17" x14ac:dyDescent="0.25">
      <c r="A30" s="30">
        <v>47</v>
      </c>
      <c r="B30" s="30" t="str">
        <f t="shared" si="0"/>
        <v>40-49</v>
      </c>
      <c r="C30" s="30">
        <v>0</v>
      </c>
      <c r="D30" s="30">
        <v>112</v>
      </c>
      <c r="E30" s="30">
        <v>204</v>
      </c>
      <c r="F30" s="30">
        <v>0</v>
      </c>
      <c r="G30" s="30">
        <v>1</v>
      </c>
      <c r="H30" s="30">
        <v>143</v>
      </c>
      <c r="I30" s="30">
        <v>0</v>
      </c>
      <c r="J30" s="30">
        <v>2</v>
      </c>
      <c r="K30" s="30">
        <v>2</v>
      </c>
    </row>
    <row r="31" spans="1:17" x14ac:dyDescent="0.25">
      <c r="A31" s="31">
        <v>59</v>
      </c>
      <c r="B31" s="31" t="str">
        <f t="shared" si="0"/>
        <v>50-59</v>
      </c>
      <c r="C31" s="31">
        <v>1</v>
      </c>
      <c r="D31" s="31">
        <v>140</v>
      </c>
      <c r="E31" s="31">
        <v>221</v>
      </c>
      <c r="F31" s="31">
        <v>0</v>
      </c>
      <c r="G31" s="31">
        <v>1</v>
      </c>
      <c r="H31" s="31">
        <v>164</v>
      </c>
      <c r="I31" s="31">
        <v>1</v>
      </c>
      <c r="J31" s="31">
        <v>2</v>
      </c>
      <c r="K31" s="31">
        <v>2</v>
      </c>
    </row>
    <row r="32" spans="1:17" x14ac:dyDescent="0.25">
      <c r="A32" s="31">
        <v>54</v>
      </c>
      <c r="B32" s="31" t="str">
        <f t="shared" si="0"/>
        <v>50-59</v>
      </c>
      <c r="C32" s="31">
        <v>1</v>
      </c>
      <c r="D32" s="31">
        <v>108</v>
      </c>
      <c r="E32" s="31">
        <v>309</v>
      </c>
      <c r="F32" s="31">
        <v>0</v>
      </c>
      <c r="G32" s="31">
        <v>1</v>
      </c>
      <c r="H32" s="31">
        <v>156</v>
      </c>
      <c r="I32" s="31">
        <v>0</v>
      </c>
      <c r="J32" s="31">
        <v>2</v>
      </c>
      <c r="K32" s="31">
        <v>3</v>
      </c>
    </row>
    <row r="33" spans="1:11" x14ac:dyDescent="0.25">
      <c r="A33" s="31">
        <v>52</v>
      </c>
      <c r="B33" s="31" t="str">
        <f t="shared" si="0"/>
        <v>50-59</v>
      </c>
      <c r="C33" s="31">
        <v>3</v>
      </c>
      <c r="D33" s="31">
        <v>118</v>
      </c>
      <c r="E33" s="31">
        <v>186</v>
      </c>
      <c r="F33" s="31">
        <v>0</v>
      </c>
      <c r="G33" s="31">
        <v>0</v>
      </c>
      <c r="H33" s="31">
        <v>190</v>
      </c>
      <c r="I33" s="31">
        <v>0</v>
      </c>
      <c r="J33" s="31">
        <v>1</v>
      </c>
      <c r="K33" s="31">
        <v>1</v>
      </c>
    </row>
    <row r="34" spans="1:11" x14ac:dyDescent="0.25">
      <c r="A34" s="30">
        <v>53</v>
      </c>
      <c r="B34" s="30" t="str">
        <f t="shared" ref="B34:B65" si="1">IF(A34&lt;30,"20-29",IF(A34&lt;40,"30-39",IF(A34&lt;50,"40-49",IF(A34&lt;60,"50-59",IF(A34&lt;70,"60-69",IF(A34&lt;80,"70+"))))))</f>
        <v>50-59</v>
      </c>
      <c r="C34" s="30">
        <v>0</v>
      </c>
      <c r="D34" s="30">
        <v>142</v>
      </c>
      <c r="E34" s="30">
        <v>226</v>
      </c>
      <c r="F34" s="30">
        <v>0</v>
      </c>
      <c r="G34" s="30">
        <v>0</v>
      </c>
      <c r="H34" s="30">
        <v>111</v>
      </c>
      <c r="I34" s="30">
        <v>1</v>
      </c>
      <c r="J34" s="30">
        <v>2</v>
      </c>
      <c r="K34" s="30">
        <v>3</v>
      </c>
    </row>
    <row r="35" spans="1:11" x14ac:dyDescent="0.25">
      <c r="A35" s="30">
        <v>66</v>
      </c>
      <c r="B35" s="30" t="str">
        <f t="shared" si="1"/>
        <v>60-69</v>
      </c>
      <c r="C35" s="30">
        <v>0</v>
      </c>
      <c r="D35" s="30">
        <v>120</v>
      </c>
      <c r="E35" s="30">
        <v>302</v>
      </c>
      <c r="F35" s="30">
        <v>0</v>
      </c>
      <c r="G35" s="30">
        <v>0</v>
      </c>
      <c r="H35" s="30">
        <v>151</v>
      </c>
      <c r="I35" s="30">
        <v>0</v>
      </c>
      <c r="J35" s="30">
        <v>1</v>
      </c>
      <c r="K35" s="30">
        <v>2</v>
      </c>
    </row>
    <row r="36" spans="1:11" x14ac:dyDescent="0.25">
      <c r="A36" s="30">
        <v>52</v>
      </c>
      <c r="B36" s="30" t="str">
        <f t="shared" si="1"/>
        <v>50-59</v>
      </c>
      <c r="C36" s="30">
        <v>2</v>
      </c>
      <c r="D36" s="30">
        <v>138</v>
      </c>
      <c r="E36" s="30">
        <v>223</v>
      </c>
      <c r="F36" s="30">
        <v>0</v>
      </c>
      <c r="G36" s="30">
        <v>1</v>
      </c>
      <c r="H36" s="30">
        <v>169</v>
      </c>
      <c r="I36" s="30">
        <v>0</v>
      </c>
      <c r="J36" s="30">
        <v>2</v>
      </c>
      <c r="K36" s="30">
        <v>2</v>
      </c>
    </row>
    <row r="37" spans="1:11" x14ac:dyDescent="0.25">
      <c r="A37" s="31">
        <v>57</v>
      </c>
      <c r="B37" s="31" t="str">
        <f t="shared" si="1"/>
        <v>50-59</v>
      </c>
      <c r="C37" s="31">
        <v>0</v>
      </c>
      <c r="D37" s="31">
        <v>140</v>
      </c>
      <c r="E37" s="31">
        <v>192</v>
      </c>
      <c r="F37" s="31">
        <v>0</v>
      </c>
      <c r="G37" s="31">
        <v>1</v>
      </c>
      <c r="H37" s="31">
        <v>148</v>
      </c>
      <c r="I37" s="31">
        <v>0</v>
      </c>
      <c r="J37" s="31">
        <v>1</v>
      </c>
      <c r="K37" s="31">
        <v>1</v>
      </c>
    </row>
    <row r="38" spans="1:11" x14ac:dyDescent="0.25">
      <c r="A38" s="30">
        <v>41</v>
      </c>
      <c r="B38" s="30" t="str">
        <f t="shared" si="1"/>
        <v>40-49</v>
      </c>
      <c r="C38" s="30">
        <v>1</v>
      </c>
      <c r="D38" s="30">
        <v>110</v>
      </c>
      <c r="E38" s="30">
        <v>235</v>
      </c>
      <c r="F38" s="30">
        <v>0</v>
      </c>
      <c r="G38" s="30">
        <v>1</v>
      </c>
      <c r="H38" s="30">
        <v>153</v>
      </c>
      <c r="I38" s="30">
        <v>0</v>
      </c>
      <c r="J38" s="30">
        <v>2</v>
      </c>
      <c r="K38" s="30">
        <v>2</v>
      </c>
    </row>
    <row r="39" spans="1:11" x14ac:dyDescent="0.25">
      <c r="A39" s="31">
        <v>34</v>
      </c>
      <c r="B39" s="31" t="str">
        <f t="shared" si="1"/>
        <v>30-39</v>
      </c>
      <c r="C39" s="31">
        <v>3</v>
      </c>
      <c r="D39" s="31">
        <v>118</v>
      </c>
      <c r="E39" s="31">
        <v>182</v>
      </c>
      <c r="F39" s="31">
        <v>0</v>
      </c>
      <c r="G39" s="31">
        <v>0</v>
      </c>
      <c r="H39" s="31">
        <v>174</v>
      </c>
      <c r="I39" s="31">
        <v>0</v>
      </c>
      <c r="J39" s="31">
        <v>2</v>
      </c>
      <c r="K39" s="31">
        <v>2</v>
      </c>
    </row>
    <row r="40" spans="1:11" x14ac:dyDescent="0.25">
      <c r="A40" s="30">
        <v>52</v>
      </c>
      <c r="B40" s="30" t="str">
        <f t="shared" si="1"/>
        <v>50-59</v>
      </c>
      <c r="C40" s="30">
        <v>3</v>
      </c>
      <c r="D40" s="30">
        <v>152</v>
      </c>
      <c r="E40" s="30">
        <v>298</v>
      </c>
      <c r="F40" s="30">
        <v>1</v>
      </c>
      <c r="G40" s="30">
        <v>1</v>
      </c>
      <c r="H40" s="30">
        <v>178</v>
      </c>
      <c r="I40" s="30">
        <v>0</v>
      </c>
      <c r="J40" s="30">
        <v>1</v>
      </c>
      <c r="K40" s="30">
        <v>3</v>
      </c>
    </row>
    <row r="41" spans="1:11" x14ac:dyDescent="0.25">
      <c r="A41" s="31">
        <v>39</v>
      </c>
      <c r="B41" s="31" t="str">
        <f t="shared" si="1"/>
        <v>30-39</v>
      </c>
      <c r="C41" s="31">
        <v>2</v>
      </c>
      <c r="D41" s="31">
        <v>140</v>
      </c>
      <c r="E41" s="31">
        <v>321</v>
      </c>
      <c r="F41" s="31">
        <v>0</v>
      </c>
      <c r="G41" s="31">
        <v>0</v>
      </c>
      <c r="H41" s="31">
        <v>182</v>
      </c>
      <c r="I41" s="31">
        <v>0</v>
      </c>
      <c r="J41" s="31">
        <v>2</v>
      </c>
      <c r="K41" s="31">
        <v>2</v>
      </c>
    </row>
    <row r="42" spans="1:11" x14ac:dyDescent="0.25">
      <c r="A42" s="30">
        <v>40</v>
      </c>
      <c r="B42" s="30" t="str">
        <f t="shared" si="1"/>
        <v>40-49</v>
      </c>
      <c r="C42" s="30">
        <v>3</v>
      </c>
      <c r="D42" s="30">
        <v>140</v>
      </c>
      <c r="E42" s="30">
        <v>199</v>
      </c>
      <c r="F42" s="30">
        <v>0</v>
      </c>
      <c r="G42" s="30">
        <v>1</v>
      </c>
      <c r="H42" s="30">
        <v>178</v>
      </c>
      <c r="I42" s="30">
        <v>1</v>
      </c>
      <c r="J42" s="30">
        <v>2</v>
      </c>
      <c r="K42" s="30">
        <v>3</v>
      </c>
    </row>
    <row r="43" spans="1:11" x14ac:dyDescent="0.25">
      <c r="A43" s="31">
        <v>41</v>
      </c>
      <c r="B43" s="31" t="str">
        <f t="shared" si="1"/>
        <v>40-49</v>
      </c>
      <c r="C43" s="31">
        <v>1</v>
      </c>
      <c r="D43" s="31">
        <v>120</v>
      </c>
      <c r="E43" s="31">
        <v>157</v>
      </c>
      <c r="F43" s="31">
        <v>0</v>
      </c>
      <c r="G43" s="31">
        <v>1</v>
      </c>
      <c r="H43" s="31">
        <v>182</v>
      </c>
      <c r="I43" s="31">
        <v>0</v>
      </c>
      <c r="J43" s="31">
        <v>2</v>
      </c>
      <c r="K43" s="31">
        <v>2</v>
      </c>
    </row>
    <row r="44" spans="1:11" x14ac:dyDescent="0.25">
      <c r="A44" s="30">
        <v>51</v>
      </c>
      <c r="B44" s="30" t="str">
        <f t="shared" si="1"/>
        <v>50-59</v>
      </c>
      <c r="C44" s="30">
        <v>2</v>
      </c>
      <c r="D44" s="30">
        <v>100</v>
      </c>
      <c r="E44" s="30">
        <v>222</v>
      </c>
      <c r="F44" s="30">
        <v>0</v>
      </c>
      <c r="G44" s="30">
        <v>1</v>
      </c>
      <c r="H44" s="30">
        <v>143</v>
      </c>
      <c r="I44" s="30">
        <v>1</v>
      </c>
      <c r="J44" s="30">
        <v>1</v>
      </c>
      <c r="K44" s="30">
        <v>2</v>
      </c>
    </row>
    <row r="45" spans="1:11" x14ac:dyDescent="0.25">
      <c r="A45" s="30">
        <v>43</v>
      </c>
      <c r="B45" s="30" t="str">
        <f t="shared" si="1"/>
        <v>40-49</v>
      </c>
      <c r="C45" s="30">
        <v>2</v>
      </c>
      <c r="D45" s="30">
        <v>130</v>
      </c>
      <c r="E45" s="30">
        <v>315</v>
      </c>
      <c r="F45" s="30">
        <v>0</v>
      </c>
      <c r="G45" s="30">
        <v>1</v>
      </c>
      <c r="H45" s="30">
        <v>162</v>
      </c>
      <c r="I45" s="30">
        <v>0</v>
      </c>
      <c r="J45" s="30">
        <v>2</v>
      </c>
      <c r="K45" s="30">
        <v>2</v>
      </c>
    </row>
    <row r="46" spans="1:11" x14ac:dyDescent="0.25">
      <c r="A46" s="30">
        <v>43</v>
      </c>
      <c r="B46" s="30" t="str">
        <f t="shared" si="1"/>
        <v>40-49</v>
      </c>
      <c r="C46" s="30">
        <v>0</v>
      </c>
      <c r="D46" s="30">
        <v>150</v>
      </c>
      <c r="E46" s="30">
        <v>247</v>
      </c>
      <c r="F46" s="30">
        <v>0</v>
      </c>
      <c r="G46" s="30">
        <v>1</v>
      </c>
      <c r="H46" s="30">
        <v>171</v>
      </c>
      <c r="I46" s="30">
        <v>0</v>
      </c>
      <c r="J46" s="30">
        <v>2</v>
      </c>
      <c r="K46" s="30">
        <v>2</v>
      </c>
    </row>
    <row r="47" spans="1:11" x14ac:dyDescent="0.25">
      <c r="A47" s="31">
        <v>56</v>
      </c>
      <c r="B47" s="31" t="str">
        <f t="shared" si="1"/>
        <v>50-59</v>
      </c>
      <c r="C47" s="31">
        <v>1</v>
      </c>
      <c r="D47" s="31">
        <v>120</v>
      </c>
      <c r="E47" s="31">
        <v>240</v>
      </c>
      <c r="F47" s="31">
        <v>0</v>
      </c>
      <c r="G47" s="31">
        <v>1</v>
      </c>
      <c r="H47" s="31">
        <v>169</v>
      </c>
      <c r="I47" s="31">
        <v>0</v>
      </c>
      <c r="J47" s="31">
        <v>0</v>
      </c>
      <c r="K47" s="31">
        <v>2</v>
      </c>
    </row>
    <row r="48" spans="1:11" x14ac:dyDescent="0.25">
      <c r="A48" s="31">
        <v>64</v>
      </c>
      <c r="B48" s="31" t="str">
        <f t="shared" si="1"/>
        <v>60-69</v>
      </c>
      <c r="C48" s="31">
        <v>3</v>
      </c>
      <c r="D48" s="31">
        <v>110</v>
      </c>
      <c r="E48" s="31">
        <v>211</v>
      </c>
      <c r="F48" s="31">
        <v>0</v>
      </c>
      <c r="G48" s="31">
        <v>0</v>
      </c>
      <c r="H48" s="31">
        <v>144</v>
      </c>
      <c r="I48" s="31">
        <v>1</v>
      </c>
      <c r="J48" s="31">
        <v>1</v>
      </c>
      <c r="K48" s="31">
        <v>2</v>
      </c>
    </row>
    <row r="49" spans="1:11" x14ac:dyDescent="0.25">
      <c r="A49" s="30">
        <v>42</v>
      </c>
      <c r="B49" s="30" t="str">
        <f t="shared" si="1"/>
        <v>40-49</v>
      </c>
      <c r="C49" s="30">
        <v>2</v>
      </c>
      <c r="D49" s="30">
        <v>130</v>
      </c>
      <c r="E49" s="30">
        <v>180</v>
      </c>
      <c r="F49" s="30">
        <v>0</v>
      </c>
      <c r="G49" s="30">
        <v>1</v>
      </c>
      <c r="H49" s="30">
        <v>150</v>
      </c>
      <c r="I49" s="30">
        <v>0</v>
      </c>
      <c r="J49" s="30">
        <v>2</v>
      </c>
      <c r="K49" s="30">
        <v>2</v>
      </c>
    </row>
    <row r="50" spans="1:11" x14ac:dyDescent="0.25">
      <c r="A50" s="30">
        <v>41</v>
      </c>
      <c r="B50" s="30" t="str">
        <f t="shared" si="1"/>
        <v>40-49</v>
      </c>
      <c r="C50" s="30">
        <v>2</v>
      </c>
      <c r="D50" s="30">
        <v>112</v>
      </c>
      <c r="E50" s="30">
        <v>250</v>
      </c>
      <c r="F50" s="30">
        <v>0</v>
      </c>
      <c r="G50" s="30">
        <v>1</v>
      </c>
      <c r="H50" s="30">
        <v>179</v>
      </c>
      <c r="I50" s="30">
        <v>0</v>
      </c>
      <c r="J50" s="30">
        <v>2</v>
      </c>
      <c r="K50" s="30">
        <v>2</v>
      </c>
    </row>
    <row r="51" spans="1:11" x14ac:dyDescent="0.25">
      <c r="A51" s="31">
        <v>56</v>
      </c>
      <c r="B51" s="31" t="str">
        <f t="shared" si="1"/>
        <v>50-59</v>
      </c>
      <c r="C51" s="31">
        <v>1</v>
      </c>
      <c r="D51" s="31">
        <v>130</v>
      </c>
      <c r="E51" s="31">
        <v>221</v>
      </c>
      <c r="F51" s="31">
        <v>0</v>
      </c>
      <c r="G51" s="31">
        <v>0</v>
      </c>
      <c r="H51" s="31">
        <v>163</v>
      </c>
      <c r="I51" s="31">
        <v>0</v>
      </c>
      <c r="J51" s="31">
        <v>2</v>
      </c>
      <c r="K51" s="31">
        <v>3</v>
      </c>
    </row>
    <row r="52" spans="1:11" x14ac:dyDescent="0.25">
      <c r="A52" s="31">
        <v>69</v>
      </c>
      <c r="B52" s="31" t="str">
        <f t="shared" si="1"/>
        <v>60-69</v>
      </c>
      <c r="C52" s="31">
        <v>3</v>
      </c>
      <c r="D52" s="31">
        <v>160</v>
      </c>
      <c r="E52" s="31">
        <v>234</v>
      </c>
      <c r="F52" s="31">
        <v>1</v>
      </c>
      <c r="G52" s="31">
        <v>0</v>
      </c>
      <c r="H52" s="31">
        <v>131</v>
      </c>
      <c r="I52" s="31">
        <v>0</v>
      </c>
      <c r="J52" s="31">
        <v>1</v>
      </c>
      <c r="K52" s="31">
        <v>2</v>
      </c>
    </row>
    <row r="53" spans="1:11" x14ac:dyDescent="0.25">
      <c r="A53" s="31">
        <v>45</v>
      </c>
      <c r="B53" s="31" t="str">
        <f t="shared" si="1"/>
        <v>40-49</v>
      </c>
      <c r="C53" s="31">
        <v>0</v>
      </c>
      <c r="D53" s="31">
        <v>115</v>
      </c>
      <c r="E53" s="31">
        <v>260</v>
      </c>
      <c r="F53" s="31">
        <v>0</v>
      </c>
      <c r="G53" s="31">
        <v>0</v>
      </c>
      <c r="H53" s="31">
        <v>185</v>
      </c>
      <c r="I53" s="31">
        <v>0</v>
      </c>
      <c r="J53" s="31">
        <v>2</v>
      </c>
      <c r="K53" s="31">
        <v>2</v>
      </c>
    </row>
    <row r="54" spans="1:11" x14ac:dyDescent="0.25">
      <c r="A54" s="30">
        <v>64</v>
      </c>
      <c r="B54" s="30" t="str">
        <f t="shared" si="1"/>
        <v>60-69</v>
      </c>
      <c r="C54" s="30">
        <v>3</v>
      </c>
      <c r="D54" s="30">
        <v>170</v>
      </c>
      <c r="E54" s="30">
        <v>227</v>
      </c>
      <c r="F54" s="30">
        <v>0</v>
      </c>
      <c r="G54" s="30">
        <v>0</v>
      </c>
      <c r="H54" s="30">
        <v>155</v>
      </c>
      <c r="I54" s="30">
        <v>0</v>
      </c>
      <c r="J54" s="30">
        <v>1</v>
      </c>
      <c r="K54" s="30">
        <v>3</v>
      </c>
    </row>
    <row r="55" spans="1:11" x14ac:dyDescent="0.25">
      <c r="A55" s="30">
        <v>42</v>
      </c>
      <c r="B55" s="30" t="str">
        <f t="shared" si="1"/>
        <v>40-49</v>
      </c>
      <c r="C55" s="30">
        <v>3</v>
      </c>
      <c r="D55" s="30">
        <v>148</v>
      </c>
      <c r="E55" s="30">
        <v>244</v>
      </c>
      <c r="F55" s="30">
        <v>0</v>
      </c>
      <c r="G55" s="30">
        <v>0</v>
      </c>
      <c r="H55" s="30">
        <v>178</v>
      </c>
      <c r="I55" s="30">
        <v>0</v>
      </c>
      <c r="J55" s="30">
        <v>2</v>
      </c>
      <c r="K55" s="30">
        <v>2</v>
      </c>
    </row>
    <row r="56" spans="1:11" x14ac:dyDescent="0.25">
      <c r="A56" s="31">
        <v>42</v>
      </c>
      <c r="B56" s="31" t="str">
        <f t="shared" si="1"/>
        <v>40-49</v>
      </c>
      <c r="C56" s="31">
        <v>2</v>
      </c>
      <c r="D56" s="31">
        <v>120</v>
      </c>
      <c r="E56" s="31">
        <v>240</v>
      </c>
      <c r="F56" s="31">
        <v>1</v>
      </c>
      <c r="G56" s="31">
        <v>1</v>
      </c>
      <c r="H56" s="31">
        <v>194</v>
      </c>
      <c r="I56" s="31">
        <v>0</v>
      </c>
      <c r="J56" s="31">
        <v>0</v>
      </c>
      <c r="K56" s="31">
        <v>3</v>
      </c>
    </row>
    <row r="57" spans="1:11" x14ac:dyDescent="0.25">
      <c r="A57" s="30">
        <v>49</v>
      </c>
      <c r="B57" s="30" t="str">
        <f t="shared" si="1"/>
        <v>40-49</v>
      </c>
      <c r="C57" s="30">
        <v>1</v>
      </c>
      <c r="D57" s="30">
        <v>130</v>
      </c>
      <c r="E57" s="30">
        <v>266</v>
      </c>
      <c r="F57" s="30">
        <v>0</v>
      </c>
      <c r="G57" s="30">
        <v>1</v>
      </c>
      <c r="H57" s="30">
        <v>171</v>
      </c>
      <c r="I57" s="30">
        <v>0</v>
      </c>
      <c r="J57" s="30">
        <v>2</v>
      </c>
      <c r="K57" s="30">
        <v>2</v>
      </c>
    </row>
    <row r="58" spans="1:11" x14ac:dyDescent="0.25">
      <c r="A58" s="30">
        <v>51</v>
      </c>
      <c r="B58" s="30" t="str">
        <f t="shared" si="1"/>
        <v>50-59</v>
      </c>
      <c r="C58" s="30">
        <v>0</v>
      </c>
      <c r="D58" s="30">
        <v>140</v>
      </c>
      <c r="E58" s="30">
        <v>261</v>
      </c>
      <c r="F58" s="30">
        <v>0</v>
      </c>
      <c r="G58" s="30">
        <v>0</v>
      </c>
      <c r="H58" s="30">
        <v>186</v>
      </c>
      <c r="I58" s="30">
        <v>1</v>
      </c>
      <c r="J58" s="30">
        <v>2</v>
      </c>
      <c r="K58" s="30">
        <v>2</v>
      </c>
    </row>
    <row r="59" spans="1:11" x14ac:dyDescent="0.25">
      <c r="A59" s="31">
        <v>54</v>
      </c>
      <c r="B59" s="31" t="str">
        <f t="shared" si="1"/>
        <v>50-59</v>
      </c>
      <c r="C59" s="31">
        <v>2</v>
      </c>
      <c r="D59" s="31">
        <v>150</v>
      </c>
      <c r="E59" s="31">
        <v>232</v>
      </c>
      <c r="F59" s="31">
        <v>0</v>
      </c>
      <c r="G59" s="31">
        <v>0</v>
      </c>
      <c r="H59" s="31">
        <v>165</v>
      </c>
      <c r="I59" s="31">
        <v>0</v>
      </c>
      <c r="J59" s="31">
        <v>2</v>
      </c>
      <c r="K59" s="31">
        <v>3</v>
      </c>
    </row>
    <row r="60" spans="1:11" x14ac:dyDescent="0.25">
      <c r="A60" s="31">
        <v>52</v>
      </c>
      <c r="B60" s="31" t="str">
        <f t="shared" si="1"/>
        <v>50-59</v>
      </c>
      <c r="C60" s="31">
        <v>1</v>
      </c>
      <c r="D60" s="31">
        <v>128</v>
      </c>
      <c r="E60" s="31">
        <v>205</v>
      </c>
      <c r="F60" s="31">
        <v>1</v>
      </c>
      <c r="G60" s="31">
        <v>1</v>
      </c>
      <c r="H60" s="31">
        <v>184</v>
      </c>
      <c r="I60" s="31">
        <v>0</v>
      </c>
      <c r="J60" s="31">
        <v>2</v>
      </c>
      <c r="K60" s="31">
        <v>2</v>
      </c>
    </row>
    <row r="61" spans="1:11" x14ac:dyDescent="0.25">
      <c r="A61" s="30">
        <v>51</v>
      </c>
      <c r="B61" s="30" t="str">
        <f t="shared" si="1"/>
        <v>50-59</v>
      </c>
      <c r="C61" s="30">
        <v>2</v>
      </c>
      <c r="D61" s="30">
        <v>125</v>
      </c>
      <c r="E61" s="30">
        <v>245</v>
      </c>
      <c r="F61" s="30">
        <v>1</v>
      </c>
      <c r="G61" s="30">
        <v>0</v>
      </c>
      <c r="H61" s="30">
        <v>166</v>
      </c>
      <c r="I61" s="30">
        <v>0</v>
      </c>
      <c r="J61" s="30">
        <v>1</v>
      </c>
      <c r="K61" s="30">
        <v>2</v>
      </c>
    </row>
    <row r="62" spans="1:11" x14ac:dyDescent="0.25">
      <c r="A62" s="31">
        <v>44</v>
      </c>
      <c r="B62" s="31" t="str">
        <f t="shared" si="1"/>
        <v>40-49</v>
      </c>
      <c r="C62" s="31">
        <v>1</v>
      </c>
      <c r="D62" s="31">
        <v>130</v>
      </c>
      <c r="E62" s="31">
        <v>219</v>
      </c>
      <c r="F62" s="31">
        <v>0</v>
      </c>
      <c r="G62" s="31">
        <v>0</v>
      </c>
      <c r="H62" s="31">
        <v>188</v>
      </c>
      <c r="I62" s="31">
        <v>0</v>
      </c>
      <c r="J62" s="31">
        <v>2</v>
      </c>
      <c r="K62" s="31">
        <v>2</v>
      </c>
    </row>
    <row r="63" spans="1:11" x14ac:dyDescent="0.25">
      <c r="A63" s="31">
        <v>44</v>
      </c>
      <c r="B63" s="31" t="str">
        <f t="shared" si="1"/>
        <v>40-49</v>
      </c>
      <c r="C63" s="31">
        <v>2</v>
      </c>
      <c r="D63" s="31">
        <v>120</v>
      </c>
      <c r="E63" s="31">
        <v>226</v>
      </c>
      <c r="F63" s="31">
        <v>0</v>
      </c>
      <c r="G63" s="31">
        <v>1</v>
      </c>
      <c r="H63" s="31">
        <v>169</v>
      </c>
      <c r="I63" s="31">
        <v>0</v>
      </c>
      <c r="J63" s="31">
        <v>2</v>
      </c>
      <c r="K63" s="31">
        <v>2</v>
      </c>
    </row>
    <row r="64" spans="1:11" x14ac:dyDescent="0.25">
      <c r="A64" s="31">
        <v>48</v>
      </c>
      <c r="B64" s="31" t="str">
        <f t="shared" si="1"/>
        <v>40-49</v>
      </c>
      <c r="C64" s="31">
        <v>0</v>
      </c>
      <c r="D64" s="31">
        <v>122</v>
      </c>
      <c r="E64" s="31">
        <v>222</v>
      </c>
      <c r="F64" s="31">
        <v>0</v>
      </c>
      <c r="G64" s="31">
        <v>0</v>
      </c>
      <c r="H64" s="31">
        <v>186</v>
      </c>
      <c r="I64" s="31">
        <v>0</v>
      </c>
      <c r="J64" s="31">
        <v>2</v>
      </c>
      <c r="K64" s="31">
        <v>2</v>
      </c>
    </row>
    <row r="65" spans="1:11" x14ac:dyDescent="0.25">
      <c r="A65" s="31">
        <v>43</v>
      </c>
      <c r="B65" s="31" t="str">
        <f t="shared" si="1"/>
        <v>40-49</v>
      </c>
      <c r="C65" s="31">
        <v>0</v>
      </c>
      <c r="D65" s="31">
        <v>110</v>
      </c>
      <c r="E65" s="31">
        <v>211</v>
      </c>
      <c r="F65" s="31">
        <v>0</v>
      </c>
      <c r="G65" s="31">
        <v>1</v>
      </c>
      <c r="H65" s="31">
        <v>161</v>
      </c>
      <c r="I65" s="31">
        <v>0</v>
      </c>
      <c r="J65" s="31">
        <v>2</v>
      </c>
      <c r="K65" s="31">
        <v>3</v>
      </c>
    </row>
    <row r="66" spans="1:11" x14ac:dyDescent="0.25">
      <c r="A66" s="30">
        <v>66</v>
      </c>
      <c r="B66" s="30" t="str">
        <f t="shared" ref="B66:B97" si="2">IF(A66&lt;30,"20-29",IF(A66&lt;40,"30-39",IF(A66&lt;50,"40-49",IF(A66&lt;60,"50-59",IF(A66&lt;70,"60-69",IF(A66&lt;80,"70+"))))))</f>
        <v>60-69</v>
      </c>
      <c r="C66" s="30">
        <v>0</v>
      </c>
      <c r="D66" s="30">
        <v>160</v>
      </c>
      <c r="E66" s="30">
        <v>228</v>
      </c>
      <c r="F66" s="30">
        <v>0</v>
      </c>
      <c r="G66" s="30">
        <v>0</v>
      </c>
      <c r="H66" s="30">
        <v>138</v>
      </c>
      <c r="I66" s="30">
        <v>0</v>
      </c>
      <c r="J66" s="30">
        <v>2</v>
      </c>
      <c r="K66" s="30">
        <v>1</v>
      </c>
    </row>
    <row r="67" spans="1:11" x14ac:dyDescent="0.25">
      <c r="A67" s="31">
        <v>57</v>
      </c>
      <c r="B67" s="31" t="str">
        <f t="shared" si="2"/>
        <v>50-59</v>
      </c>
      <c r="C67" s="31">
        <v>0</v>
      </c>
      <c r="D67" s="31">
        <v>132</v>
      </c>
      <c r="E67" s="31">
        <v>207</v>
      </c>
      <c r="F67" s="31">
        <v>0</v>
      </c>
      <c r="G67" s="31">
        <v>1</v>
      </c>
      <c r="H67" s="31">
        <v>168</v>
      </c>
      <c r="I67" s="31">
        <v>1</v>
      </c>
      <c r="J67" s="31">
        <v>2</v>
      </c>
      <c r="K67" s="31">
        <v>3</v>
      </c>
    </row>
    <row r="68" spans="1:11" x14ac:dyDescent="0.25">
      <c r="A68" s="31">
        <v>35</v>
      </c>
      <c r="B68" s="31" t="str">
        <f t="shared" si="2"/>
        <v>30-39</v>
      </c>
      <c r="C68" s="31">
        <v>1</v>
      </c>
      <c r="D68" s="31">
        <v>122</v>
      </c>
      <c r="E68" s="31">
        <v>192</v>
      </c>
      <c r="F68" s="31">
        <v>0</v>
      </c>
      <c r="G68" s="31">
        <v>1</v>
      </c>
      <c r="H68" s="31">
        <v>174</v>
      </c>
      <c r="I68" s="31">
        <v>0</v>
      </c>
      <c r="J68" s="31">
        <v>2</v>
      </c>
      <c r="K68" s="31">
        <v>2</v>
      </c>
    </row>
    <row r="69" spans="1:11" x14ac:dyDescent="0.25">
      <c r="A69" s="31">
        <v>61</v>
      </c>
      <c r="B69" s="31" t="str">
        <f t="shared" si="2"/>
        <v>60-69</v>
      </c>
      <c r="C69" s="31">
        <v>2</v>
      </c>
      <c r="D69" s="31">
        <v>150</v>
      </c>
      <c r="E69" s="31">
        <v>243</v>
      </c>
      <c r="F69" s="31">
        <v>1</v>
      </c>
      <c r="G69" s="31">
        <v>1</v>
      </c>
      <c r="H69" s="31">
        <v>137</v>
      </c>
      <c r="I69" s="31">
        <v>1</v>
      </c>
      <c r="J69" s="31">
        <v>1</v>
      </c>
      <c r="K69" s="31">
        <v>2</v>
      </c>
    </row>
    <row r="70" spans="1:11" x14ac:dyDescent="0.25">
      <c r="A70" s="30">
        <v>52</v>
      </c>
      <c r="B70" s="30" t="str">
        <f t="shared" si="2"/>
        <v>50-59</v>
      </c>
      <c r="C70" s="30">
        <v>1</v>
      </c>
      <c r="D70" s="30">
        <v>120</v>
      </c>
      <c r="E70" s="30">
        <v>325</v>
      </c>
      <c r="F70" s="30">
        <v>0</v>
      </c>
      <c r="G70" s="30">
        <v>1</v>
      </c>
      <c r="H70" s="30">
        <v>172</v>
      </c>
      <c r="I70" s="30">
        <v>0</v>
      </c>
      <c r="J70" s="30">
        <v>2</v>
      </c>
      <c r="K70" s="30">
        <v>2</v>
      </c>
    </row>
    <row r="71" spans="1:11" x14ac:dyDescent="0.25">
      <c r="A71" s="30">
        <v>51</v>
      </c>
      <c r="B71" s="30" t="str">
        <f t="shared" si="2"/>
        <v>50-59</v>
      </c>
      <c r="C71" s="30">
        <v>2</v>
      </c>
      <c r="D71" s="30">
        <v>94</v>
      </c>
      <c r="E71" s="30">
        <v>227</v>
      </c>
      <c r="F71" s="30">
        <v>0</v>
      </c>
      <c r="G71" s="30">
        <v>1</v>
      </c>
      <c r="H71" s="30">
        <v>154</v>
      </c>
      <c r="I71" s="30">
        <v>1</v>
      </c>
      <c r="J71" s="30">
        <v>2</v>
      </c>
      <c r="K71" s="30">
        <v>3</v>
      </c>
    </row>
    <row r="72" spans="1:11" x14ac:dyDescent="0.25">
      <c r="A72" s="30">
        <v>37</v>
      </c>
      <c r="B72" s="30" t="str">
        <f t="shared" si="2"/>
        <v>30-39</v>
      </c>
      <c r="C72" s="30">
        <v>2</v>
      </c>
      <c r="D72" s="30">
        <v>130</v>
      </c>
      <c r="E72" s="30">
        <v>250</v>
      </c>
      <c r="F72" s="30">
        <v>0</v>
      </c>
      <c r="G72" s="30">
        <v>1</v>
      </c>
      <c r="H72" s="30">
        <v>187</v>
      </c>
      <c r="I72" s="30">
        <v>0</v>
      </c>
      <c r="J72" s="30">
        <v>0</v>
      </c>
      <c r="K72" s="30">
        <v>2</v>
      </c>
    </row>
    <row r="73" spans="1:11" x14ac:dyDescent="0.25">
      <c r="A73" s="31">
        <v>54</v>
      </c>
      <c r="B73" s="31" t="str">
        <f t="shared" si="2"/>
        <v>50-59</v>
      </c>
      <c r="C73" s="31">
        <v>2</v>
      </c>
      <c r="D73" s="31">
        <v>125</v>
      </c>
      <c r="E73" s="31">
        <v>273</v>
      </c>
      <c r="F73" s="31">
        <v>0</v>
      </c>
      <c r="G73" s="31">
        <v>0</v>
      </c>
      <c r="H73" s="31">
        <v>152</v>
      </c>
      <c r="I73" s="31">
        <v>0</v>
      </c>
      <c r="J73" s="31">
        <v>0</v>
      </c>
      <c r="K73" s="31">
        <v>2</v>
      </c>
    </row>
    <row r="74" spans="1:11" x14ac:dyDescent="0.25">
      <c r="A74" s="31">
        <v>52</v>
      </c>
      <c r="B74" s="31" t="str">
        <f t="shared" si="2"/>
        <v>50-59</v>
      </c>
      <c r="C74" s="31">
        <v>2</v>
      </c>
      <c r="D74" s="31">
        <v>172</v>
      </c>
      <c r="E74" s="31">
        <v>199</v>
      </c>
      <c r="F74" s="31">
        <v>1</v>
      </c>
      <c r="G74" s="31">
        <v>1</v>
      </c>
      <c r="H74" s="31">
        <v>162</v>
      </c>
      <c r="I74" s="31">
        <v>0</v>
      </c>
      <c r="J74" s="31">
        <v>2</v>
      </c>
      <c r="K74" s="31">
        <v>3</v>
      </c>
    </row>
    <row r="75" spans="1:11" x14ac:dyDescent="0.25">
      <c r="A75" s="31">
        <v>57</v>
      </c>
      <c r="B75" s="31" t="str">
        <f t="shared" si="2"/>
        <v>50-59</v>
      </c>
      <c r="C75" s="31">
        <v>0</v>
      </c>
      <c r="D75" s="31">
        <v>110</v>
      </c>
      <c r="E75" s="31">
        <v>201</v>
      </c>
      <c r="F75" s="31">
        <v>0</v>
      </c>
      <c r="G75" s="31">
        <v>1</v>
      </c>
      <c r="H75" s="31">
        <v>126</v>
      </c>
      <c r="I75" s="31">
        <v>1</v>
      </c>
      <c r="J75" s="31">
        <v>1</v>
      </c>
      <c r="K75" s="31">
        <v>1</v>
      </c>
    </row>
    <row r="76" spans="1:11" x14ac:dyDescent="0.25">
      <c r="A76" s="31">
        <v>53</v>
      </c>
      <c r="B76" s="31" t="str">
        <f t="shared" si="2"/>
        <v>50-59</v>
      </c>
      <c r="C76" s="31">
        <v>2</v>
      </c>
      <c r="D76" s="31">
        <v>130</v>
      </c>
      <c r="E76" s="31">
        <v>246</v>
      </c>
      <c r="F76" s="31">
        <v>1</v>
      </c>
      <c r="G76" s="31">
        <v>0</v>
      </c>
      <c r="H76" s="31">
        <v>173</v>
      </c>
      <c r="I76" s="31">
        <v>0</v>
      </c>
      <c r="J76" s="31">
        <v>2</v>
      </c>
      <c r="K76" s="31">
        <v>2</v>
      </c>
    </row>
    <row r="77" spans="1:11" x14ac:dyDescent="0.25">
      <c r="A77" s="31">
        <v>58</v>
      </c>
      <c r="B77" s="31" t="str">
        <f t="shared" si="2"/>
        <v>50-59</v>
      </c>
      <c r="C77" s="31">
        <v>2</v>
      </c>
      <c r="D77" s="31">
        <v>105</v>
      </c>
      <c r="E77" s="31">
        <v>240</v>
      </c>
      <c r="F77" s="31">
        <v>0</v>
      </c>
      <c r="G77" s="31">
        <v>0</v>
      </c>
      <c r="H77" s="31">
        <v>154</v>
      </c>
      <c r="I77" s="31">
        <v>1</v>
      </c>
      <c r="J77" s="31">
        <v>1</v>
      </c>
      <c r="K77" s="31">
        <v>3</v>
      </c>
    </row>
    <row r="78" spans="1:11" x14ac:dyDescent="0.25">
      <c r="A78" s="30">
        <v>51</v>
      </c>
      <c r="B78" s="30" t="str">
        <f t="shared" si="2"/>
        <v>50-59</v>
      </c>
      <c r="C78" s="30">
        <v>2</v>
      </c>
      <c r="D78" s="30">
        <v>110</v>
      </c>
      <c r="E78" s="30">
        <v>175</v>
      </c>
      <c r="F78" s="30">
        <v>0</v>
      </c>
      <c r="G78" s="30">
        <v>1</v>
      </c>
      <c r="H78" s="30">
        <v>123</v>
      </c>
      <c r="I78" s="30">
        <v>0</v>
      </c>
      <c r="J78" s="30">
        <v>2</v>
      </c>
      <c r="K78" s="30">
        <v>2</v>
      </c>
    </row>
    <row r="79" spans="1:11" x14ac:dyDescent="0.25">
      <c r="A79" s="31">
        <v>63</v>
      </c>
      <c r="B79" s="31" t="str">
        <f t="shared" si="2"/>
        <v>60-69</v>
      </c>
      <c r="C79" s="31">
        <v>3</v>
      </c>
      <c r="D79" s="31">
        <v>145</v>
      </c>
      <c r="E79" s="31">
        <v>233</v>
      </c>
      <c r="F79" s="31">
        <v>1</v>
      </c>
      <c r="G79" s="31">
        <v>0</v>
      </c>
      <c r="H79" s="31">
        <v>150</v>
      </c>
      <c r="I79" s="31">
        <v>0</v>
      </c>
      <c r="J79" s="31">
        <v>0</v>
      </c>
      <c r="K79" s="31">
        <v>1</v>
      </c>
    </row>
    <row r="80" spans="1:11" x14ac:dyDescent="0.25">
      <c r="A80" s="31">
        <v>70</v>
      </c>
      <c r="B80" s="31" t="str">
        <f t="shared" si="2"/>
        <v>70+</v>
      </c>
      <c r="C80" s="31">
        <v>1</v>
      </c>
      <c r="D80" s="31">
        <v>156</v>
      </c>
      <c r="E80" s="31">
        <v>245</v>
      </c>
      <c r="F80" s="31">
        <v>0</v>
      </c>
      <c r="G80" s="31">
        <v>0</v>
      </c>
      <c r="H80" s="31">
        <v>143</v>
      </c>
      <c r="I80" s="31">
        <v>0</v>
      </c>
      <c r="J80" s="31">
        <v>2</v>
      </c>
      <c r="K80" s="31">
        <v>2</v>
      </c>
    </row>
    <row r="81" spans="1:11" x14ac:dyDescent="0.25">
      <c r="A81" s="31">
        <v>57</v>
      </c>
      <c r="B81" s="31" t="str">
        <f t="shared" si="2"/>
        <v>50-59</v>
      </c>
      <c r="C81" s="31">
        <v>2</v>
      </c>
      <c r="D81" s="31">
        <v>150</v>
      </c>
      <c r="E81" s="31">
        <v>168</v>
      </c>
      <c r="F81" s="31">
        <v>0</v>
      </c>
      <c r="G81" s="31">
        <v>1</v>
      </c>
      <c r="H81" s="31">
        <v>174</v>
      </c>
      <c r="I81" s="31">
        <v>0</v>
      </c>
      <c r="J81" s="31">
        <v>2</v>
      </c>
      <c r="K81" s="31">
        <v>2</v>
      </c>
    </row>
    <row r="82" spans="1:11" x14ac:dyDescent="0.25">
      <c r="A82" s="30">
        <v>47</v>
      </c>
      <c r="B82" s="30" t="str">
        <f t="shared" si="2"/>
        <v>40-49</v>
      </c>
      <c r="C82" s="30">
        <v>2</v>
      </c>
      <c r="D82" s="30">
        <v>130</v>
      </c>
      <c r="E82" s="30">
        <v>253</v>
      </c>
      <c r="F82" s="30">
        <v>0</v>
      </c>
      <c r="G82" s="30">
        <v>1</v>
      </c>
      <c r="H82" s="30">
        <v>179</v>
      </c>
      <c r="I82" s="30">
        <v>0</v>
      </c>
      <c r="J82" s="30">
        <v>2</v>
      </c>
      <c r="K82" s="30">
        <v>2</v>
      </c>
    </row>
    <row r="83" spans="1:11" x14ac:dyDescent="0.25">
      <c r="A83" s="31">
        <v>41</v>
      </c>
      <c r="B83" s="31" t="str">
        <f t="shared" si="2"/>
        <v>40-49</v>
      </c>
      <c r="C83" s="31">
        <v>2</v>
      </c>
      <c r="D83" s="31">
        <v>130</v>
      </c>
      <c r="E83" s="31">
        <v>214</v>
      </c>
      <c r="F83" s="31">
        <v>0</v>
      </c>
      <c r="G83" s="31">
        <v>0</v>
      </c>
      <c r="H83" s="31">
        <v>168</v>
      </c>
      <c r="I83" s="31">
        <v>0</v>
      </c>
      <c r="J83" s="31">
        <v>1</v>
      </c>
      <c r="K83" s="31">
        <v>2</v>
      </c>
    </row>
    <row r="84" spans="1:11" x14ac:dyDescent="0.25">
      <c r="A84" s="30">
        <v>59</v>
      </c>
      <c r="B84" s="30" t="str">
        <f t="shared" si="2"/>
        <v>50-59</v>
      </c>
      <c r="C84" s="30">
        <v>0</v>
      </c>
      <c r="D84" s="30">
        <v>135</v>
      </c>
      <c r="E84" s="30">
        <v>234</v>
      </c>
      <c r="F84" s="30">
        <v>0</v>
      </c>
      <c r="G84" s="30">
        <v>1</v>
      </c>
      <c r="H84" s="30">
        <v>161</v>
      </c>
      <c r="I84" s="30">
        <v>0</v>
      </c>
      <c r="J84" s="30">
        <v>1</v>
      </c>
      <c r="K84" s="30">
        <v>3</v>
      </c>
    </row>
    <row r="85" spans="1:11" x14ac:dyDescent="0.25">
      <c r="A85" s="31">
        <v>54</v>
      </c>
      <c r="B85" s="31" t="str">
        <f t="shared" si="2"/>
        <v>50-59</v>
      </c>
      <c r="C85" s="31">
        <v>0</v>
      </c>
      <c r="D85" s="31">
        <v>140</v>
      </c>
      <c r="E85" s="31">
        <v>239</v>
      </c>
      <c r="F85" s="31">
        <v>0</v>
      </c>
      <c r="G85" s="31">
        <v>1</v>
      </c>
      <c r="H85" s="31">
        <v>160</v>
      </c>
      <c r="I85" s="31">
        <v>0</v>
      </c>
      <c r="J85" s="31">
        <v>2</v>
      </c>
      <c r="K85" s="31">
        <v>2</v>
      </c>
    </row>
    <row r="86" spans="1:11" x14ac:dyDescent="0.25">
      <c r="A86" s="30">
        <v>58</v>
      </c>
      <c r="B86" s="30" t="str">
        <f t="shared" si="2"/>
        <v>50-59</v>
      </c>
      <c r="C86" s="30">
        <v>1</v>
      </c>
      <c r="D86" s="30">
        <v>125</v>
      </c>
      <c r="E86" s="30">
        <v>220</v>
      </c>
      <c r="F86" s="30">
        <v>0</v>
      </c>
      <c r="G86" s="30">
        <v>1</v>
      </c>
      <c r="H86" s="30">
        <v>144</v>
      </c>
      <c r="I86" s="30">
        <v>0</v>
      </c>
      <c r="J86" s="30">
        <v>1</v>
      </c>
      <c r="K86" s="30">
        <v>3</v>
      </c>
    </row>
    <row r="87" spans="1:11" x14ac:dyDescent="0.25">
      <c r="A87" s="30">
        <v>59</v>
      </c>
      <c r="B87" s="30" t="str">
        <f t="shared" si="2"/>
        <v>50-59</v>
      </c>
      <c r="C87" s="30">
        <v>3</v>
      </c>
      <c r="D87" s="30">
        <v>178</v>
      </c>
      <c r="E87" s="30">
        <v>270</v>
      </c>
      <c r="F87" s="30">
        <v>0</v>
      </c>
      <c r="G87" s="30">
        <v>0</v>
      </c>
      <c r="H87" s="30">
        <v>145</v>
      </c>
      <c r="I87" s="30">
        <v>0</v>
      </c>
      <c r="J87" s="30">
        <v>0</v>
      </c>
      <c r="K87" s="30">
        <v>3</v>
      </c>
    </row>
    <row r="88" spans="1:11" x14ac:dyDescent="0.25">
      <c r="A88" s="31">
        <v>44</v>
      </c>
      <c r="B88" s="31" t="str">
        <f t="shared" si="2"/>
        <v>40-49</v>
      </c>
      <c r="C88" s="31">
        <v>2</v>
      </c>
      <c r="D88" s="31">
        <v>140</v>
      </c>
      <c r="E88" s="31">
        <v>235</v>
      </c>
      <c r="F88" s="31">
        <v>0</v>
      </c>
      <c r="G88" s="31">
        <v>0</v>
      </c>
      <c r="H88" s="31">
        <v>180</v>
      </c>
      <c r="I88" s="31">
        <v>0</v>
      </c>
      <c r="J88" s="31">
        <v>2</v>
      </c>
      <c r="K88" s="31">
        <v>2</v>
      </c>
    </row>
    <row r="89" spans="1:11" x14ac:dyDescent="0.25">
      <c r="A89" s="30">
        <v>68</v>
      </c>
      <c r="B89" s="30" t="str">
        <f t="shared" si="2"/>
        <v>60-69</v>
      </c>
      <c r="C89" s="30">
        <v>2</v>
      </c>
      <c r="D89" s="30">
        <v>118</v>
      </c>
      <c r="E89" s="30">
        <v>277</v>
      </c>
      <c r="F89" s="30">
        <v>0</v>
      </c>
      <c r="G89" s="30">
        <v>1</v>
      </c>
      <c r="H89" s="30">
        <v>151</v>
      </c>
      <c r="I89" s="30">
        <v>0</v>
      </c>
      <c r="J89" s="30">
        <v>2</v>
      </c>
      <c r="K89" s="30">
        <v>3</v>
      </c>
    </row>
    <row r="90" spans="1:11" x14ac:dyDescent="0.25">
      <c r="A90" s="31">
        <v>46</v>
      </c>
      <c r="B90" s="31" t="str">
        <f t="shared" si="2"/>
        <v>40-49</v>
      </c>
      <c r="C90" s="31">
        <v>1</v>
      </c>
      <c r="D90" s="31">
        <v>101</v>
      </c>
      <c r="E90" s="31">
        <v>197</v>
      </c>
      <c r="F90" s="31">
        <v>1</v>
      </c>
      <c r="G90" s="31">
        <v>1</v>
      </c>
      <c r="H90" s="31">
        <v>156</v>
      </c>
      <c r="I90" s="31">
        <v>0</v>
      </c>
      <c r="J90" s="31">
        <v>2</v>
      </c>
      <c r="K90" s="31">
        <v>3</v>
      </c>
    </row>
    <row r="91" spans="1:11" x14ac:dyDescent="0.25">
      <c r="A91" s="31">
        <v>55</v>
      </c>
      <c r="B91" s="31" t="str">
        <f t="shared" si="2"/>
        <v>50-59</v>
      </c>
      <c r="C91" s="31">
        <v>1</v>
      </c>
      <c r="D91" s="31">
        <v>130</v>
      </c>
      <c r="E91" s="31">
        <v>262</v>
      </c>
      <c r="F91" s="31">
        <v>0</v>
      </c>
      <c r="G91" s="31">
        <v>1</v>
      </c>
      <c r="H91" s="31">
        <v>155</v>
      </c>
      <c r="I91" s="31">
        <v>0</v>
      </c>
      <c r="J91" s="31">
        <v>2</v>
      </c>
      <c r="K91" s="31">
        <v>2</v>
      </c>
    </row>
    <row r="92" spans="1:11" x14ac:dyDescent="0.25">
      <c r="A92" s="30">
        <v>43</v>
      </c>
      <c r="B92" s="30" t="str">
        <f t="shared" si="2"/>
        <v>40-49</v>
      </c>
      <c r="C92" s="30">
        <v>0</v>
      </c>
      <c r="D92" s="30">
        <v>115</v>
      </c>
      <c r="E92" s="30">
        <v>303</v>
      </c>
      <c r="F92" s="30">
        <v>0</v>
      </c>
      <c r="G92" s="30">
        <v>1</v>
      </c>
      <c r="H92" s="30">
        <v>181</v>
      </c>
      <c r="I92" s="30">
        <v>0</v>
      </c>
      <c r="J92" s="30">
        <v>1</v>
      </c>
      <c r="K92" s="30">
        <v>2</v>
      </c>
    </row>
    <row r="93" spans="1:11" x14ac:dyDescent="0.25">
      <c r="A93" s="30">
        <v>65</v>
      </c>
      <c r="B93" s="30" t="str">
        <f t="shared" si="2"/>
        <v>60-69</v>
      </c>
      <c r="C93" s="30">
        <v>0</v>
      </c>
      <c r="D93" s="30">
        <v>120</v>
      </c>
      <c r="E93" s="30">
        <v>177</v>
      </c>
      <c r="F93" s="30">
        <v>0</v>
      </c>
      <c r="G93" s="30">
        <v>1</v>
      </c>
      <c r="H93" s="30">
        <v>140</v>
      </c>
      <c r="I93" s="30">
        <v>0</v>
      </c>
      <c r="J93" s="30">
        <v>2</v>
      </c>
      <c r="K93" s="30">
        <v>3</v>
      </c>
    </row>
  </sheetData>
  <conditionalFormatting sqref="D1:D9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9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3"/>
  <sheetViews>
    <sheetView zoomScale="120" zoomScaleNormal="120" workbookViewId="0">
      <selection activeCell="B2" sqref="B2"/>
    </sheetView>
  </sheetViews>
  <sheetFormatPr defaultRowHeight="15" x14ac:dyDescent="0.25"/>
  <cols>
    <col min="1" max="3" width="9.140625" style="28"/>
    <col min="4" max="4" width="9.7109375" style="28" customWidth="1"/>
    <col min="5" max="6" width="9.140625" style="28"/>
    <col min="7" max="7" width="9.5703125" style="28" customWidth="1"/>
    <col min="8" max="11" width="9.140625" style="28"/>
    <col min="13" max="13" width="11.28515625" bestFit="1" customWidth="1"/>
  </cols>
  <sheetData>
    <row r="1" spans="1:11" x14ac:dyDescent="0.25">
      <c r="A1" s="36" t="s">
        <v>0</v>
      </c>
      <c r="B1" s="36" t="s">
        <v>107</v>
      </c>
      <c r="C1" s="36" t="s">
        <v>10</v>
      </c>
      <c r="D1" s="36" t="s">
        <v>9</v>
      </c>
      <c r="E1" s="36" t="s">
        <v>2</v>
      </c>
      <c r="F1" s="36" t="s">
        <v>3</v>
      </c>
      <c r="G1" s="36" t="s">
        <v>4</v>
      </c>
      <c r="H1" s="36" t="s">
        <v>11</v>
      </c>
      <c r="I1" s="36" t="s">
        <v>5</v>
      </c>
      <c r="J1" s="36" t="s">
        <v>6</v>
      </c>
      <c r="K1" s="36" t="s">
        <v>7</v>
      </c>
    </row>
    <row r="2" spans="1:11" x14ac:dyDescent="0.25">
      <c r="A2" s="31">
        <v>58</v>
      </c>
      <c r="B2" s="31" t="str">
        <f t="shared" ref="B2:B33" si="0">IF(A2&lt;30,"20-29",IF(A2&lt;40,"30-39",IF(A2&lt;50,"40-49",IF(A2&lt;60,"50-59",IF(A2&lt;70,"60-69",IF(A2&lt;80,"70+"))))))</f>
        <v>50-59</v>
      </c>
      <c r="C2" s="31">
        <v>0</v>
      </c>
      <c r="D2" s="31">
        <v>100</v>
      </c>
      <c r="E2" s="31">
        <v>248</v>
      </c>
      <c r="F2" s="31">
        <v>0</v>
      </c>
      <c r="G2" s="31">
        <v>0</v>
      </c>
      <c r="H2" s="31">
        <v>122</v>
      </c>
      <c r="I2" s="31">
        <v>0</v>
      </c>
      <c r="J2" s="31">
        <v>1</v>
      </c>
      <c r="K2" s="31">
        <v>2</v>
      </c>
    </row>
    <row r="3" spans="1:11" x14ac:dyDescent="0.25">
      <c r="A3" s="30">
        <v>71</v>
      </c>
      <c r="B3" s="30" t="str">
        <f t="shared" si="0"/>
        <v>70+</v>
      </c>
      <c r="C3" s="30">
        <v>0</v>
      </c>
      <c r="D3" s="30">
        <v>112</v>
      </c>
      <c r="E3" s="30">
        <v>149</v>
      </c>
      <c r="F3" s="30">
        <v>0</v>
      </c>
      <c r="G3" s="30">
        <v>1</v>
      </c>
      <c r="H3" s="30">
        <v>125</v>
      </c>
      <c r="I3" s="30">
        <v>0</v>
      </c>
      <c r="J3" s="30">
        <v>1</v>
      </c>
      <c r="K3" s="30">
        <v>2</v>
      </c>
    </row>
    <row r="4" spans="1:11" x14ac:dyDescent="0.25">
      <c r="A4" s="31">
        <v>34</v>
      </c>
      <c r="B4" s="31" t="str">
        <f t="shared" si="0"/>
        <v>30-39</v>
      </c>
      <c r="C4" s="31">
        <v>1</v>
      </c>
      <c r="D4" s="31">
        <v>118</v>
      </c>
      <c r="E4" s="31">
        <v>210</v>
      </c>
      <c r="F4" s="31">
        <v>0</v>
      </c>
      <c r="G4" s="31">
        <v>1</v>
      </c>
      <c r="H4" s="31">
        <v>192</v>
      </c>
      <c r="I4" s="31">
        <v>0</v>
      </c>
      <c r="J4" s="31">
        <v>2</v>
      </c>
      <c r="K4" s="31">
        <v>2</v>
      </c>
    </row>
    <row r="5" spans="1:11" x14ac:dyDescent="0.25">
      <c r="A5" s="31">
        <v>51</v>
      </c>
      <c r="B5" s="31" t="str">
        <f t="shared" si="0"/>
        <v>50-59</v>
      </c>
      <c r="C5" s="31">
        <v>2</v>
      </c>
      <c r="D5" s="31">
        <v>140</v>
      </c>
      <c r="E5" s="31">
        <v>308</v>
      </c>
      <c r="F5" s="31">
        <v>0</v>
      </c>
      <c r="G5" s="31">
        <v>0</v>
      </c>
      <c r="H5" s="31">
        <v>142</v>
      </c>
      <c r="I5" s="31">
        <v>0</v>
      </c>
      <c r="J5" s="31">
        <v>2</v>
      </c>
      <c r="K5" s="31">
        <v>2</v>
      </c>
    </row>
    <row r="6" spans="1:11" x14ac:dyDescent="0.25">
      <c r="A6" s="30">
        <v>50</v>
      </c>
      <c r="B6" s="30" t="str">
        <f t="shared" si="0"/>
        <v>50-59</v>
      </c>
      <c r="C6" s="30">
        <v>1</v>
      </c>
      <c r="D6" s="30">
        <v>120</v>
      </c>
      <c r="E6" s="30">
        <v>244</v>
      </c>
      <c r="F6" s="30">
        <v>0</v>
      </c>
      <c r="G6" s="30">
        <v>1</v>
      </c>
      <c r="H6" s="30">
        <v>162</v>
      </c>
      <c r="I6" s="30">
        <v>0</v>
      </c>
      <c r="J6" s="30">
        <v>2</v>
      </c>
      <c r="K6" s="30">
        <v>2</v>
      </c>
    </row>
    <row r="7" spans="1:11" x14ac:dyDescent="0.25">
      <c r="A7" s="30">
        <v>67</v>
      </c>
      <c r="B7" s="30" t="str">
        <f t="shared" si="0"/>
        <v>60-69</v>
      </c>
      <c r="C7" s="30">
        <v>0</v>
      </c>
      <c r="D7" s="30">
        <v>106</v>
      </c>
      <c r="E7" s="30">
        <v>223</v>
      </c>
      <c r="F7" s="30">
        <v>0</v>
      </c>
      <c r="G7" s="30">
        <v>1</v>
      </c>
      <c r="H7" s="30">
        <v>142</v>
      </c>
      <c r="I7" s="30">
        <v>0</v>
      </c>
      <c r="J7" s="30">
        <v>2</v>
      </c>
      <c r="K7" s="30">
        <v>2</v>
      </c>
    </row>
    <row r="8" spans="1:11" x14ac:dyDescent="0.25">
      <c r="A8" s="30">
        <v>63</v>
      </c>
      <c r="B8" s="30" t="str">
        <f t="shared" si="0"/>
        <v>60-69</v>
      </c>
      <c r="C8" s="30">
        <v>2</v>
      </c>
      <c r="D8" s="30">
        <v>135</v>
      </c>
      <c r="E8" s="30">
        <v>252</v>
      </c>
      <c r="F8" s="30">
        <v>0</v>
      </c>
      <c r="G8" s="30">
        <v>0</v>
      </c>
      <c r="H8" s="30">
        <v>172</v>
      </c>
      <c r="I8" s="30">
        <v>0</v>
      </c>
      <c r="J8" s="30">
        <v>2</v>
      </c>
      <c r="K8" s="30">
        <v>2</v>
      </c>
    </row>
    <row r="9" spans="1:11" x14ac:dyDescent="0.25">
      <c r="A9" s="31">
        <v>42</v>
      </c>
      <c r="B9" s="31" t="str">
        <f t="shared" si="0"/>
        <v>40-49</v>
      </c>
      <c r="C9" s="31">
        <v>2</v>
      </c>
      <c r="D9" s="31">
        <v>120</v>
      </c>
      <c r="E9" s="31">
        <v>209</v>
      </c>
      <c r="F9" s="31">
        <v>0</v>
      </c>
      <c r="G9" s="31">
        <v>1</v>
      </c>
      <c r="H9" s="31">
        <v>173</v>
      </c>
      <c r="I9" s="31">
        <v>0</v>
      </c>
      <c r="J9" s="31">
        <v>1</v>
      </c>
      <c r="K9" s="31">
        <v>2</v>
      </c>
    </row>
    <row r="10" spans="1:11" x14ac:dyDescent="0.25">
      <c r="A10" s="30">
        <v>65</v>
      </c>
      <c r="B10" s="30" t="str">
        <f t="shared" si="0"/>
        <v>60-69</v>
      </c>
      <c r="C10" s="30">
        <v>2</v>
      </c>
      <c r="D10" s="30">
        <v>160</v>
      </c>
      <c r="E10" s="30">
        <v>360</v>
      </c>
      <c r="F10" s="30">
        <v>0</v>
      </c>
      <c r="G10" s="30">
        <v>0</v>
      </c>
      <c r="H10" s="30">
        <v>151</v>
      </c>
      <c r="I10" s="30">
        <v>0</v>
      </c>
      <c r="J10" s="30">
        <v>2</v>
      </c>
      <c r="K10" s="30">
        <v>2</v>
      </c>
    </row>
    <row r="11" spans="1:11" x14ac:dyDescent="0.25">
      <c r="A11" s="30">
        <v>55</v>
      </c>
      <c r="B11" s="30" t="str">
        <f t="shared" si="0"/>
        <v>50-59</v>
      </c>
      <c r="C11" s="30">
        <v>1</v>
      </c>
      <c r="D11" s="30">
        <v>132</v>
      </c>
      <c r="E11" s="30">
        <v>342</v>
      </c>
      <c r="F11" s="30">
        <v>0</v>
      </c>
      <c r="G11" s="30">
        <v>1</v>
      </c>
      <c r="H11" s="30">
        <v>166</v>
      </c>
      <c r="I11" s="30">
        <v>0</v>
      </c>
      <c r="J11" s="30">
        <v>2</v>
      </c>
      <c r="K11" s="30">
        <v>2</v>
      </c>
    </row>
    <row r="12" spans="1:11" x14ac:dyDescent="0.25">
      <c r="A12" s="31">
        <v>66</v>
      </c>
      <c r="B12" s="31" t="str">
        <f t="shared" si="0"/>
        <v>60-69</v>
      </c>
      <c r="C12" s="31">
        <v>2</v>
      </c>
      <c r="D12" s="31">
        <v>146</v>
      </c>
      <c r="E12" s="31">
        <v>278</v>
      </c>
      <c r="F12" s="31">
        <v>0</v>
      </c>
      <c r="G12" s="31">
        <v>0</v>
      </c>
      <c r="H12" s="31">
        <v>152</v>
      </c>
      <c r="I12" s="31">
        <v>0</v>
      </c>
      <c r="J12" s="31">
        <v>1</v>
      </c>
      <c r="K12" s="31">
        <v>2</v>
      </c>
    </row>
    <row r="13" spans="1:11" x14ac:dyDescent="0.25">
      <c r="A13" s="30">
        <v>58</v>
      </c>
      <c r="B13" s="30" t="str">
        <f t="shared" si="0"/>
        <v>50-59</v>
      </c>
      <c r="C13" s="30">
        <v>3</v>
      </c>
      <c r="D13" s="30">
        <v>150</v>
      </c>
      <c r="E13" s="30">
        <v>283</v>
      </c>
      <c r="F13" s="30">
        <v>1</v>
      </c>
      <c r="G13" s="30">
        <v>0</v>
      </c>
      <c r="H13" s="30">
        <v>162</v>
      </c>
      <c r="I13" s="30">
        <v>0</v>
      </c>
      <c r="J13" s="30">
        <v>2</v>
      </c>
      <c r="K13" s="30">
        <v>2</v>
      </c>
    </row>
    <row r="14" spans="1:11" x14ac:dyDescent="0.25">
      <c r="A14" s="31">
        <v>37</v>
      </c>
      <c r="B14" s="31" t="str">
        <f t="shared" si="0"/>
        <v>30-39</v>
      </c>
      <c r="C14" s="31">
        <v>2</v>
      </c>
      <c r="D14" s="31">
        <v>120</v>
      </c>
      <c r="E14" s="31">
        <v>215</v>
      </c>
      <c r="F14" s="31">
        <v>0</v>
      </c>
      <c r="G14" s="31">
        <v>1</v>
      </c>
      <c r="H14" s="31">
        <v>170</v>
      </c>
      <c r="I14" s="31">
        <v>0</v>
      </c>
      <c r="J14" s="31">
        <v>2</v>
      </c>
      <c r="K14" s="31">
        <v>2</v>
      </c>
    </row>
    <row r="15" spans="1:11" x14ac:dyDescent="0.25">
      <c r="A15" s="30">
        <v>54</v>
      </c>
      <c r="B15" s="30" t="str">
        <f t="shared" si="0"/>
        <v>50-59</v>
      </c>
      <c r="C15" s="30">
        <v>2</v>
      </c>
      <c r="D15" s="30">
        <v>108</v>
      </c>
      <c r="E15" s="30">
        <v>267</v>
      </c>
      <c r="F15" s="30">
        <v>0</v>
      </c>
      <c r="G15" s="30">
        <v>0</v>
      </c>
      <c r="H15" s="30">
        <v>167</v>
      </c>
      <c r="I15" s="30">
        <v>0</v>
      </c>
      <c r="J15" s="30">
        <v>2</v>
      </c>
      <c r="K15" s="30">
        <v>2</v>
      </c>
    </row>
    <row r="16" spans="1:11" x14ac:dyDescent="0.25">
      <c r="A16" s="31">
        <v>62</v>
      </c>
      <c r="B16" s="31" t="str">
        <f t="shared" si="0"/>
        <v>60-69</v>
      </c>
      <c r="C16" s="31">
        <v>0</v>
      </c>
      <c r="D16" s="31">
        <v>124</v>
      </c>
      <c r="E16" s="31">
        <v>209</v>
      </c>
      <c r="F16" s="31">
        <v>0</v>
      </c>
      <c r="G16" s="31">
        <v>1</v>
      </c>
      <c r="H16" s="31">
        <v>163</v>
      </c>
      <c r="I16" s="31">
        <v>0</v>
      </c>
      <c r="J16" s="31">
        <v>2</v>
      </c>
      <c r="K16" s="31">
        <v>2</v>
      </c>
    </row>
    <row r="17" spans="1:17" x14ac:dyDescent="0.25">
      <c r="A17" s="31">
        <v>45</v>
      </c>
      <c r="B17" s="31" t="str">
        <f t="shared" si="0"/>
        <v>40-49</v>
      </c>
      <c r="C17" s="31">
        <v>0</v>
      </c>
      <c r="D17" s="31">
        <v>138</v>
      </c>
      <c r="E17" s="31">
        <v>236</v>
      </c>
      <c r="F17" s="31">
        <v>0</v>
      </c>
      <c r="G17" s="31">
        <v>0</v>
      </c>
      <c r="H17" s="31">
        <v>152</v>
      </c>
      <c r="I17" s="31">
        <v>1</v>
      </c>
      <c r="J17" s="31">
        <v>1</v>
      </c>
      <c r="K17" s="31">
        <v>2</v>
      </c>
    </row>
    <row r="18" spans="1:17" x14ac:dyDescent="0.25">
      <c r="A18" s="30">
        <v>57</v>
      </c>
      <c r="B18" s="30" t="str">
        <f t="shared" si="0"/>
        <v>50-59</v>
      </c>
      <c r="C18" s="30">
        <v>0</v>
      </c>
      <c r="D18" s="30">
        <v>128</v>
      </c>
      <c r="E18" s="30">
        <v>303</v>
      </c>
      <c r="F18" s="30">
        <v>0</v>
      </c>
      <c r="G18" s="30">
        <v>0</v>
      </c>
      <c r="H18" s="30">
        <v>159</v>
      </c>
      <c r="I18" s="30">
        <v>0</v>
      </c>
      <c r="J18" s="30">
        <v>2</v>
      </c>
      <c r="K18" s="30">
        <v>2</v>
      </c>
    </row>
    <row r="19" spans="1:17" x14ac:dyDescent="0.25">
      <c r="A19" s="31">
        <v>76</v>
      </c>
      <c r="B19" s="31" t="str">
        <f t="shared" si="0"/>
        <v>70+</v>
      </c>
      <c r="C19" s="31">
        <v>2</v>
      </c>
      <c r="D19" s="31">
        <v>140</v>
      </c>
      <c r="E19" s="31">
        <v>197</v>
      </c>
      <c r="F19" s="31">
        <v>0</v>
      </c>
      <c r="G19" s="31">
        <v>2</v>
      </c>
      <c r="H19" s="31">
        <v>116</v>
      </c>
      <c r="I19" s="31">
        <v>0</v>
      </c>
      <c r="J19" s="31">
        <v>1</v>
      </c>
      <c r="K19" s="31">
        <v>2</v>
      </c>
    </row>
    <row r="20" spans="1:17" x14ac:dyDescent="0.25">
      <c r="A20" s="30">
        <v>43</v>
      </c>
      <c r="B20" s="30" t="str">
        <f t="shared" si="0"/>
        <v>40-49</v>
      </c>
      <c r="C20" s="30">
        <v>2</v>
      </c>
      <c r="D20" s="30">
        <v>122</v>
      </c>
      <c r="E20" s="30">
        <v>213</v>
      </c>
      <c r="F20" s="30">
        <v>0</v>
      </c>
      <c r="G20" s="30">
        <v>1</v>
      </c>
      <c r="H20" s="30">
        <v>165</v>
      </c>
      <c r="I20" s="30">
        <v>0</v>
      </c>
      <c r="J20" s="30">
        <v>1</v>
      </c>
      <c r="K20" s="30">
        <v>2</v>
      </c>
    </row>
    <row r="21" spans="1:17" x14ac:dyDescent="0.25">
      <c r="A21" s="31">
        <v>67</v>
      </c>
      <c r="B21" s="31" t="str">
        <f t="shared" si="0"/>
        <v>60-69</v>
      </c>
      <c r="C21" s="31">
        <v>2</v>
      </c>
      <c r="D21" s="31">
        <v>115</v>
      </c>
      <c r="E21" s="31">
        <v>564</v>
      </c>
      <c r="F21" s="31">
        <v>0</v>
      </c>
      <c r="G21" s="31">
        <v>0</v>
      </c>
      <c r="H21" s="31">
        <v>160</v>
      </c>
      <c r="I21" s="31">
        <v>0</v>
      </c>
      <c r="J21" s="31">
        <v>1</v>
      </c>
      <c r="K21" s="31">
        <v>3</v>
      </c>
      <c r="M21" s="4" t="s">
        <v>23</v>
      </c>
      <c r="N21" s="4" t="s">
        <v>24</v>
      </c>
      <c r="O21" s="4" t="s">
        <v>25</v>
      </c>
      <c r="P21" s="4" t="s">
        <v>26</v>
      </c>
      <c r="Q21" s="4" t="s">
        <v>27</v>
      </c>
    </row>
    <row r="22" spans="1:17" x14ac:dyDescent="0.25">
      <c r="A22" s="31">
        <v>71</v>
      </c>
      <c r="B22" s="31" t="str">
        <f t="shared" si="0"/>
        <v>70+</v>
      </c>
      <c r="C22" s="31">
        <v>1</v>
      </c>
      <c r="D22" s="31">
        <v>160</v>
      </c>
      <c r="E22" s="31">
        <v>302</v>
      </c>
      <c r="F22" s="31">
        <v>0</v>
      </c>
      <c r="G22" s="31">
        <v>1</v>
      </c>
      <c r="H22" s="31">
        <v>162</v>
      </c>
      <c r="I22" s="31">
        <v>0</v>
      </c>
      <c r="J22" s="31">
        <v>2</v>
      </c>
      <c r="K22" s="31">
        <v>2</v>
      </c>
      <c r="M22" s="5" t="s">
        <v>28</v>
      </c>
      <c r="N22" s="6">
        <f>AVERAGE(A:A)</f>
        <v>54.555555555555557</v>
      </c>
      <c r="O22" s="6">
        <f>_xlfn.STDEV.P(A:A)</f>
        <v>10.193801069616455</v>
      </c>
      <c r="P22" s="6">
        <f>MIN(A:A)</f>
        <v>34</v>
      </c>
      <c r="Q22" s="6">
        <f>MAX(A:A)</f>
        <v>76</v>
      </c>
    </row>
    <row r="23" spans="1:17" x14ac:dyDescent="0.25">
      <c r="A23" s="31">
        <v>50</v>
      </c>
      <c r="B23" s="31" t="str">
        <f t="shared" si="0"/>
        <v>50-59</v>
      </c>
      <c r="C23" s="31">
        <v>0</v>
      </c>
      <c r="D23" s="31">
        <v>110</v>
      </c>
      <c r="E23" s="31">
        <v>254</v>
      </c>
      <c r="F23" s="31">
        <v>0</v>
      </c>
      <c r="G23" s="31">
        <v>0</v>
      </c>
      <c r="H23" s="31">
        <v>159</v>
      </c>
      <c r="I23" s="31">
        <v>0</v>
      </c>
      <c r="J23" s="31">
        <v>2</v>
      </c>
      <c r="K23" s="31">
        <v>2</v>
      </c>
      <c r="M23" s="5" t="s">
        <v>29</v>
      </c>
      <c r="N23" s="6">
        <f>AVERAGE(D:D)</f>
        <v>128.73611111111111</v>
      </c>
      <c r="O23" s="6">
        <f>_xlfn.STDEV.P(D:D)</f>
        <v>16.421524708912752</v>
      </c>
      <c r="P23" s="6">
        <f>MIN(D:D)</f>
        <v>94</v>
      </c>
      <c r="Q23" s="6">
        <f>MAX(D:D)</f>
        <v>180</v>
      </c>
    </row>
    <row r="24" spans="1:17" x14ac:dyDescent="0.25">
      <c r="A24" s="30">
        <v>44</v>
      </c>
      <c r="B24" s="30" t="str">
        <f t="shared" si="0"/>
        <v>40-49</v>
      </c>
      <c r="C24" s="30">
        <v>2</v>
      </c>
      <c r="D24" s="30">
        <v>108</v>
      </c>
      <c r="E24" s="30">
        <v>141</v>
      </c>
      <c r="F24" s="30">
        <v>0</v>
      </c>
      <c r="G24" s="30">
        <v>1</v>
      </c>
      <c r="H24" s="30">
        <v>175</v>
      </c>
      <c r="I24" s="30">
        <v>0</v>
      </c>
      <c r="J24" s="30">
        <v>1</v>
      </c>
      <c r="K24" s="30">
        <v>2</v>
      </c>
      <c r="M24" s="5" t="s">
        <v>30</v>
      </c>
      <c r="N24" s="6">
        <f>AVERAGE(E:E)</f>
        <v>256.75</v>
      </c>
      <c r="O24" s="6">
        <f>_xlfn.STDEV.P(E:E)</f>
        <v>65.754752679939415</v>
      </c>
      <c r="P24" s="6">
        <f>MIN(E:E)</f>
        <v>141</v>
      </c>
      <c r="Q24" s="6">
        <f>MAX(E:E)</f>
        <v>564</v>
      </c>
    </row>
    <row r="25" spans="1:17" x14ac:dyDescent="0.25">
      <c r="A25" s="30">
        <v>65</v>
      </c>
      <c r="B25" s="30" t="str">
        <f t="shared" si="0"/>
        <v>60-69</v>
      </c>
      <c r="C25" s="30">
        <v>2</v>
      </c>
      <c r="D25" s="30">
        <v>140</v>
      </c>
      <c r="E25" s="30">
        <v>417</v>
      </c>
      <c r="F25" s="30">
        <v>1</v>
      </c>
      <c r="G25" s="30">
        <v>0</v>
      </c>
      <c r="H25" s="30">
        <v>157</v>
      </c>
      <c r="I25" s="30">
        <v>0</v>
      </c>
      <c r="J25" s="30">
        <v>2</v>
      </c>
      <c r="K25" s="30">
        <v>2</v>
      </c>
      <c r="M25" s="5" t="s">
        <v>31</v>
      </c>
      <c r="N25" s="6">
        <f>AVERAGE(H:H)</f>
        <v>154.02777777777777</v>
      </c>
      <c r="O25" s="6">
        <f>_xlfn.STDEV.P(H:H)</f>
        <v>19.118760581503171</v>
      </c>
      <c r="P25" s="6">
        <f>MIN(H:H)</f>
        <v>96</v>
      </c>
      <c r="Q25" s="6">
        <f>MAX(H:H)</f>
        <v>192</v>
      </c>
    </row>
    <row r="26" spans="1:17" x14ac:dyDescent="0.25">
      <c r="A26" s="31">
        <v>60</v>
      </c>
      <c r="B26" s="31" t="str">
        <f t="shared" si="0"/>
        <v>60-69</v>
      </c>
      <c r="C26" s="31">
        <v>3</v>
      </c>
      <c r="D26" s="31">
        <v>150</v>
      </c>
      <c r="E26" s="31">
        <v>240</v>
      </c>
      <c r="F26" s="31">
        <v>0</v>
      </c>
      <c r="G26" s="31">
        <v>1</v>
      </c>
      <c r="H26" s="31">
        <v>171</v>
      </c>
      <c r="I26" s="31">
        <v>0</v>
      </c>
      <c r="J26" s="31">
        <v>2</v>
      </c>
      <c r="K26" s="31">
        <v>2</v>
      </c>
    </row>
    <row r="27" spans="1:17" x14ac:dyDescent="0.25">
      <c r="A27" s="31">
        <v>51</v>
      </c>
      <c r="B27" s="31" t="str">
        <f t="shared" si="0"/>
        <v>50-59</v>
      </c>
      <c r="C27" s="31">
        <v>2</v>
      </c>
      <c r="D27" s="31">
        <v>130</v>
      </c>
      <c r="E27" s="31">
        <v>256</v>
      </c>
      <c r="F27" s="31">
        <v>0</v>
      </c>
      <c r="G27" s="31">
        <v>0</v>
      </c>
      <c r="H27" s="31">
        <v>149</v>
      </c>
      <c r="I27" s="31">
        <v>0</v>
      </c>
      <c r="J27" s="31">
        <v>2</v>
      </c>
      <c r="K27" s="31">
        <v>2</v>
      </c>
    </row>
    <row r="28" spans="1:17" x14ac:dyDescent="0.25">
      <c r="A28" s="30">
        <v>64</v>
      </c>
      <c r="B28" s="30" t="str">
        <f t="shared" si="0"/>
        <v>60-69</v>
      </c>
      <c r="C28" s="30">
        <v>0</v>
      </c>
      <c r="D28" s="30">
        <v>180</v>
      </c>
      <c r="E28" s="30">
        <v>325</v>
      </c>
      <c r="F28" s="30">
        <v>0</v>
      </c>
      <c r="G28" s="30">
        <v>1</v>
      </c>
      <c r="H28" s="30">
        <v>154</v>
      </c>
      <c r="I28" s="30">
        <v>1</v>
      </c>
      <c r="J28" s="30">
        <v>2</v>
      </c>
      <c r="K28" s="30">
        <v>2</v>
      </c>
    </row>
    <row r="29" spans="1:17" x14ac:dyDescent="0.25">
      <c r="A29" s="31">
        <v>51</v>
      </c>
      <c r="B29" s="31" t="str">
        <f t="shared" si="0"/>
        <v>50-59</v>
      </c>
      <c r="C29" s="31">
        <v>2</v>
      </c>
      <c r="D29" s="31">
        <v>120</v>
      </c>
      <c r="E29" s="31">
        <v>295</v>
      </c>
      <c r="F29" s="31">
        <v>0</v>
      </c>
      <c r="G29" s="31">
        <v>0</v>
      </c>
      <c r="H29" s="31">
        <v>157</v>
      </c>
      <c r="I29" s="31">
        <v>0</v>
      </c>
      <c r="J29" s="31">
        <v>2</v>
      </c>
      <c r="K29" s="31">
        <v>2</v>
      </c>
    </row>
    <row r="30" spans="1:17" x14ac:dyDescent="0.25">
      <c r="A30" s="31">
        <v>57</v>
      </c>
      <c r="B30" s="31" t="str">
        <f t="shared" si="0"/>
        <v>50-59</v>
      </c>
      <c r="C30" s="31">
        <v>0</v>
      </c>
      <c r="D30" s="31">
        <v>120</v>
      </c>
      <c r="E30" s="31">
        <v>354</v>
      </c>
      <c r="F30" s="31">
        <v>0</v>
      </c>
      <c r="G30" s="31">
        <v>1</v>
      </c>
      <c r="H30" s="31">
        <v>163</v>
      </c>
      <c r="I30" s="31">
        <v>1</v>
      </c>
      <c r="J30" s="31">
        <v>2</v>
      </c>
      <c r="K30" s="31">
        <v>2</v>
      </c>
    </row>
    <row r="31" spans="1:17" x14ac:dyDescent="0.25">
      <c r="A31" s="31">
        <v>45</v>
      </c>
      <c r="B31" s="31" t="str">
        <f t="shared" si="0"/>
        <v>40-49</v>
      </c>
      <c r="C31" s="31">
        <v>1</v>
      </c>
      <c r="D31" s="31">
        <v>112</v>
      </c>
      <c r="E31" s="31">
        <v>160</v>
      </c>
      <c r="F31" s="31">
        <v>0</v>
      </c>
      <c r="G31" s="31">
        <v>1</v>
      </c>
      <c r="H31" s="31">
        <v>138</v>
      </c>
      <c r="I31" s="31">
        <v>0</v>
      </c>
      <c r="J31" s="31">
        <v>1</v>
      </c>
      <c r="K31" s="31">
        <v>2</v>
      </c>
    </row>
    <row r="32" spans="1:17" x14ac:dyDescent="0.25">
      <c r="A32" s="30">
        <v>39</v>
      </c>
      <c r="B32" s="30" t="str">
        <f t="shared" si="0"/>
        <v>30-39</v>
      </c>
      <c r="C32" s="30">
        <v>2</v>
      </c>
      <c r="D32" s="30">
        <v>94</v>
      </c>
      <c r="E32" s="30">
        <v>199</v>
      </c>
      <c r="F32" s="30">
        <v>0</v>
      </c>
      <c r="G32" s="30">
        <v>1</v>
      </c>
      <c r="H32" s="30">
        <v>179</v>
      </c>
      <c r="I32" s="30">
        <v>0</v>
      </c>
      <c r="J32" s="30">
        <v>2</v>
      </c>
      <c r="K32" s="30">
        <v>2</v>
      </c>
    </row>
    <row r="33" spans="1:11" x14ac:dyDescent="0.25">
      <c r="A33" s="30">
        <v>60</v>
      </c>
      <c r="B33" s="30" t="str">
        <f t="shared" si="0"/>
        <v>60-69</v>
      </c>
      <c r="C33" s="30">
        <v>2</v>
      </c>
      <c r="D33" s="30">
        <v>102</v>
      </c>
      <c r="E33" s="30">
        <v>318</v>
      </c>
      <c r="F33" s="30">
        <v>0</v>
      </c>
      <c r="G33" s="30">
        <v>1</v>
      </c>
      <c r="H33" s="30">
        <v>160</v>
      </c>
      <c r="I33" s="30">
        <v>0</v>
      </c>
      <c r="J33" s="30">
        <v>2</v>
      </c>
      <c r="K33" s="30">
        <v>2</v>
      </c>
    </row>
    <row r="34" spans="1:11" x14ac:dyDescent="0.25">
      <c r="A34" s="30">
        <v>44</v>
      </c>
      <c r="B34" s="30" t="str">
        <f t="shared" ref="B34:B65" si="1">IF(A34&lt;30,"20-29",IF(A34&lt;40,"30-39",IF(A34&lt;50,"40-49",IF(A34&lt;60,"50-59",IF(A34&lt;70,"60-69",IF(A34&lt;80,"70+"))))))</f>
        <v>40-49</v>
      </c>
      <c r="C34" s="30">
        <v>2</v>
      </c>
      <c r="D34" s="30">
        <v>118</v>
      </c>
      <c r="E34" s="30">
        <v>242</v>
      </c>
      <c r="F34" s="30">
        <v>0</v>
      </c>
      <c r="G34" s="30">
        <v>1</v>
      </c>
      <c r="H34" s="30">
        <v>149</v>
      </c>
      <c r="I34" s="30">
        <v>0</v>
      </c>
      <c r="J34" s="30">
        <v>1</v>
      </c>
      <c r="K34" s="30">
        <v>2</v>
      </c>
    </row>
    <row r="35" spans="1:11" x14ac:dyDescent="0.25">
      <c r="A35" s="31">
        <v>41</v>
      </c>
      <c r="B35" s="31" t="str">
        <f t="shared" si="1"/>
        <v>40-49</v>
      </c>
      <c r="C35" s="31">
        <v>1</v>
      </c>
      <c r="D35" s="31">
        <v>126</v>
      </c>
      <c r="E35" s="31">
        <v>306</v>
      </c>
      <c r="F35" s="31">
        <v>0</v>
      </c>
      <c r="G35" s="31">
        <v>1</v>
      </c>
      <c r="H35" s="31">
        <v>163</v>
      </c>
      <c r="I35" s="31">
        <v>0</v>
      </c>
      <c r="J35" s="31">
        <v>2</v>
      </c>
      <c r="K35" s="31">
        <v>2</v>
      </c>
    </row>
    <row r="36" spans="1:11" x14ac:dyDescent="0.25">
      <c r="A36" s="30">
        <v>49</v>
      </c>
      <c r="B36" s="30" t="str">
        <f t="shared" si="1"/>
        <v>40-49</v>
      </c>
      <c r="C36" s="30">
        <v>0</v>
      </c>
      <c r="D36" s="30">
        <v>130</v>
      </c>
      <c r="E36" s="30">
        <v>269</v>
      </c>
      <c r="F36" s="30">
        <v>0</v>
      </c>
      <c r="G36" s="30">
        <v>1</v>
      </c>
      <c r="H36" s="30">
        <v>163</v>
      </c>
      <c r="I36" s="30">
        <v>0</v>
      </c>
      <c r="J36" s="30">
        <v>2</v>
      </c>
      <c r="K36" s="30">
        <v>2</v>
      </c>
    </row>
    <row r="37" spans="1:11" x14ac:dyDescent="0.25">
      <c r="A37" s="30">
        <v>54</v>
      </c>
      <c r="B37" s="30" t="str">
        <f t="shared" si="1"/>
        <v>50-59</v>
      </c>
      <c r="C37" s="30">
        <v>1</v>
      </c>
      <c r="D37" s="30">
        <v>132</v>
      </c>
      <c r="E37" s="30">
        <v>288</v>
      </c>
      <c r="F37" s="30">
        <v>1</v>
      </c>
      <c r="G37" s="30">
        <v>0</v>
      </c>
      <c r="H37" s="30">
        <v>159</v>
      </c>
      <c r="I37" s="30">
        <v>1</v>
      </c>
      <c r="J37" s="30">
        <v>2</v>
      </c>
      <c r="K37" s="30">
        <v>2</v>
      </c>
    </row>
    <row r="38" spans="1:11" x14ac:dyDescent="0.25">
      <c r="A38" s="30">
        <v>39</v>
      </c>
      <c r="B38" s="30" t="str">
        <f t="shared" si="1"/>
        <v>30-39</v>
      </c>
      <c r="C38" s="30">
        <v>2</v>
      </c>
      <c r="D38" s="30">
        <v>138</v>
      </c>
      <c r="E38" s="30">
        <v>220</v>
      </c>
      <c r="F38" s="30">
        <v>0</v>
      </c>
      <c r="G38" s="30">
        <v>1</v>
      </c>
      <c r="H38" s="30">
        <v>152</v>
      </c>
      <c r="I38" s="30">
        <v>0</v>
      </c>
      <c r="J38" s="30">
        <v>1</v>
      </c>
      <c r="K38" s="30">
        <v>2</v>
      </c>
    </row>
    <row r="39" spans="1:11" x14ac:dyDescent="0.25">
      <c r="A39" s="31">
        <v>62</v>
      </c>
      <c r="B39" s="31" t="str">
        <f t="shared" si="1"/>
        <v>60-69</v>
      </c>
      <c r="C39" s="31">
        <v>0</v>
      </c>
      <c r="D39" s="31">
        <v>140</v>
      </c>
      <c r="E39" s="31">
        <v>394</v>
      </c>
      <c r="F39" s="31">
        <v>0</v>
      </c>
      <c r="G39" s="31">
        <v>0</v>
      </c>
      <c r="H39" s="31">
        <v>157</v>
      </c>
      <c r="I39" s="31">
        <v>0</v>
      </c>
      <c r="J39" s="31">
        <v>1</v>
      </c>
      <c r="K39" s="31">
        <v>2</v>
      </c>
    </row>
    <row r="40" spans="1:11" x14ac:dyDescent="0.25">
      <c r="A40" s="30">
        <v>35</v>
      </c>
      <c r="B40" s="30" t="str">
        <f t="shared" si="1"/>
        <v>30-39</v>
      </c>
      <c r="C40" s="30">
        <v>0</v>
      </c>
      <c r="D40" s="30">
        <v>138</v>
      </c>
      <c r="E40" s="30">
        <v>183</v>
      </c>
      <c r="F40" s="30">
        <v>0</v>
      </c>
      <c r="G40" s="30">
        <v>1</v>
      </c>
      <c r="H40" s="30">
        <v>182</v>
      </c>
      <c r="I40" s="30">
        <v>0</v>
      </c>
      <c r="J40" s="30">
        <v>2</v>
      </c>
      <c r="K40" s="30">
        <v>2</v>
      </c>
    </row>
    <row r="41" spans="1:11" x14ac:dyDescent="0.25">
      <c r="A41" s="30">
        <v>71</v>
      </c>
      <c r="B41" s="30" t="str">
        <f t="shared" si="1"/>
        <v>70+</v>
      </c>
      <c r="C41" s="30">
        <v>2</v>
      </c>
      <c r="D41" s="30">
        <v>110</v>
      </c>
      <c r="E41" s="30">
        <v>265</v>
      </c>
      <c r="F41" s="30">
        <v>1</v>
      </c>
      <c r="G41" s="30">
        <v>0</v>
      </c>
      <c r="H41" s="30">
        <v>130</v>
      </c>
      <c r="I41" s="30">
        <v>0</v>
      </c>
      <c r="J41" s="30">
        <v>2</v>
      </c>
      <c r="K41" s="30">
        <v>2</v>
      </c>
    </row>
    <row r="42" spans="1:11" x14ac:dyDescent="0.25">
      <c r="A42" s="31">
        <v>41</v>
      </c>
      <c r="B42" s="31" t="str">
        <f t="shared" si="1"/>
        <v>40-49</v>
      </c>
      <c r="C42" s="31">
        <v>1</v>
      </c>
      <c r="D42" s="31">
        <v>105</v>
      </c>
      <c r="E42" s="31">
        <v>198</v>
      </c>
      <c r="F42" s="31">
        <v>0</v>
      </c>
      <c r="G42" s="31">
        <v>1</v>
      </c>
      <c r="H42" s="31">
        <v>168</v>
      </c>
      <c r="I42" s="31">
        <v>0</v>
      </c>
      <c r="J42" s="31">
        <v>2</v>
      </c>
      <c r="K42" s="31">
        <v>2</v>
      </c>
    </row>
    <row r="43" spans="1:11" x14ac:dyDescent="0.25">
      <c r="A43" s="30">
        <v>45</v>
      </c>
      <c r="B43" s="30" t="str">
        <f t="shared" si="1"/>
        <v>40-49</v>
      </c>
      <c r="C43" s="30">
        <v>1</v>
      </c>
      <c r="D43" s="30">
        <v>130</v>
      </c>
      <c r="E43" s="30">
        <v>234</v>
      </c>
      <c r="F43" s="30">
        <v>0</v>
      </c>
      <c r="G43" s="30">
        <v>0</v>
      </c>
      <c r="H43" s="30">
        <v>175</v>
      </c>
      <c r="I43" s="30">
        <v>0</v>
      </c>
      <c r="J43" s="30">
        <v>1</v>
      </c>
      <c r="K43" s="30">
        <v>2</v>
      </c>
    </row>
    <row r="44" spans="1:11" x14ac:dyDescent="0.25">
      <c r="A44" s="30">
        <v>41</v>
      </c>
      <c r="B44" s="30" t="str">
        <f t="shared" si="1"/>
        <v>40-49</v>
      </c>
      <c r="C44" s="30">
        <v>1</v>
      </c>
      <c r="D44" s="30">
        <v>130</v>
      </c>
      <c r="E44" s="30">
        <v>204</v>
      </c>
      <c r="F44" s="30">
        <v>0</v>
      </c>
      <c r="G44" s="30">
        <v>0</v>
      </c>
      <c r="H44" s="30">
        <v>172</v>
      </c>
      <c r="I44" s="30">
        <v>0</v>
      </c>
      <c r="J44" s="30">
        <v>2</v>
      </c>
      <c r="K44" s="30">
        <v>2</v>
      </c>
    </row>
    <row r="45" spans="1:11" x14ac:dyDescent="0.25">
      <c r="A45" s="31">
        <v>64</v>
      </c>
      <c r="B45" s="31" t="str">
        <f t="shared" si="1"/>
        <v>60-69</v>
      </c>
      <c r="C45" s="31">
        <v>2</v>
      </c>
      <c r="D45" s="31">
        <v>140</v>
      </c>
      <c r="E45" s="31">
        <v>313</v>
      </c>
      <c r="F45" s="31">
        <v>0</v>
      </c>
      <c r="G45" s="31">
        <v>1</v>
      </c>
      <c r="H45" s="31">
        <v>133</v>
      </c>
      <c r="I45" s="31">
        <v>0</v>
      </c>
      <c r="J45" s="31">
        <v>2</v>
      </c>
      <c r="K45" s="31">
        <v>3</v>
      </c>
    </row>
    <row r="46" spans="1:11" x14ac:dyDescent="0.25">
      <c r="A46" s="31">
        <v>58</v>
      </c>
      <c r="B46" s="31" t="str">
        <f t="shared" si="1"/>
        <v>50-59</v>
      </c>
      <c r="C46" s="31">
        <v>2</v>
      </c>
      <c r="D46" s="31">
        <v>120</v>
      </c>
      <c r="E46" s="31">
        <v>340</v>
      </c>
      <c r="F46" s="31">
        <v>0</v>
      </c>
      <c r="G46" s="31">
        <v>1</v>
      </c>
      <c r="H46" s="31">
        <v>172</v>
      </c>
      <c r="I46" s="31">
        <v>0</v>
      </c>
      <c r="J46" s="31">
        <v>2</v>
      </c>
      <c r="K46" s="31">
        <v>2</v>
      </c>
    </row>
    <row r="47" spans="1:11" x14ac:dyDescent="0.25">
      <c r="A47" s="31">
        <v>46</v>
      </c>
      <c r="B47" s="31" t="str">
        <f t="shared" si="1"/>
        <v>40-49</v>
      </c>
      <c r="C47" s="31">
        <v>1</v>
      </c>
      <c r="D47" s="31">
        <v>105</v>
      </c>
      <c r="E47" s="31">
        <v>204</v>
      </c>
      <c r="F47" s="31">
        <v>0</v>
      </c>
      <c r="G47" s="31">
        <v>1</v>
      </c>
      <c r="H47" s="31">
        <v>172</v>
      </c>
      <c r="I47" s="31">
        <v>0</v>
      </c>
      <c r="J47" s="31">
        <v>2</v>
      </c>
      <c r="K47" s="31">
        <v>2</v>
      </c>
    </row>
    <row r="48" spans="1:11" x14ac:dyDescent="0.25">
      <c r="A48" s="30">
        <v>52</v>
      </c>
      <c r="B48" s="30" t="str">
        <f t="shared" si="1"/>
        <v>50-59</v>
      </c>
      <c r="C48" s="30">
        <v>2</v>
      </c>
      <c r="D48" s="30">
        <v>136</v>
      </c>
      <c r="E48" s="30">
        <v>196</v>
      </c>
      <c r="F48" s="30">
        <v>0</v>
      </c>
      <c r="G48" s="30">
        <v>0</v>
      </c>
      <c r="H48" s="30">
        <v>169</v>
      </c>
      <c r="I48" s="30">
        <v>0</v>
      </c>
      <c r="J48" s="30">
        <v>1</v>
      </c>
      <c r="K48" s="30">
        <v>2</v>
      </c>
    </row>
    <row r="49" spans="1:11" x14ac:dyDescent="0.25">
      <c r="A49" s="31">
        <v>56</v>
      </c>
      <c r="B49" s="31" t="str">
        <f t="shared" si="1"/>
        <v>50-59</v>
      </c>
      <c r="C49" s="31">
        <v>1</v>
      </c>
      <c r="D49" s="31">
        <v>140</v>
      </c>
      <c r="E49" s="31">
        <v>294</v>
      </c>
      <c r="F49" s="31">
        <v>0</v>
      </c>
      <c r="G49" s="31">
        <v>0</v>
      </c>
      <c r="H49" s="31">
        <v>153</v>
      </c>
      <c r="I49" s="31">
        <v>0</v>
      </c>
      <c r="J49" s="31">
        <v>1</v>
      </c>
      <c r="K49" s="31">
        <v>2</v>
      </c>
    </row>
    <row r="50" spans="1:11" x14ac:dyDescent="0.25">
      <c r="A50" s="30">
        <v>74</v>
      </c>
      <c r="B50" s="30" t="str">
        <f t="shared" si="1"/>
        <v>70+</v>
      </c>
      <c r="C50" s="30">
        <v>1</v>
      </c>
      <c r="D50" s="30">
        <v>120</v>
      </c>
      <c r="E50" s="30">
        <v>269</v>
      </c>
      <c r="F50" s="30">
        <v>0</v>
      </c>
      <c r="G50" s="30">
        <v>0</v>
      </c>
      <c r="H50" s="30">
        <v>121</v>
      </c>
      <c r="I50" s="30">
        <v>1</v>
      </c>
      <c r="J50" s="30">
        <v>2</v>
      </c>
      <c r="K50" s="30">
        <v>2</v>
      </c>
    </row>
    <row r="51" spans="1:11" x14ac:dyDescent="0.25">
      <c r="A51" s="31">
        <v>53</v>
      </c>
      <c r="B51" s="31" t="str">
        <f t="shared" si="1"/>
        <v>50-59</v>
      </c>
      <c r="C51" s="31">
        <v>2</v>
      </c>
      <c r="D51" s="31">
        <v>128</v>
      </c>
      <c r="E51" s="31">
        <v>216</v>
      </c>
      <c r="F51" s="31">
        <v>0</v>
      </c>
      <c r="G51" s="31">
        <v>0</v>
      </c>
      <c r="H51" s="31">
        <v>115</v>
      </c>
      <c r="I51" s="31">
        <v>0</v>
      </c>
      <c r="J51" s="31">
        <v>2</v>
      </c>
      <c r="K51" s="31">
        <v>0</v>
      </c>
    </row>
    <row r="52" spans="1:11" x14ac:dyDescent="0.25">
      <c r="A52" s="30">
        <v>53</v>
      </c>
      <c r="B52" s="30" t="str">
        <f t="shared" si="1"/>
        <v>50-59</v>
      </c>
      <c r="C52" s="30">
        <v>0</v>
      </c>
      <c r="D52" s="30">
        <v>130</v>
      </c>
      <c r="E52" s="30">
        <v>264</v>
      </c>
      <c r="F52" s="30">
        <v>0</v>
      </c>
      <c r="G52" s="30">
        <v>0</v>
      </c>
      <c r="H52" s="30">
        <v>143</v>
      </c>
      <c r="I52" s="30">
        <v>0</v>
      </c>
      <c r="J52" s="30">
        <v>1</v>
      </c>
      <c r="K52" s="30">
        <v>2</v>
      </c>
    </row>
    <row r="53" spans="1:11" x14ac:dyDescent="0.25">
      <c r="A53" s="31">
        <v>48</v>
      </c>
      <c r="B53" s="31" t="str">
        <f t="shared" si="1"/>
        <v>40-49</v>
      </c>
      <c r="C53" s="31">
        <v>2</v>
      </c>
      <c r="D53" s="31">
        <v>130</v>
      </c>
      <c r="E53" s="31">
        <v>275</v>
      </c>
      <c r="F53" s="31">
        <v>0</v>
      </c>
      <c r="G53" s="31">
        <v>1</v>
      </c>
      <c r="H53" s="31">
        <v>139</v>
      </c>
      <c r="I53" s="31">
        <v>0</v>
      </c>
      <c r="J53" s="31">
        <v>2</v>
      </c>
      <c r="K53" s="31">
        <v>2</v>
      </c>
    </row>
    <row r="54" spans="1:11" x14ac:dyDescent="0.25">
      <c r="A54" s="31">
        <v>54</v>
      </c>
      <c r="B54" s="31" t="str">
        <f t="shared" si="1"/>
        <v>50-59</v>
      </c>
      <c r="C54" s="31">
        <v>2</v>
      </c>
      <c r="D54" s="31">
        <v>110</v>
      </c>
      <c r="E54" s="31">
        <v>214</v>
      </c>
      <c r="F54" s="31">
        <v>0</v>
      </c>
      <c r="G54" s="31">
        <v>1</v>
      </c>
      <c r="H54" s="31">
        <v>158</v>
      </c>
      <c r="I54" s="31">
        <v>0</v>
      </c>
      <c r="J54" s="31">
        <v>1</v>
      </c>
      <c r="K54" s="31">
        <v>2</v>
      </c>
    </row>
    <row r="55" spans="1:11" x14ac:dyDescent="0.25">
      <c r="A55" s="30">
        <v>65</v>
      </c>
      <c r="B55" s="30" t="str">
        <f t="shared" si="1"/>
        <v>60-69</v>
      </c>
      <c r="C55" s="30">
        <v>2</v>
      </c>
      <c r="D55" s="30">
        <v>155</v>
      </c>
      <c r="E55" s="30">
        <v>269</v>
      </c>
      <c r="F55" s="30">
        <v>0</v>
      </c>
      <c r="G55" s="30">
        <v>1</v>
      </c>
      <c r="H55" s="30">
        <v>148</v>
      </c>
      <c r="I55" s="30">
        <v>0</v>
      </c>
      <c r="J55" s="30">
        <v>2</v>
      </c>
      <c r="K55" s="30">
        <v>2</v>
      </c>
    </row>
    <row r="56" spans="1:11" x14ac:dyDescent="0.25">
      <c r="A56" s="30">
        <v>46</v>
      </c>
      <c r="B56" s="30" t="str">
        <f t="shared" si="1"/>
        <v>40-49</v>
      </c>
      <c r="C56" s="30">
        <v>0</v>
      </c>
      <c r="D56" s="30">
        <v>138</v>
      </c>
      <c r="E56" s="30">
        <v>243</v>
      </c>
      <c r="F56" s="30">
        <v>0</v>
      </c>
      <c r="G56" s="30">
        <v>0</v>
      </c>
      <c r="H56" s="30">
        <v>152</v>
      </c>
      <c r="I56" s="30">
        <v>1</v>
      </c>
      <c r="J56" s="30">
        <v>1</v>
      </c>
      <c r="K56" s="30">
        <v>2</v>
      </c>
    </row>
    <row r="57" spans="1:11" x14ac:dyDescent="0.25">
      <c r="A57" s="30">
        <v>46</v>
      </c>
      <c r="B57" s="30" t="str">
        <f t="shared" si="1"/>
        <v>40-49</v>
      </c>
      <c r="C57" s="30">
        <v>2</v>
      </c>
      <c r="D57" s="30">
        <v>142</v>
      </c>
      <c r="E57" s="30">
        <v>177</v>
      </c>
      <c r="F57" s="30">
        <v>0</v>
      </c>
      <c r="G57" s="30">
        <v>0</v>
      </c>
      <c r="H57" s="30">
        <v>160</v>
      </c>
      <c r="I57" s="30">
        <v>1</v>
      </c>
      <c r="J57" s="30">
        <v>0</v>
      </c>
      <c r="K57" s="30">
        <v>2</v>
      </c>
    </row>
    <row r="58" spans="1:11" x14ac:dyDescent="0.25">
      <c r="A58" s="31">
        <v>64</v>
      </c>
      <c r="B58" s="31" t="str">
        <f t="shared" si="1"/>
        <v>60-69</v>
      </c>
      <c r="C58" s="31">
        <v>0</v>
      </c>
      <c r="D58" s="31">
        <v>130</v>
      </c>
      <c r="E58" s="31">
        <v>303</v>
      </c>
      <c r="F58" s="31">
        <v>0</v>
      </c>
      <c r="G58" s="31">
        <v>1</v>
      </c>
      <c r="H58" s="31">
        <v>122</v>
      </c>
      <c r="I58" s="31">
        <v>0</v>
      </c>
      <c r="J58" s="31">
        <v>1</v>
      </c>
      <c r="K58" s="31">
        <v>2</v>
      </c>
    </row>
    <row r="59" spans="1:11" x14ac:dyDescent="0.25">
      <c r="A59" s="30">
        <v>42</v>
      </c>
      <c r="B59" s="30" t="str">
        <f t="shared" si="1"/>
        <v>40-49</v>
      </c>
      <c r="C59" s="30">
        <v>0</v>
      </c>
      <c r="D59" s="30">
        <v>102</v>
      </c>
      <c r="E59" s="30">
        <v>265</v>
      </c>
      <c r="F59" s="30">
        <v>0</v>
      </c>
      <c r="G59" s="30">
        <v>0</v>
      </c>
      <c r="H59" s="30">
        <v>122</v>
      </c>
      <c r="I59" s="30">
        <v>0</v>
      </c>
      <c r="J59" s="30">
        <v>1</v>
      </c>
      <c r="K59" s="30">
        <v>2</v>
      </c>
    </row>
    <row r="60" spans="1:11" x14ac:dyDescent="0.25">
      <c r="A60" s="30">
        <v>54</v>
      </c>
      <c r="B60" s="30" t="str">
        <f t="shared" si="1"/>
        <v>50-59</v>
      </c>
      <c r="C60" s="30">
        <v>2</v>
      </c>
      <c r="D60" s="30">
        <v>160</v>
      </c>
      <c r="E60" s="30">
        <v>201</v>
      </c>
      <c r="F60" s="30">
        <v>0</v>
      </c>
      <c r="G60" s="30">
        <v>1</v>
      </c>
      <c r="H60" s="30">
        <v>163</v>
      </c>
      <c r="I60" s="30">
        <v>0</v>
      </c>
      <c r="J60" s="30">
        <v>2</v>
      </c>
      <c r="K60" s="30">
        <v>2</v>
      </c>
    </row>
    <row r="61" spans="1:11" x14ac:dyDescent="0.25">
      <c r="A61" s="30">
        <v>41</v>
      </c>
      <c r="B61" s="30" t="str">
        <f t="shared" si="1"/>
        <v>40-49</v>
      </c>
      <c r="C61" s="30">
        <v>2</v>
      </c>
      <c r="D61" s="30">
        <v>112</v>
      </c>
      <c r="E61" s="30">
        <v>268</v>
      </c>
      <c r="F61" s="30">
        <v>0</v>
      </c>
      <c r="G61" s="30">
        <v>0</v>
      </c>
      <c r="H61" s="30">
        <v>172</v>
      </c>
      <c r="I61" s="30">
        <v>1</v>
      </c>
      <c r="J61" s="30">
        <v>2</v>
      </c>
      <c r="K61" s="30">
        <v>2</v>
      </c>
    </row>
    <row r="62" spans="1:11" x14ac:dyDescent="0.25">
      <c r="A62" s="30">
        <v>49</v>
      </c>
      <c r="B62" s="30" t="str">
        <f t="shared" si="1"/>
        <v>40-49</v>
      </c>
      <c r="C62" s="30">
        <v>1</v>
      </c>
      <c r="D62" s="30">
        <v>134</v>
      </c>
      <c r="E62" s="30">
        <v>271</v>
      </c>
      <c r="F62" s="30">
        <v>0</v>
      </c>
      <c r="G62" s="30">
        <v>1</v>
      </c>
      <c r="H62" s="30">
        <v>162</v>
      </c>
      <c r="I62" s="30">
        <v>0</v>
      </c>
      <c r="J62" s="30">
        <v>1</v>
      </c>
      <c r="K62" s="30">
        <v>2</v>
      </c>
    </row>
    <row r="63" spans="1:11" x14ac:dyDescent="0.25">
      <c r="A63" s="30">
        <v>58</v>
      </c>
      <c r="B63" s="30" t="str">
        <f t="shared" si="1"/>
        <v>50-59</v>
      </c>
      <c r="C63" s="30">
        <v>0</v>
      </c>
      <c r="D63" s="30">
        <v>130</v>
      </c>
      <c r="E63" s="30">
        <v>197</v>
      </c>
      <c r="F63" s="30">
        <v>0</v>
      </c>
      <c r="G63" s="30">
        <v>1</v>
      </c>
      <c r="H63" s="30">
        <v>131</v>
      </c>
      <c r="I63" s="30">
        <v>0</v>
      </c>
      <c r="J63" s="30">
        <v>1</v>
      </c>
      <c r="K63" s="30">
        <v>2</v>
      </c>
    </row>
    <row r="64" spans="1:11" x14ac:dyDescent="0.25">
      <c r="A64" s="31">
        <v>67</v>
      </c>
      <c r="B64" s="31" t="str">
        <f t="shared" si="1"/>
        <v>60-69</v>
      </c>
      <c r="C64" s="31">
        <v>2</v>
      </c>
      <c r="D64" s="31">
        <v>152</v>
      </c>
      <c r="E64" s="31">
        <v>277</v>
      </c>
      <c r="F64" s="31">
        <v>0</v>
      </c>
      <c r="G64" s="31">
        <v>1</v>
      </c>
      <c r="H64" s="31">
        <v>172</v>
      </c>
      <c r="I64" s="31">
        <v>0</v>
      </c>
      <c r="J64" s="31">
        <v>2</v>
      </c>
      <c r="K64" s="31">
        <v>2</v>
      </c>
    </row>
    <row r="65" spans="1:11" x14ac:dyDescent="0.25">
      <c r="A65" s="31">
        <v>53</v>
      </c>
      <c r="B65" s="31" t="str">
        <f t="shared" si="1"/>
        <v>50-59</v>
      </c>
      <c r="C65" s="31">
        <v>0</v>
      </c>
      <c r="D65" s="31">
        <v>138</v>
      </c>
      <c r="E65" s="31">
        <v>234</v>
      </c>
      <c r="F65" s="31">
        <v>0</v>
      </c>
      <c r="G65" s="31">
        <v>0</v>
      </c>
      <c r="H65" s="31">
        <v>160</v>
      </c>
      <c r="I65" s="31">
        <v>0</v>
      </c>
      <c r="J65" s="31">
        <v>2</v>
      </c>
      <c r="K65" s="31">
        <v>2</v>
      </c>
    </row>
    <row r="66" spans="1:11" x14ac:dyDescent="0.25">
      <c r="A66" s="30">
        <v>50</v>
      </c>
      <c r="B66" s="30" t="str">
        <f t="shared" ref="B66:B97" si="2">IF(A66&lt;30,"20-29",IF(A66&lt;40,"30-39",IF(A66&lt;50,"40-49",IF(A66&lt;60,"50-59",IF(A66&lt;70,"60-69",IF(A66&lt;80,"70+"))))))</f>
        <v>50-59</v>
      </c>
      <c r="C66" s="30">
        <v>2</v>
      </c>
      <c r="D66" s="30">
        <v>120</v>
      </c>
      <c r="E66" s="30">
        <v>219</v>
      </c>
      <c r="F66" s="30">
        <v>0</v>
      </c>
      <c r="G66" s="30">
        <v>1</v>
      </c>
      <c r="H66" s="30">
        <v>158</v>
      </c>
      <c r="I66" s="30">
        <v>0</v>
      </c>
      <c r="J66" s="30">
        <v>1</v>
      </c>
      <c r="K66" s="30">
        <v>2</v>
      </c>
    </row>
    <row r="67" spans="1:11" x14ac:dyDescent="0.25">
      <c r="A67" s="30">
        <v>54</v>
      </c>
      <c r="B67" s="30" t="str">
        <f t="shared" si="2"/>
        <v>50-59</v>
      </c>
      <c r="C67" s="30">
        <v>2</v>
      </c>
      <c r="D67" s="30">
        <v>135</v>
      </c>
      <c r="E67" s="30">
        <v>304</v>
      </c>
      <c r="F67" s="30">
        <v>1</v>
      </c>
      <c r="G67" s="30">
        <v>1</v>
      </c>
      <c r="H67" s="30">
        <v>170</v>
      </c>
      <c r="I67" s="30">
        <v>0</v>
      </c>
      <c r="J67" s="30">
        <v>2</v>
      </c>
      <c r="K67" s="30">
        <v>2</v>
      </c>
    </row>
    <row r="68" spans="1:11" x14ac:dyDescent="0.25">
      <c r="A68" s="30">
        <v>63</v>
      </c>
      <c r="B68" s="30" t="str">
        <f t="shared" si="2"/>
        <v>60-69</v>
      </c>
      <c r="C68" s="30">
        <v>1</v>
      </c>
      <c r="D68" s="30">
        <v>140</v>
      </c>
      <c r="E68" s="30">
        <v>195</v>
      </c>
      <c r="F68" s="30">
        <v>0</v>
      </c>
      <c r="G68" s="30">
        <v>1</v>
      </c>
      <c r="H68" s="30">
        <v>179</v>
      </c>
      <c r="I68" s="30">
        <v>0</v>
      </c>
      <c r="J68" s="30">
        <v>2</v>
      </c>
      <c r="K68" s="30">
        <v>2</v>
      </c>
    </row>
    <row r="69" spans="1:11" x14ac:dyDescent="0.25">
      <c r="A69" s="30">
        <v>69</v>
      </c>
      <c r="B69" s="30" t="str">
        <f t="shared" si="2"/>
        <v>60-69</v>
      </c>
      <c r="C69" s="30">
        <v>3</v>
      </c>
      <c r="D69" s="30">
        <v>140</v>
      </c>
      <c r="E69" s="30">
        <v>239</v>
      </c>
      <c r="F69" s="30">
        <v>0</v>
      </c>
      <c r="G69" s="30">
        <v>1</v>
      </c>
      <c r="H69" s="30">
        <v>151</v>
      </c>
      <c r="I69" s="30">
        <v>0</v>
      </c>
      <c r="J69" s="30">
        <v>2</v>
      </c>
      <c r="K69" s="30">
        <v>2</v>
      </c>
    </row>
    <row r="70" spans="1:11" x14ac:dyDescent="0.25">
      <c r="A70" s="30">
        <v>66</v>
      </c>
      <c r="B70" s="30" t="str">
        <f t="shared" si="2"/>
        <v>60-69</v>
      </c>
      <c r="C70" s="30">
        <v>3</v>
      </c>
      <c r="D70" s="30">
        <v>150</v>
      </c>
      <c r="E70" s="30">
        <v>226</v>
      </c>
      <c r="F70" s="30">
        <v>0</v>
      </c>
      <c r="G70" s="30">
        <v>1</v>
      </c>
      <c r="H70" s="30">
        <v>114</v>
      </c>
      <c r="I70" s="30">
        <v>0</v>
      </c>
      <c r="J70" s="30">
        <v>0</v>
      </c>
      <c r="K70" s="30">
        <v>2</v>
      </c>
    </row>
    <row r="71" spans="1:11" x14ac:dyDescent="0.25">
      <c r="A71" s="31">
        <v>55</v>
      </c>
      <c r="B71" s="31" t="str">
        <f t="shared" si="2"/>
        <v>50-59</v>
      </c>
      <c r="C71" s="31">
        <v>1</v>
      </c>
      <c r="D71" s="31">
        <v>135</v>
      </c>
      <c r="E71" s="31">
        <v>250</v>
      </c>
      <c r="F71" s="31">
        <v>0</v>
      </c>
      <c r="G71" s="31">
        <v>0</v>
      </c>
      <c r="H71" s="31">
        <v>161</v>
      </c>
      <c r="I71" s="31">
        <v>0</v>
      </c>
      <c r="J71" s="31">
        <v>1</v>
      </c>
      <c r="K71" s="31">
        <v>2</v>
      </c>
    </row>
    <row r="72" spans="1:11" x14ac:dyDescent="0.25">
      <c r="A72" s="31">
        <v>60</v>
      </c>
      <c r="B72" s="31" t="str">
        <f t="shared" si="2"/>
        <v>60-69</v>
      </c>
      <c r="C72" s="31">
        <v>2</v>
      </c>
      <c r="D72" s="31">
        <v>120</v>
      </c>
      <c r="E72" s="31">
        <v>178</v>
      </c>
      <c r="F72" s="31">
        <v>1</v>
      </c>
      <c r="G72" s="31">
        <v>1</v>
      </c>
      <c r="H72" s="31">
        <v>96</v>
      </c>
      <c r="I72" s="31">
        <v>0</v>
      </c>
      <c r="J72" s="31">
        <v>2</v>
      </c>
      <c r="K72" s="31">
        <v>2</v>
      </c>
    </row>
    <row r="73" spans="1:11" x14ac:dyDescent="0.25">
      <c r="A73" s="31">
        <v>68</v>
      </c>
      <c r="B73" s="31" t="str">
        <f t="shared" si="2"/>
        <v>60-69</v>
      </c>
      <c r="C73" s="31">
        <v>2</v>
      </c>
      <c r="D73" s="31">
        <v>120</v>
      </c>
      <c r="E73" s="31">
        <v>211</v>
      </c>
      <c r="F73" s="31">
        <v>0</v>
      </c>
      <c r="G73" s="31">
        <v>0</v>
      </c>
      <c r="H73" s="31">
        <v>115</v>
      </c>
      <c r="I73" s="31">
        <v>0</v>
      </c>
      <c r="J73" s="31">
        <v>1</v>
      </c>
      <c r="K73" s="31">
        <v>2</v>
      </c>
    </row>
  </sheetData>
  <conditionalFormatting sqref="D1:D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5"/>
  <sheetViews>
    <sheetView zoomScale="150" zoomScaleNormal="150" workbookViewId="0">
      <selection activeCell="B2" sqref="B2"/>
    </sheetView>
  </sheetViews>
  <sheetFormatPr defaultRowHeight="15" x14ac:dyDescent="0.25"/>
  <cols>
    <col min="1" max="11" width="9.140625" style="28"/>
    <col min="13" max="13" width="11.28515625" bestFit="1" customWidth="1"/>
  </cols>
  <sheetData>
    <row r="1" spans="1:17" x14ac:dyDescent="0.25">
      <c r="A1" s="32" t="s">
        <v>0</v>
      </c>
      <c r="B1" s="32" t="s">
        <v>107</v>
      </c>
      <c r="C1" s="32" t="s">
        <v>10</v>
      </c>
      <c r="D1" s="32" t="s">
        <v>9</v>
      </c>
      <c r="E1" s="32" t="s">
        <v>2</v>
      </c>
      <c r="F1" s="32" t="s">
        <v>3</v>
      </c>
      <c r="G1" s="32" t="s">
        <v>4</v>
      </c>
      <c r="H1" s="32" t="s">
        <v>11</v>
      </c>
      <c r="I1" s="32" t="s">
        <v>5</v>
      </c>
      <c r="J1" s="32" t="s">
        <v>6</v>
      </c>
      <c r="K1" s="32" t="s">
        <v>7</v>
      </c>
    </row>
    <row r="2" spans="1:17" x14ac:dyDescent="0.25">
      <c r="A2" s="34">
        <v>55</v>
      </c>
      <c r="B2" s="30" t="str">
        <f>IF(A2&lt;30,"20-29",IF(A2&lt;40,"30-39",IF(A2&lt;50,"40-49",IF(A2&lt;60,"50-59",IF(A2&lt;70,"60-69",IF(A2&lt;80,"70+"))))))</f>
        <v>50-59</v>
      </c>
      <c r="C2" s="30">
        <v>0</v>
      </c>
      <c r="D2" s="30">
        <v>132</v>
      </c>
      <c r="E2" s="30">
        <v>353</v>
      </c>
      <c r="F2" s="30">
        <v>0</v>
      </c>
      <c r="G2" s="30">
        <v>1</v>
      </c>
      <c r="H2" s="30">
        <v>132</v>
      </c>
      <c r="I2" s="30">
        <v>1</v>
      </c>
      <c r="J2" s="30">
        <v>1</v>
      </c>
      <c r="K2" s="30">
        <v>3</v>
      </c>
      <c r="M2" s="4" t="s">
        <v>23</v>
      </c>
      <c r="N2" s="4" t="s">
        <v>24</v>
      </c>
      <c r="O2" s="4" t="s">
        <v>25</v>
      </c>
      <c r="P2" s="4" t="s">
        <v>26</v>
      </c>
      <c r="Q2" s="4" t="s">
        <v>27</v>
      </c>
    </row>
    <row r="3" spans="1:17" x14ac:dyDescent="0.25">
      <c r="A3" s="34">
        <v>57</v>
      </c>
      <c r="B3" s="30" t="str">
        <f t="shared" ref="B3:B66" si="0">IF(A3&lt;30,"20-29",IF(A3&lt;40,"30-39",IF(A3&lt;50,"40-49",IF(A3&lt;60,"50-59",IF(A3&lt;70,"60-69",IF(A3&lt;80,"70+"))))))</f>
        <v>50-59</v>
      </c>
      <c r="C3" s="30">
        <v>0</v>
      </c>
      <c r="D3" s="30">
        <v>110</v>
      </c>
      <c r="E3" s="30">
        <v>335</v>
      </c>
      <c r="F3" s="30">
        <v>0</v>
      </c>
      <c r="G3" s="30">
        <v>1</v>
      </c>
      <c r="H3" s="30">
        <v>143</v>
      </c>
      <c r="I3" s="30">
        <v>1</v>
      </c>
      <c r="J3" s="30">
        <v>1</v>
      </c>
      <c r="K3" s="30">
        <v>3</v>
      </c>
      <c r="M3" s="5" t="s">
        <v>28</v>
      </c>
      <c r="N3" s="6">
        <f>AVERAGE(A:A)</f>
        <v>56.087719298245617</v>
      </c>
      <c r="O3" s="6">
        <f>_xlfn.STDEV.P(A:A)</f>
        <v>8.3482968149605341</v>
      </c>
      <c r="P3" s="6">
        <f>MIN(A:A)</f>
        <v>35</v>
      </c>
      <c r="Q3" s="6">
        <f>MAX(A:A)</f>
        <v>77</v>
      </c>
    </row>
    <row r="4" spans="1:17" x14ac:dyDescent="0.25">
      <c r="A4" s="34">
        <v>64</v>
      </c>
      <c r="B4" s="30" t="str">
        <f t="shared" si="0"/>
        <v>60-69</v>
      </c>
      <c r="C4" s="30">
        <v>2</v>
      </c>
      <c r="D4" s="30">
        <v>140</v>
      </c>
      <c r="E4" s="30">
        <v>335</v>
      </c>
      <c r="F4" s="30">
        <v>0</v>
      </c>
      <c r="G4" s="30">
        <v>1</v>
      </c>
      <c r="H4" s="30">
        <v>158</v>
      </c>
      <c r="I4" s="30">
        <v>0</v>
      </c>
      <c r="J4" s="30">
        <v>2</v>
      </c>
      <c r="K4" s="30">
        <v>2</v>
      </c>
      <c r="M4" s="5" t="s">
        <v>29</v>
      </c>
      <c r="N4" s="6">
        <f>AVERAGE(D:D)</f>
        <v>131.92982456140351</v>
      </c>
      <c r="O4" s="6">
        <f>_xlfn.STDEV.P(D:D)</f>
        <v>17.141679633891648</v>
      </c>
      <c r="P4" s="6">
        <f>MIN(D:D)</f>
        <v>100</v>
      </c>
      <c r="Q4" s="6">
        <f>MAX(D:D)</f>
        <v>192</v>
      </c>
    </row>
    <row r="5" spans="1:17" x14ac:dyDescent="0.25">
      <c r="A5" s="33">
        <v>63</v>
      </c>
      <c r="B5" s="30" t="str">
        <f t="shared" si="0"/>
        <v>60-69</v>
      </c>
      <c r="C5" s="31">
        <v>0</v>
      </c>
      <c r="D5" s="31">
        <v>130</v>
      </c>
      <c r="E5" s="31">
        <v>330</v>
      </c>
      <c r="F5" s="31">
        <v>1</v>
      </c>
      <c r="G5" s="31">
        <v>0</v>
      </c>
      <c r="H5" s="31">
        <v>132</v>
      </c>
      <c r="I5" s="31">
        <v>1</v>
      </c>
      <c r="J5" s="31">
        <v>2</v>
      </c>
      <c r="K5" s="31">
        <v>3</v>
      </c>
      <c r="M5" s="5" t="s">
        <v>30</v>
      </c>
      <c r="N5" s="6">
        <f>AVERAGE(E:E)</f>
        <v>246.06140350877192</v>
      </c>
      <c r="O5" s="6">
        <f>_xlfn.STDEV.P(E:E)</f>
        <v>45.239379889284571</v>
      </c>
      <c r="P5" s="6">
        <f>MIN(E:E)</f>
        <v>131</v>
      </c>
      <c r="Q5" s="6">
        <f>MAX(E:E)</f>
        <v>353</v>
      </c>
    </row>
    <row r="6" spans="1:17" x14ac:dyDescent="0.25">
      <c r="A6" s="34">
        <v>59</v>
      </c>
      <c r="B6" s="30" t="str">
        <f t="shared" si="0"/>
        <v>50-59</v>
      </c>
      <c r="C6" s="30">
        <v>0</v>
      </c>
      <c r="D6" s="30">
        <v>170</v>
      </c>
      <c r="E6" s="30">
        <v>326</v>
      </c>
      <c r="F6" s="30">
        <v>0</v>
      </c>
      <c r="G6" s="30">
        <v>0</v>
      </c>
      <c r="H6" s="30">
        <v>140</v>
      </c>
      <c r="I6" s="30">
        <v>1</v>
      </c>
      <c r="J6" s="30">
        <v>0</v>
      </c>
      <c r="K6" s="30">
        <v>3</v>
      </c>
      <c r="M6" s="5" t="s">
        <v>31</v>
      </c>
      <c r="N6" s="6">
        <f>AVERAGE(H:H)</f>
        <v>138.40350877192984</v>
      </c>
      <c r="O6" s="6">
        <f>_xlfn.STDEV.P(H:H)</f>
        <v>22.981578930627457</v>
      </c>
      <c r="P6" s="6">
        <f>MIN(H:H)</f>
        <v>71</v>
      </c>
      <c r="Q6" s="6">
        <f>MAX(H:H)</f>
        <v>195</v>
      </c>
    </row>
    <row r="7" spans="1:17" x14ac:dyDescent="0.25">
      <c r="A7" s="33">
        <v>70</v>
      </c>
      <c r="B7" s="30" t="str">
        <f t="shared" si="0"/>
        <v>70+</v>
      </c>
      <c r="C7" s="31">
        <v>0</v>
      </c>
      <c r="D7" s="31">
        <v>130</v>
      </c>
      <c r="E7" s="31">
        <v>322</v>
      </c>
      <c r="F7" s="31">
        <v>0</v>
      </c>
      <c r="G7" s="31">
        <v>0</v>
      </c>
      <c r="H7" s="31">
        <v>109</v>
      </c>
      <c r="I7" s="31">
        <v>0</v>
      </c>
      <c r="J7" s="31">
        <v>1</v>
      </c>
      <c r="K7" s="31">
        <v>2</v>
      </c>
    </row>
    <row r="8" spans="1:17" x14ac:dyDescent="0.25">
      <c r="A8" s="33">
        <v>58</v>
      </c>
      <c r="B8" s="30" t="str">
        <f t="shared" si="0"/>
        <v>50-59</v>
      </c>
      <c r="C8" s="31">
        <v>0</v>
      </c>
      <c r="D8" s="31">
        <v>114</v>
      </c>
      <c r="E8" s="31">
        <v>318</v>
      </c>
      <c r="F8" s="31">
        <v>0</v>
      </c>
      <c r="G8" s="31">
        <v>2</v>
      </c>
      <c r="H8" s="31">
        <v>140</v>
      </c>
      <c r="I8" s="31">
        <v>0</v>
      </c>
      <c r="J8" s="31">
        <v>0</v>
      </c>
      <c r="K8" s="31">
        <v>1</v>
      </c>
    </row>
    <row r="9" spans="1:17" x14ac:dyDescent="0.25">
      <c r="A9" s="33">
        <v>42</v>
      </c>
      <c r="B9" s="30" t="str">
        <f t="shared" si="0"/>
        <v>40-49</v>
      </c>
      <c r="C9" s="31">
        <v>0</v>
      </c>
      <c r="D9" s="31">
        <v>136</v>
      </c>
      <c r="E9" s="31">
        <v>315</v>
      </c>
      <c r="F9" s="31">
        <v>0</v>
      </c>
      <c r="G9" s="31">
        <v>1</v>
      </c>
      <c r="H9" s="31">
        <v>125</v>
      </c>
      <c r="I9" s="31">
        <v>1</v>
      </c>
      <c r="J9" s="31">
        <v>1</v>
      </c>
      <c r="K9" s="31">
        <v>1</v>
      </c>
    </row>
    <row r="10" spans="1:17" x14ac:dyDescent="0.25">
      <c r="A10" s="33">
        <v>46</v>
      </c>
      <c r="B10" s="30" t="str">
        <f t="shared" si="0"/>
        <v>40-49</v>
      </c>
      <c r="C10" s="31">
        <v>0</v>
      </c>
      <c r="D10" s="31">
        <v>140</v>
      </c>
      <c r="E10" s="31">
        <v>311</v>
      </c>
      <c r="F10" s="31">
        <v>0</v>
      </c>
      <c r="G10" s="31">
        <v>1</v>
      </c>
      <c r="H10" s="31">
        <v>120</v>
      </c>
      <c r="I10" s="31">
        <v>1</v>
      </c>
      <c r="J10" s="31">
        <v>1</v>
      </c>
      <c r="K10" s="31">
        <v>3</v>
      </c>
    </row>
    <row r="11" spans="1:17" x14ac:dyDescent="0.25">
      <c r="A11" s="33">
        <v>64</v>
      </c>
      <c r="B11" s="30" t="str">
        <f t="shared" si="0"/>
        <v>60-69</v>
      </c>
      <c r="C11" s="31">
        <v>2</v>
      </c>
      <c r="D11" s="31">
        <v>125</v>
      </c>
      <c r="E11" s="31">
        <v>309</v>
      </c>
      <c r="F11" s="31">
        <v>0</v>
      </c>
      <c r="G11" s="31">
        <v>1</v>
      </c>
      <c r="H11" s="31">
        <v>131</v>
      </c>
      <c r="I11" s="31">
        <v>1</v>
      </c>
      <c r="J11" s="31">
        <v>1</v>
      </c>
      <c r="K11" s="31">
        <v>3</v>
      </c>
    </row>
    <row r="12" spans="1:17" x14ac:dyDescent="0.25">
      <c r="A12" s="34">
        <v>45</v>
      </c>
      <c r="B12" s="30" t="str">
        <f t="shared" si="0"/>
        <v>40-49</v>
      </c>
      <c r="C12" s="30">
        <v>0</v>
      </c>
      <c r="D12" s="30">
        <v>142</v>
      </c>
      <c r="E12" s="30">
        <v>309</v>
      </c>
      <c r="F12" s="30">
        <v>0</v>
      </c>
      <c r="G12" s="30">
        <v>0</v>
      </c>
      <c r="H12" s="30">
        <v>147</v>
      </c>
      <c r="I12" s="30">
        <v>1</v>
      </c>
      <c r="J12" s="30">
        <v>1</v>
      </c>
      <c r="K12" s="30">
        <v>3</v>
      </c>
    </row>
    <row r="13" spans="1:17" x14ac:dyDescent="0.25">
      <c r="A13" s="33">
        <v>77</v>
      </c>
      <c r="B13" s="30" t="str">
        <f t="shared" si="0"/>
        <v>70+</v>
      </c>
      <c r="C13" s="31">
        <v>0</v>
      </c>
      <c r="D13" s="31">
        <v>125</v>
      </c>
      <c r="E13" s="31">
        <v>304</v>
      </c>
      <c r="F13" s="31">
        <v>0</v>
      </c>
      <c r="G13" s="31">
        <v>0</v>
      </c>
      <c r="H13" s="31">
        <v>162</v>
      </c>
      <c r="I13" s="31">
        <v>1</v>
      </c>
      <c r="J13" s="31">
        <v>2</v>
      </c>
      <c r="K13" s="31">
        <v>2</v>
      </c>
    </row>
    <row r="14" spans="1:17" x14ac:dyDescent="0.25">
      <c r="A14" s="34">
        <v>58</v>
      </c>
      <c r="B14" s="30" t="str">
        <f t="shared" si="0"/>
        <v>50-59</v>
      </c>
      <c r="C14" s="30">
        <v>0</v>
      </c>
      <c r="D14" s="30">
        <v>125</v>
      </c>
      <c r="E14" s="30">
        <v>300</v>
      </c>
      <c r="F14" s="30">
        <v>0</v>
      </c>
      <c r="G14" s="30">
        <v>0</v>
      </c>
      <c r="H14" s="30">
        <v>171</v>
      </c>
      <c r="I14" s="30">
        <v>0</v>
      </c>
      <c r="J14" s="30">
        <v>2</v>
      </c>
      <c r="K14" s="30">
        <v>3</v>
      </c>
    </row>
    <row r="15" spans="1:17" x14ac:dyDescent="0.25">
      <c r="A15" s="34">
        <v>67</v>
      </c>
      <c r="B15" s="30" t="str">
        <f t="shared" si="0"/>
        <v>60-69</v>
      </c>
      <c r="C15" s="30">
        <v>0</v>
      </c>
      <c r="D15" s="30">
        <v>100</v>
      </c>
      <c r="E15" s="30">
        <v>299</v>
      </c>
      <c r="F15" s="30">
        <v>0</v>
      </c>
      <c r="G15" s="30">
        <v>0</v>
      </c>
      <c r="H15" s="30">
        <v>125</v>
      </c>
      <c r="I15" s="30">
        <v>1</v>
      </c>
      <c r="J15" s="30">
        <v>1</v>
      </c>
      <c r="K15" s="30">
        <v>2</v>
      </c>
    </row>
    <row r="16" spans="1:17" x14ac:dyDescent="0.25">
      <c r="A16" s="33">
        <v>51</v>
      </c>
      <c r="B16" s="30" t="str">
        <f t="shared" si="0"/>
        <v>50-59</v>
      </c>
      <c r="C16" s="31">
        <v>0</v>
      </c>
      <c r="D16" s="31">
        <v>140</v>
      </c>
      <c r="E16" s="31">
        <v>299</v>
      </c>
      <c r="F16" s="31">
        <v>0</v>
      </c>
      <c r="G16" s="31">
        <v>1</v>
      </c>
      <c r="H16" s="31">
        <v>173</v>
      </c>
      <c r="I16" s="31">
        <v>1</v>
      </c>
      <c r="J16" s="31">
        <v>2</v>
      </c>
      <c r="K16" s="31">
        <v>3</v>
      </c>
    </row>
    <row r="17" spans="1:11" x14ac:dyDescent="0.25">
      <c r="A17" s="33">
        <v>51</v>
      </c>
      <c r="B17" s="30" t="str">
        <f t="shared" si="0"/>
        <v>50-59</v>
      </c>
      <c r="C17" s="31">
        <v>0</v>
      </c>
      <c r="D17" s="31">
        <v>140</v>
      </c>
      <c r="E17" s="31">
        <v>298</v>
      </c>
      <c r="F17" s="31">
        <v>0</v>
      </c>
      <c r="G17" s="31">
        <v>1</v>
      </c>
      <c r="H17" s="31">
        <v>122</v>
      </c>
      <c r="I17" s="31">
        <v>1</v>
      </c>
      <c r="J17" s="31">
        <v>1</v>
      </c>
      <c r="K17" s="31">
        <v>3</v>
      </c>
    </row>
    <row r="18" spans="1:11" x14ac:dyDescent="0.25">
      <c r="A18" s="33">
        <v>60</v>
      </c>
      <c r="B18" s="30" t="str">
        <f t="shared" si="0"/>
        <v>60-69</v>
      </c>
      <c r="C18" s="31">
        <v>0</v>
      </c>
      <c r="D18" s="31">
        <v>140</v>
      </c>
      <c r="E18" s="31">
        <v>293</v>
      </c>
      <c r="F18" s="31">
        <v>0</v>
      </c>
      <c r="G18" s="31">
        <v>0</v>
      </c>
      <c r="H18" s="31">
        <v>170</v>
      </c>
      <c r="I18" s="31">
        <v>0</v>
      </c>
      <c r="J18" s="31">
        <v>1</v>
      </c>
      <c r="K18" s="31">
        <v>3</v>
      </c>
    </row>
    <row r="19" spans="1:11" x14ac:dyDescent="0.25">
      <c r="A19" s="33">
        <v>44</v>
      </c>
      <c r="B19" s="30" t="str">
        <f t="shared" si="0"/>
        <v>40-49</v>
      </c>
      <c r="C19" s="31">
        <v>0</v>
      </c>
      <c r="D19" s="31">
        <v>112</v>
      </c>
      <c r="E19" s="31">
        <v>290</v>
      </c>
      <c r="F19" s="31">
        <v>0</v>
      </c>
      <c r="G19" s="31">
        <v>0</v>
      </c>
      <c r="H19" s="31">
        <v>153</v>
      </c>
      <c r="I19" s="31">
        <v>0</v>
      </c>
      <c r="J19" s="31">
        <v>2</v>
      </c>
      <c r="K19" s="31">
        <v>2</v>
      </c>
    </row>
    <row r="20" spans="1:11" x14ac:dyDescent="0.25">
      <c r="A20" s="34">
        <v>55</v>
      </c>
      <c r="B20" s="30" t="str">
        <f t="shared" si="0"/>
        <v>50-59</v>
      </c>
      <c r="C20" s="30">
        <v>0</v>
      </c>
      <c r="D20" s="30">
        <v>160</v>
      </c>
      <c r="E20" s="30">
        <v>289</v>
      </c>
      <c r="F20" s="30">
        <v>0</v>
      </c>
      <c r="G20" s="30">
        <v>0</v>
      </c>
      <c r="H20" s="30">
        <v>145</v>
      </c>
      <c r="I20" s="30">
        <v>1</v>
      </c>
      <c r="J20" s="30">
        <v>1</v>
      </c>
      <c r="K20" s="30">
        <v>3</v>
      </c>
    </row>
    <row r="21" spans="1:11" x14ac:dyDescent="0.25">
      <c r="A21" s="33">
        <v>57</v>
      </c>
      <c r="B21" s="30" t="str">
        <f t="shared" si="0"/>
        <v>50-59</v>
      </c>
      <c r="C21" s="31">
        <v>0</v>
      </c>
      <c r="D21" s="31">
        <v>165</v>
      </c>
      <c r="E21" s="31">
        <v>289</v>
      </c>
      <c r="F21" s="31">
        <v>1</v>
      </c>
      <c r="G21" s="31">
        <v>0</v>
      </c>
      <c r="H21" s="31">
        <v>124</v>
      </c>
      <c r="I21" s="31">
        <v>0</v>
      </c>
      <c r="J21" s="31">
        <v>1</v>
      </c>
      <c r="K21" s="31">
        <v>3</v>
      </c>
    </row>
    <row r="22" spans="1:11" x14ac:dyDescent="0.25">
      <c r="A22" s="34">
        <v>59</v>
      </c>
      <c r="B22" s="30" t="str">
        <f t="shared" si="0"/>
        <v>50-59</v>
      </c>
      <c r="C22" s="30">
        <v>3</v>
      </c>
      <c r="D22" s="30">
        <v>170</v>
      </c>
      <c r="E22" s="30">
        <v>288</v>
      </c>
      <c r="F22" s="30">
        <v>0</v>
      </c>
      <c r="G22" s="30">
        <v>0</v>
      </c>
      <c r="H22" s="30">
        <v>159</v>
      </c>
      <c r="I22" s="30">
        <v>0</v>
      </c>
      <c r="J22" s="30">
        <v>1</v>
      </c>
      <c r="K22" s="30">
        <v>3</v>
      </c>
    </row>
    <row r="23" spans="1:11" x14ac:dyDescent="0.25">
      <c r="A23" s="34">
        <v>54</v>
      </c>
      <c r="B23" s="30" t="str">
        <f t="shared" si="0"/>
        <v>50-59</v>
      </c>
      <c r="C23" s="30">
        <v>0</v>
      </c>
      <c r="D23" s="30">
        <v>122</v>
      </c>
      <c r="E23" s="30">
        <v>286</v>
      </c>
      <c r="F23" s="30">
        <v>0</v>
      </c>
      <c r="G23" s="30">
        <v>0</v>
      </c>
      <c r="H23" s="30">
        <v>116</v>
      </c>
      <c r="I23" s="30">
        <v>1</v>
      </c>
      <c r="J23" s="30">
        <v>1</v>
      </c>
      <c r="K23" s="30">
        <v>2</v>
      </c>
    </row>
    <row r="24" spans="1:11" x14ac:dyDescent="0.25">
      <c r="A24" s="33">
        <v>67</v>
      </c>
      <c r="B24" s="30" t="str">
        <f t="shared" si="0"/>
        <v>60-69</v>
      </c>
      <c r="C24" s="31">
        <v>0</v>
      </c>
      <c r="D24" s="31">
        <v>160</v>
      </c>
      <c r="E24" s="31">
        <v>286</v>
      </c>
      <c r="F24" s="31">
        <v>0</v>
      </c>
      <c r="G24" s="31">
        <v>0</v>
      </c>
      <c r="H24" s="31">
        <v>108</v>
      </c>
      <c r="I24" s="31">
        <v>1</v>
      </c>
      <c r="J24" s="31">
        <v>1</v>
      </c>
      <c r="K24" s="31">
        <v>2</v>
      </c>
    </row>
    <row r="25" spans="1:11" x14ac:dyDescent="0.25">
      <c r="A25" s="34">
        <v>58</v>
      </c>
      <c r="B25" s="30" t="str">
        <f t="shared" si="0"/>
        <v>50-59</v>
      </c>
      <c r="C25" s="30">
        <v>1</v>
      </c>
      <c r="D25" s="30">
        <v>120</v>
      </c>
      <c r="E25" s="30">
        <v>284</v>
      </c>
      <c r="F25" s="30">
        <v>0</v>
      </c>
      <c r="G25" s="30">
        <v>0</v>
      </c>
      <c r="H25" s="30">
        <v>160</v>
      </c>
      <c r="I25" s="30">
        <v>0</v>
      </c>
      <c r="J25" s="30">
        <v>1</v>
      </c>
      <c r="K25" s="30">
        <v>2</v>
      </c>
    </row>
    <row r="26" spans="1:11" x14ac:dyDescent="0.25">
      <c r="A26" s="34">
        <v>54</v>
      </c>
      <c r="B26" s="30" t="str">
        <f t="shared" si="0"/>
        <v>50-59</v>
      </c>
      <c r="C26" s="30">
        <v>1</v>
      </c>
      <c r="D26" s="30">
        <v>192</v>
      </c>
      <c r="E26" s="30">
        <v>283</v>
      </c>
      <c r="F26" s="30">
        <v>0</v>
      </c>
      <c r="G26" s="30">
        <v>0</v>
      </c>
      <c r="H26" s="30">
        <v>195</v>
      </c>
      <c r="I26" s="30">
        <v>0</v>
      </c>
      <c r="J26" s="30">
        <v>2</v>
      </c>
      <c r="K26" s="30">
        <v>3</v>
      </c>
    </row>
    <row r="27" spans="1:11" x14ac:dyDescent="0.25">
      <c r="A27" s="33">
        <v>56</v>
      </c>
      <c r="B27" s="30" t="str">
        <f t="shared" si="0"/>
        <v>50-59</v>
      </c>
      <c r="C27" s="31">
        <v>0</v>
      </c>
      <c r="D27" s="31">
        <v>130</v>
      </c>
      <c r="E27" s="31">
        <v>283</v>
      </c>
      <c r="F27" s="31">
        <v>1</v>
      </c>
      <c r="G27" s="31">
        <v>0</v>
      </c>
      <c r="H27" s="31">
        <v>103</v>
      </c>
      <c r="I27" s="31">
        <v>1</v>
      </c>
      <c r="J27" s="31">
        <v>0</v>
      </c>
      <c r="K27" s="31">
        <v>3</v>
      </c>
    </row>
    <row r="28" spans="1:11" x14ac:dyDescent="0.25">
      <c r="A28" s="33">
        <v>53</v>
      </c>
      <c r="B28" s="30" t="str">
        <f t="shared" si="0"/>
        <v>50-59</v>
      </c>
      <c r="C28" s="31">
        <v>0</v>
      </c>
      <c r="D28" s="31">
        <v>123</v>
      </c>
      <c r="E28" s="31">
        <v>282</v>
      </c>
      <c r="F28" s="31">
        <v>0</v>
      </c>
      <c r="G28" s="31">
        <v>1</v>
      </c>
      <c r="H28" s="31">
        <v>95</v>
      </c>
      <c r="I28" s="31">
        <v>1</v>
      </c>
      <c r="J28" s="31">
        <v>1</v>
      </c>
      <c r="K28" s="31">
        <v>3</v>
      </c>
    </row>
    <row r="29" spans="1:11" x14ac:dyDescent="0.25">
      <c r="A29" s="34">
        <v>65</v>
      </c>
      <c r="B29" s="30" t="str">
        <f t="shared" si="0"/>
        <v>60-69</v>
      </c>
      <c r="C29" s="30">
        <v>3</v>
      </c>
      <c r="D29" s="30">
        <v>138</v>
      </c>
      <c r="E29" s="30">
        <v>282</v>
      </c>
      <c r="F29" s="30">
        <v>1</v>
      </c>
      <c r="G29" s="30">
        <v>0</v>
      </c>
      <c r="H29" s="30">
        <v>174</v>
      </c>
      <c r="I29" s="30">
        <v>0</v>
      </c>
      <c r="J29" s="30">
        <v>1</v>
      </c>
      <c r="K29" s="30">
        <v>2</v>
      </c>
    </row>
    <row r="30" spans="1:11" x14ac:dyDescent="0.25">
      <c r="A30" s="34">
        <v>60</v>
      </c>
      <c r="B30" s="30" t="str">
        <f t="shared" si="0"/>
        <v>60-69</v>
      </c>
      <c r="C30" s="30">
        <v>0</v>
      </c>
      <c r="D30" s="30">
        <v>145</v>
      </c>
      <c r="E30" s="30">
        <v>282</v>
      </c>
      <c r="F30" s="30">
        <v>0</v>
      </c>
      <c r="G30" s="30">
        <v>0</v>
      </c>
      <c r="H30" s="30">
        <v>142</v>
      </c>
      <c r="I30" s="30">
        <v>1</v>
      </c>
      <c r="J30" s="30">
        <v>1</v>
      </c>
      <c r="K30" s="30">
        <v>3</v>
      </c>
    </row>
    <row r="31" spans="1:11" x14ac:dyDescent="0.25">
      <c r="A31" s="33">
        <v>35</v>
      </c>
      <c r="B31" s="30" t="str">
        <f t="shared" si="0"/>
        <v>30-39</v>
      </c>
      <c r="C31" s="31">
        <v>0</v>
      </c>
      <c r="D31" s="31">
        <v>126</v>
      </c>
      <c r="E31" s="31">
        <v>282</v>
      </c>
      <c r="F31" s="31">
        <v>0</v>
      </c>
      <c r="G31" s="31">
        <v>0</v>
      </c>
      <c r="H31" s="31">
        <v>156</v>
      </c>
      <c r="I31" s="31">
        <v>1</v>
      </c>
      <c r="J31" s="31">
        <v>2</v>
      </c>
      <c r="K31" s="31">
        <v>3</v>
      </c>
    </row>
    <row r="32" spans="1:11" x14ac:dyDescent="0.25">
      <c r="A32" s="33">
        <v>62</v>
      </c>
      <c r="B32" s="30" t="str">
        <f t="shared" si="0"/>
        <v>60-69</v>
      </c>
      <c r="C32" s="31">
        <v>1</v>
      </c>
      <c r="D32" s="31">
        <v>120</v>
      </c>
      <c r="E32" s="31">
        <v>281</v>
      </c>
      <c r="F32" s="31">
        <v>0</v>
      </c>
      <c r="G32" s="31">
        <v>0</v>
      </c>
      <c r="H32" s="31">
        <v>103</v>
      </c>
      <c r="I32" s="31">
        <v>0</v>
      </c>
      <c r="J32" s="31">
        <v>1</v>
      </c>
      <c r="K32" s="31">
        <v>3</v>
      </c>
    </row>
    <row r="33" spans="1:11" x14ac:dyDescent="0.25">
      <c r="A33" s="33">
        <v>57</v>
      </c>
      <c r="B33" s="30" t="str">
        <f t="shared" si="0"/>
        <v>50-59</v>
      </c>
      <c r="C33" s="31">
        <v>0</v>
      </c>
      <c r="D33" s="31">
        <v>150</v>
      </c>
      <c r="E33" s="31">
        <v>276</v>
      </c>
      <c r="F33" s="31">
        <v>0</v>
      </c>
      <c r="G33" s="31">
        <v>0</v>
      </c>
      <c r="H33" s="31">
        <v>112</v>
      </c>
      <c r="I33" s="31">
        <v>1</v>
      </c>
      <c r="J33" s="31">
        <v>1</v>
      </c>
      <c r="K33" s="31">
        <v>1</v>
      </c>
    </row>
    <row r="34" spans="1:11" x14ac:dyDescent="0.25">
      <c r="A34" s="33">
        <v>47</v>
      </c>
      <c r="B34" s="30" t="str">
        <f t="shared" si="0"/>
        <v>40-49</v>
      </c>
      <c r="C34" s="31">
        <v>0</v>
      </c>
      <c r="D34" s="31">
        <v>110</v>
      </c>
      <c r="E34" s="31">
        <v>275</v>
      </c>
      <c r="F34" s="31">
        <v>0</v>
      </c>
      <c r="G34" s="31">
        <v>0</v>
      </c>
      <c r="H34" s="31">
        <v>118</v>
      </c>
      <c r="I34" s="31">
        <v>1</v>
      </c>
      <c r="J34" s="31">
        <v>1</v>
      </c>
      <c r="K34" s="31">
        <v>2</v>
      </c>
    </row>
    <row r="35" spans="1:11" x14ac:dyDescent="0.25">
      <c r="A35" s="33">
        <v>57</v>
      </c>
      <c r="B35" s="30" t="str">
        <f t="shared" si="0"/>
        <v>50-59</v>
      </c>
      <c r="C35" s="31">
        <v>0</v>
      </c>
      <c r="D35" s="31">
        <v>152</v>
      </c>
      <c r="E35" s="31">
        <v>274</v>
      </c>
      <c r="F35" s="31">
        <v>0</v>
      </c>
      <c r="G35" s="31">
        <v>1</v>
      </c>
      <c r="H35" s="31">
        <v>88</v>
      </c>
      <c r="I35" s="31">
        <v>1</v>
      </c>
      <c r="J35" s="31">
        <v>1</v>
      </c>
      <c r="K35" s="31">
        <v>3</v>
      </c>
    </row>
    <row r="36" spans="1:11" x14ac:dyDescent="0.25">
      <c r="A36" s="34">
        <v>48</v>
      </c>
      <c r="B36" s="30" t="str">
        <f t="shared" si="0"/>
        <v>40-49</v>
      </c>
      <c r="C36" s="30">
        <v>0</v>
      </c>
      <c r="D36" s="30">
        <v>124</v>
      </c>
      <c r="E36" s="30">
        <v>274</v>
      </c>
      <c r="F36" s="30">
        <v>0</v>
      </c>
      <c r="G36" s="30">
        <v>0</v>
      </c>
      <c r="H36" s="30">
        <v>166</v>
      </c>
      <c r="I36" s="30">
        <v>0</v>
      </c>
      <c r="J36" s="30">
        <v>1</v>
      </c>
      <c r="K36" s="30">
        <v>3</v>
      </c>
    </row>
    <row r="37" spans="1:11" x14ac:dyDescent="0.25">
      <c r="A37" s="33">
        <v>68</v>
      </c>
      <c r="B37" s="30" t="str">
        <f t="shared" si="0"/>
        <v>60-69</v>
      </c>
      <c r="C37" s="31">
        <v>2</v>
      </c>
      <c r="D37" s="31">
        <v>180</v>
      </c>
      <c r="E37" s="31">
        <v>274</v>
      </c>
      <c r="F37" s="31">
        <v>1</v>
      </c>
      <c r="G37" s="31">
        <v>0</v>
      </c>
      <c r="H37" s="31">
        <v>150</v>
      </c>
      <c r="I37" s="31">
        <v>1</v>
      </c>
      <c r="J37" s="31">
        <v>1</v>
      </c>
      <c r="K37" s="31">
        <v>3</v>
      </c>
    </row>
    <row r="38" spans="1:11" x14ac:dyDescent="0.25">
      <c r="A38" s="34">
        <v>59</v>
      </c>
      <c r="B38" s="30" t="str">
        <f t="shared" si="0"/>
        <v>50-59</v>
      </c>
      <c r="C38" s="30">
        <v>3</v>
      </c>
      <c r="D38" s="30">
        <v>160</v>
      </c>
      <c r="E38" s="30">
        <v>273</v>
      </c>
      <c r="F38" s="30">
        <v>0</v>
      </c>
      <c r="G38" s="30">
        <v>0</v>
      </c>
      <c r="H38" s="30">
        <v>125</v>
      </c>
      <c r="I38" s="30">
        <v>0</v>
      </c>
      <c r="J38" s="30">
        <v>2</v>
      </c>
      <c r="K38" s="30">
        <v>2</v>
      </c>
    </row>
    <row r="39" spans="1:11" x14ac:dyDescent="0.25">
      <c r="A39" s="33">
        <v>58</v>
      </c>
      <c r="B39" s="30" t="str">
        <f t="shared" si="0"/>
        <v>50-59</v>
      </c>
      <c r="C39" s="31">
        <v>0</v>
      </c>
      <c r="D39" s="31">
        <v>150</v>
      </c>
      <c r="E39" s="31">
        <v>270</v>
      </c>
      <c r="F39" s="31">
        <v>0</v>
      </c>
      <c r="G39" s="31">
        <v>0</v>
      </c>
      <c r="H39" s="31">
        <v>111</v>
      </c>
      <c r="I39" s="31">
        <v>1</v>
      </c>
      <c r="J39" s="31">
        <v>2</v>
      </c>
      <c r="K39" s="31">
        <v>3</v>
      </c>
    </row>
    <row r="40" spans="1:11" x14ac:dyDescent="0.25">
      <c r="A40" s="34">
        <v>70</v>
      </c>
      <c r="B40" s="30" t="str">
        <f t="shared" si="0"/>
        <v>70+</v>
      </c>
      <c r="C40" s="30">
        <v>2</v>
      </c>
      <c r="D40" s="30">
        <v>160</v>
      </c>
      <c r="E40" s="30">
        <v>269</v>
      </c>
      <c r="F40" s="30">
        <v>0</v>
      </c>
      <c r="G40" s="30">
        <v>1</v>
      </c>
      <c r="H40" s="30">
        <v>112</v>
      </c>
      <c r="I40" s="30">
        <v>1</v>
      </c>
      <c r="J40" s="30">
        <v>1</v>
      </c>
      <c r="K40" s="30">
        <v>3</v>
      </c>
    </row>
    <row r="41" spans="1:11" x14ac:dyDescent="0.25">
      <c r="A41" s="33">
        <v>62</v>
      </c>
      <c r="B41" s="30" t="str">
        <f t="shared" si="0"/>
        <v>60-69</v>
      </c>
      <c r="C41" s="31">
        <v>0</v>
      </c>
      <c r="D41" s="31">
        <v>120</v>
      </c>
      <c r="E41" s="31">
        <v>267</v>
      </c>
      <c r="F41" s="31">
        <v>0</v>
      </c>
      <c r="G41" s="31">
        <v>1</v>
      </c>
      <c r="H41" s="31">
        <v>99</v>
      </c>
      <c r="I41" s="31">
        <v>1</v>
      </c>
      <c r="J41" s="31">
        <v>1</v>
      </c>
      <c r="K41" s="31">
        <v>3</v>
      </c>
    </row>
    <row r="42" spans="1:11" x14ac:dyDescent="0.25">
      <c r="A42" s="34">
        <v>54</v>
      </c>
      <c r="B42" s="30" t="str">
        <f t="shared" si="0"/>
        <v>50-59</v>
      </c>
      <c r="C42" s="30">
        <v>0</v>
      </c>
      <c r="D42" s="30">
        <v>124</v>
      </c>
      <c r="E42" s="30">
        <v>266</v>
      </c>
      <c r="F42" s="30">
        <v>0</v>
      </c>
      <c r="G42" s="30">
        <v>0</v>
      </c>
      <c r="H42" s="30">
        <v>109</v>
      </c>
      <c r="I42" s="30">
        <v>1</v>
      </c>
      <c r="J42" s="30">
        <v>1</v>
      </c>
      <c r="K42" s="30">
        <v>3</v>
      </c>
    </row>
    <row r="43" spans="1:11" x14ac:dyDescent="0.25">
      <c r="A43" s="33">
        <v>45</v>
      </c>
      <c r="B43" s="30" t="str">
        <f t="shared" si="0"/>
        <v>40-49</v>
      </c>
      <c r="C43" s="31">
        <v>3</v>
      </c>
      <c r="D43" s="31">
        <v>110</v>
      </c>
      <c r="E43" s="31">
        <v>264</v>
      </c>
      <c r="F43" s="31">
        <v>0</v>
      </c>
      <c r="G43" s="31">
        <v>1</v>
      </c>
      <c r="H43" s="31">
        <v>132</v>
      </c>
      <c r="I43" s="31">
        <v>0</v>
      </c>
      <c r="J43" s="31">
        <v>1</v>
      </c>
      <c r="K43" s="31">
        <v>3</v>
      </c>
    </row>
    <row r="44" spans="1:11" x14ac:dyDescent="0.25">
      <c r="A44" s="34">
        <v>57</v>
      </c>
      <c r="B44" s="30" t="str">
        <f t="shared" si="0"/>
        <v>50-59</v>
      </c>
      <c r="C44" s="30">
        <v>1</v>
      </c>
      <c r="D44" s="30">
        <v>124</v>
      </c>
      <c r="E44" s="30">
        <v>261</v>
      </c>
      <c r="F44" s="30">
        <v>0</v>
      </c>
      <c r="G44" s="30">
        <v>1</v>
      </c>
      <c r="H44" s="30">
        <v>141</v>
      </c>
      <c r="I44" s="30">
        <v>0</v>
      </c>
      <c r="J44" s="30">
        <v>2</v>
      </c>
      <c r="K44" s="30">
        <v>3</v>
      </c>
    </row>
    <row r="45" spans="1:11" x14ac:dyDescent="0.25">
      <c r="A45" s="34">
        <v>61</v>
      </c>
      <c r="B45" s="30" t="str">
        <f t="shared" si="0"/>
        <v>60-69</v>
      </c>
      <c r="C45" s="30">
        <v>0</v>
      </c>
      <c r="D45" s="30">
        <v>120</v>
      </c>
      <c r="E45" s="30">
        <v>260</v>
      </c>
      <c r="F45" s="30">
        <v>0</v>
      </c>
      <c r="G45" s="30">
        <v>1</v>
      </c>
      <c r="H45" s="30">
        <v>140</v>
      </c>
      <c r="I45" s="30">
        <v>1</v>
      </c>
      <c r="J45" s="30">
        <v>1</v>
      </c>
      <c r="K45" s="30">
        <v>3</v>
      </c>
    </row>
    <row r="46" spans="1:11" x14ac:dyDescent="0.25">
      <c r="A46" s="34">
        <v>58</v>
      </c>
      <c r="B46" s="30" t="str">
        <f t="shared" si="0"/>
        <v>50-59</v>
      </c>
      <c r="C46" s="30">
        <v>0</v>
      </c>
      <c r="D46" s="30">
        <v>128</v>
      </c>
      <c r="E46" s="30">
        <v>259</v>
      </c>
      <c r="F46" s="30">
        <v>0</v>
      </c>
      <c r="G46" s="30">
        <v>0</v>
      </c>
      <c r="H46" s="30">
        <v>130</v>
      </c>
      <c r="I46" s="30">
        <v>1</v>
      </c>
      <c r="J46" s="30">
        <v>1</v>
      </c>
      <c r="K46" s="30">
        <v>3</v>
      </c>
    </row>
    <row r="47" spans="1:11" x14ac:dyDescent="0.25">
      <c r="A47" s="33">
        <v>60</v>
      </c>
      <c r="B47" s="30" t="str">
        <f t="shared" si="0"/>
        <v>60-69</v>
      </c>
      <c r="C47" s="31">
        <v>0</v>
      </c>
      <c r="D47" s="31">
        <v>125</v>
      </c>
      <c r="E47" s="31">
        <v>258</v>
      </c>
      <c r="F47" s="31">
        <v>0</v>
      </c>
      <c r="G47" s="31">
        <v>0</v>
      </c>
      <c r="H47" s="31">
        <v>141</v>
      </c>
      <c r="I47" s="31">
        <v>1</v>
      </c>
      <c r="J47" s="31">
        <v>1</v>
      </c>
      <c r="K47" s="31">
        <v>3</v>
      </c>
    </row>
    <row r="48" spans="1:11" x14ac:dyDescent="0.25">
      <c r="A48" s="33">
        <v>56</v>
      </c>
      <c r="B48" s="30" t="str">
        <f t="shared" si="0"/>
        <v>50-59</v>
      </c>
      <c r="C48" s="31">
        <v>2</v>
      </c>
      <c r="D48" s="31">
        <v>130</v>
      </c>
      <c r="E48" s="31">
        <v>256</v>
      </c>
      <c r="F48" s="31">
        <v>1</v>
      </c>
      <c r="G48" s="31">
        <v>0</v>
      </c>
      <c r="H48" s="31">
        <v>142</v>
      </c>
      <c r="I48" s="31">
        <v>1</v>
      </c>
      <c r="J48" s="31">
        <v>1</v>
      </c>
      <c r="K48" s="31">
        <v>1</v>
      </c>
    </row>
    <row r="49" spans="1:11" x14ac:dyDescent="0.25">
      <c r="A49" s="34">
        <v>48</v>
      </c>
      <c r="B49" s="30" t="str">
        <f t="shared" si="0"/>
        <v>40-49</v>
      </c>
      <c r="C49" s="30">
        <v>0</v>
      </c>
      <c r="D49" s="30">
        <v>130</v>
      </c>
      <c r="E49" s="30">
        <v>256</v>
      </c>
      <c r="F49" s="30">
        <v>1</v>
      </c>
      <c r="G49" s="30">
        <v>0</v>
      </c>
      <c r="H49" s="30">
        <v>150</v>
      </c>
      <c r="I49" s="30">
        <v>1</v>
      </c>
      <c r="J49" s="30">
        <v>2</v>
      </c>
      <c r="K49" s="30">
        <v>3</v>
      </c>
    </row>
    <row r="50" spans="1:11" x14ac:dyDescent="0.25">
      <c r="A50" s="33">
        <v>52</v>
      </c>
      <c r="B50" s="30" t="str">
        <f t="shared" si="0"/>
        <v>50-59</v>
      </c>
      <c r="C50" s="31">
        <v>0</v>
      </c>
      <c r="D50" s="31">
        <v>128</v>
      </c>
      <c r="E50" s="31">
        <v>255</v>
      </c>
      <c r="F50" s="31">
        <v>0</v>
      </c>
      <c r="G50" s="31">
        <v>1</v>
      </c>
      <c r="H50" s="31">
        <v>161</v>
      </c>
      <c r="I50" s="31">
        <v>1</v>
      </c>
      <c r="J50" s="31">
        <v>2</v>
      </c>
      <c r="K50" s="31">
        <v>3</v>
      </c>
    </row>
    <row r="51" spans="1:11" x14ac:dyDescent="0.25">
      <c r="A51" s="34">
        <v>67</v>
      </c>
      <c r="B51" s="30" t="str">
        <f t="shared" si="0"/>
        <v>60-69</v>
      </c>
      <c r="C51" s="30">
        <v>0</v>
      </c>
      <c r="D51" s="30">
        <v>125</v>
      </c>
      <c r="E51" s="30">
        <v>254</v>
      </c>
      <c r="F51" s="30">
        <v>1</v>
      </c>
      <c r="G51" s="30">
        <v>1</v>
      </c>
      <c r="H51" s="30">
        <v>163</v>
      </c>
      <c r="I51" s="30">
        <v>0</v>
      </c>
      <c r="J51" s="30">
        <v>1</v>
      </c>
      <c r="K51" s="30">
        <v>3</v>
      </c>
    </row>
    <row r="52" spans="1:11" x14ac:dyDescent="0.25">
      <c r="A52" s="33">
        <v>63</v>
      </c>
      <c r="B52" s="30" t="str">
        <f t="shared" si="0"/>
        <v>60-69</v>
      </c>
      <c r="C52" s="31">
        <v>0</v>
      </c>
      <c r="D52" s="31">
        <v>130</v>
      </c>
      <c r="E52" s="31">
        <v>254</v>
      </c>
      <c r="F52" s="31">
        <v>0</v>
      </c>
      <c r="G52" s="31">
        <v>0</v>
      </c>
      <c r="H52" s="31">
        <v>147</v>
      </c>
      <c r="I52" s="31">
        <v>0</v>
      </c>
      <c r="J52" s="31">
        <v>1</v>
      </c>
      <c r="K52" s="31">
        <v>3</v>
      </c>
    </row>
    <row r="53" spans="1:11" x14ac:dyDescent="0.25">
      <c r="A53" s="33">
        <v>65</v>
      </c>
      <c r="B53" s="30" t="str">
        <f t="shared" si="0"/>
        <v>60-69</v>
      </c>
      <c r="C53" s="31">
        <v>0</v>
      </c>
      <c r="D53" s="31">
        <v>135</v>
      </c>
      <c r="E53" s="31">
        <v>254</v>
      </c>
      <c r="F53" s="31">
        <v>0</v>
      </c>
      <c r="G53" s="31">
        <v>0</v>
      </c>
      <c r="H53" s="31">
        <v>127</v>
      </c>
      <c r="I53" s="31">
        <v>0</v>
      </c>
      <c r="J53" s="31">
        <v>1</v>
      </c>
      <c r="K53" s="31">
        <v>3</v>
      </c>
    </row>
    <row r="54" spans="1:11" x14ac:dyDescent="0.25">
      <c r="A54" s="33">
        <v>69</v>
      </c>
      <c r="B54" s="30" t="str">
        <f t="shared" si="0"/>
        <v>60-69</v>
      </c>
      <c r="C54" s="31">
        <v>2</v>
      </c>
      <c r="D54" s="31">
        <v>140</v>
      </c>
      <c r="E54" s="31">
        <v>254</v>
      </c>
      <c r="F54" s="31">
        <v>0</v>
      </c>
      <c r="G54" s="31">
        <v>0</v>
      </c>
      <c r="H54" s="31">
        <v>146</v>
      </c>
      <c r="I54" s="31">
        <v>0</v>
      </c>
      <c r="J54" s="31">
        <v>1</v>
      </c>
      <c r="K54" s="31">
        <v>3</v>
      </c>
    </row>
    <row r="55" spans="1:11" x14ac:dyDescent="0.25">
      <c r="A55" s="34">
        <v>60</v>
      </c>
      <c r="B55" s="30" t="str">
        <f t="shared" si="0"/>
        <v>60-69</v>
      </c>
      <c r="C55" s="30">
        <v>0</v>
      </c>
      <c r="D55" s="30">
        <v>130</v>
      </c>
      <c r="E55" s="30">
        <v>253</v>
      </c>
      <c r="F55" s="30">
        <v>0</v>
      </c>
      <c r="G55" s="30">
        <v>1</v>
      </c>
      <c r="H55" s="30">
        <v>144</v>
      </c>
      <c r="I55" s="30">
        <v>1</v>
      </c>
      <c r="J55" s="30">
        <v>2</v>
      </c>
      <c r="K55" s="30">
        <v>3</v>
      </c>
    </row>
    <row r="56" spans="1:11" x14ac:dyDescent="0.25">
      <c r="A56" s="33">
        <v>46</v>
      </c>
      <c r="B56" s="30" t="str">
        <f t="shared" si="0"/>
        <v>40-49</v>
      </c>
      <c r="C56" s="31">
        <v>0</v>
      </c>
      <c r="D56" s="31">
        <v>120</v>
      </c>
      <c r="E56" s="31">
        <v>249</v>
      </c>
      <c r="F56" s="31">
        <v>0</v>
      </c>
      <c r="G56" s="31">
        <v>0</v>
      </c>
      <c r="H56" s="31">
        <v>144</v>
      </c>
      <c r="I56" s="31">
        <v>0</v>
      </c>
      <c r="J56" s="31">
        <v>2</v>
      </c>
      <c r="K56" s="31">
        <v>3</v>
      </c>
    </row>
    <row r="57" spans="1:11" x14ac:dyDescent="0.25">
      <c r="A57" s="33">
        <v>56</v>
      </c>
      <c r="B57" s="30" t="str">
        <f t="shared" si="0"/>
        <v>50-59</v>
      </c>
      <c r="C57" s="31">
        <v>0</v>
      </c>
      <c r="D57" s="31">
        <v>125</v>
      </c>
      <c r="E57" s="31">
        <v>249</v>
      </c>
      <c r="F57" s="31">
        <v>1</v>
      </c>
      <c r="G57" s="31">
        <v>0</v>
      </c>
      <c r="H57" s="31">
        <v>144</v>
      </c>
      <c r="I57" s="31">
        <v>1</v>
      </c>
      <c r="J57" s="31">
        <v>1</v>
      </c>
      <c r="K57" s="31">
        <v>2</v>
      </c>
    </row>
    <row r="58" spans="1:11" x14ac:dyDescent="0.25">
      <c r="A58" s="34">
        <v>65</v>
      </c>
      <c r="B58" s="30" t="str">
        <f t="shared" si="0"/>
        <v>60-69</v>
      </c>
      <c r="C58" s="30">
        <v>0</v>
      </c>
      <c r="D58" s="30">
        <v>110</v>
      </c>
      <c r="E58" s="30">
        <v>248</v>
      </c>
      <c r="F58" s="30">
        <v>0</v>
      </c>
      <c r="G58" s="30">
        <v>0</v>
      </c>
      <c r="H58" s="30">
        <v>158</v>
      </c>
      <c r="I58" s="30">
        <v>0</v>
      </c>
      <c r="J58" s="30">
        <v>2</v>
      </c>
      <c r="K58" s="30">
        <v>1</v>
      </c>
    </row>
    <row r="59" spans="1:11" x14ac:dyDescent="0.25">
      <c r="A59" s="33">
        <v>43</v>
      </c>
      <c r="B59" s="30" t="str">
        <f t="shared" si="0"/>
        <v>40-49</v>
      </c>
      <c r="C59" s="31">
        <v>0</v>
      </c>
      <c r="D59" s="31">
        <v>132</v>
      </c>
      <c r="E59" s="31">
        <v>247</v>
      </c>
      <c r="F59" s="31">
        <v>1</v>
      </c>
      <c r="G59" s="31">
        <v>0</v>
      </c>
      <c r="H59" s="31">
        <v>143</v>
      </c>
      <c r="I59" s="31">
        <v>1</v>
      </c>
      <c r="J59" s="31">
        <v>1</v>
      </c>
      <c r="K59" s="31">
        <v>3</v>
      </c>
    </row>
    <row r="60" spans="1:11" x14ac:dyDescent="0.25">
      <c r="A60" s="34">
        <v>64</v>
      </c>
      <c r="B60" s="30" t="str">
        <f t="shared" si="0"/>
        <v>60-69</v>
      </c>
      <c r="C60" s="30">
        <v>0</v>
      </c>
      <c r="D60" s="30">
        <v>120</v>
      </c>
      <c r="E60" s="30">
        <v>246</v>
      </c>
      <c r="F60" s="30">
        <v>0</v>
      </c>
      <c r="G60" s="30">
        <v>0</v>
      </c>
      <c r="H60" s="30">
        <v>96</v>
      </c>
      <c r="I60" s="30">
        <v>1</v>
      </c>
      <c r="J60" s="30">
        <v>0</v>
      </c>
      <c r="K60" s="30">
        <v>2</v>
      </c>
    </row>
    <row r="61" spans="1:11" x14ac:dyDescent="0.25">
      <c r="A61" s="33">
        <v>66</v>
      </c>
      <c r="B61" s="30" t="str">
        <f t="shared" si="0"/>
        <v>60-69</v>
      </c>
      <c r="C61" s="31">
        <v>1</v>
      </c>
      <c r="D61" s="31">
        <v>160</v>
      </c>
      <c r="E61" s="31">
        <v>246</v>
      </c>
      <c r="F61" s="31">
        <v>0</v>
      </c>
      <c r="G61" s="31">
        <v>1</v>
      </c>
      <c r="H61" s="31">
        <v>120</v>
      </c>
      <c r="I61" s="31">
        <v>1</v>
      </c>
      <c r="J61" s="31">
        <v>1</v>
      </c>
      <c r="K61" s="31">
        <v>1</v>
      </c>
    </row>
    <row r="62" spans="1:11" x14ac:dyDescent="0.25">
      <c r="A62" s="34">
        <v>50</v>
      </c>
      <c r="B62" s="30" t="str">
        <f t="shared" si="0"/>
        <v>50-59</v>
      </c>
      <c r="C62" s="30">
        <v>0</v>
      </c>
      <c r="D62" s="30">
        <v>150</v>
      </c>
      <c r="E62" s="30">
        <v>243</v>
      </c>
      <c r="F62" s="30">
        <v>0</v>
      </c>
      <c r="G62" s="30">
        <v>0</v>
      </c>
      <c r="H62" s="30">
        <v>128</v>
      </c>
      <c r="I62" s="30">
        <v>0</v>
      </c>
      <c r="J62" s="30">
        <v>1</v>
      </c>
      <c r="K62" s="30">
        <v>3</v>
      </c>
    </row>
    <row r="63" spans="1:11" x14ac:dyDescent="0.25">
      <c r="A63" s="34">
        <v>47</v>
      </c>
      <c r="B63" s="30" t="str">
        <f t="shared" si="0"/>
        <v>40-49</v>
      </c>
      <c r="C63" s="30">
        <v>2</v>
      </c>
      <c r="D63" s="30">
        <v>108</v>
      </c>
      <c r="E63" s="30">
        <v>243</v>
      </c>
      <c r="F63" s="30">
        <v>0</v>
      </c>
      <c r="G63" s="30">
        <v>1</v>
      </c>
      <c r="H63" s="30">
        <v>152</v>
      </c>
      <c r="I63" s="30">
        <v>0</v>
      </c>
      <c r="J63" s="30">
        <v>2</v>
      </c>
      <c r="K63" s="30">
        <v>2</v>
      </c>
    </row>
    <row r="64" spans="1:11" x14ac:dyDescent="0.25">
      <c r="A64" s="34">
        <v>59</v>
      </c>
      <c r="B64" s="30" t="str">
        <f t="shared" si="0"/>
        <v>50-59</v>
      </c>
      <c r="C64" s="30">
        <v>0</v>
      </c>
      <c r="D64" s="30">
        <v>110</v>
      </c>
      <c r="E64" s="30">
        <v>239</v>
      </c>
      <c r="F64" s="30">
        <v>0</v>
      </c>
      <c r="G64" s="30">
        <v>0</v>
      </c>
      <c r="H64" s="30">
        <v>142</v>
      </c>
      <c r="I64" s="30">
        <v>1</v>
      </c>
      <c r="J64" s="30">
        <v>1</v>
      </c>
      <c r="K64" s="30">
        <v>3</v>
      </c>
    </row>
    <row r="65" spans="1:11" x14ac:dyDescent="0.25">
      <c r="A65" s="33">
        <v>54</v>
      </c>
      <c r="B65" s="30" t="str">
        <f t="shared" si="0"/>
        <v>50-59</v>
      </c>
      <c r="C65" s="31">
        <v>0</v>
      </c>
      <c r="D65" s="31">
        <v>110</v>
      </c>
      <c r="E65" s="31">
        <v>239</v>
      </c>
      <c r="F65" s="31">
        <v>0</v>
      </c>
      <c r="G65" s="31">
        <v>1</v>
      </c>
      <c r="H65" s="31">
        <v>126</v>
      </c>
      <c r="I65" s="31">
        <v>1</v>
      </c>
      <c r="J65" s="31">
        <v>1</v>
      </c>
      <c r="K65" s="31">
        <v>3</v>
      </c>
    </row>
    <row r="66" spans="1:11" x14ac:dyDescent="0.25">
      <c r="A66" s="33">
        <v>67</v>
      </c>
      <c r="B66" s="30" t="str">
        <f t="shared" si="0"/>
        <v>60-69</v>
      </c>
      <c r="C66" s="31">
        <v>0</v>
      </c>
      <c r="D66" s="31">
        <v>120</v>
      </c>
      <c r="E66" s="31">
        <v>237</v>
      </c>
      <c r="F66" s="31">
        <v>0</v>
      </c>
      <c r="G66" s="31">
        <v>1</v>
      </c>
      <c r="H66" s="31">
        <v>71</v>
      </c>
      <c r="I66" s="31">
        <v>0</v>
      </c>
      <c r="J66" s="31">
        <v>1</v>
      </c>
      <c r="K66" s="31">
        <v>2</v>
      </c>
    </row>
    <row r="67" spans="1:11" x14ac:dyDescent="0.25">
      <c r="A67" s="34">
        <v>61</v>
      </c>
      <c r="B67" s="30" t="str">
        <f t="shared" ref="B67:B115" si="1">IF(A67&lt;30,"20-29",IF(A67&lt;40,"30-39",IF(A67&lt;50,"40-49",IF(A67&lt;60,"50-59",IF(A67&lt;70,"60-69",IF(A67&lt;80,"70+"))))))</f>
        <v>60-69</v>
      </c>
      <c r="C67" s="30">
        <v>3</v>
      </c>
      <c r="D67" s="30">
        <v>134</v>
      </c>
      <c r="E67" s="30">
        <v>234</v>
      </c>
      <c r="F67" s="30">
        <v>0</v>
      </c>
      <c r="G67" s="30">
        <v>1</v>
      </c>
      <c r="H67" s="30">
        <v>145</v>
      </c>
      <c r="I67" s="30">
        <v>0</v>
      </c>
      <c r="J67" s="30">
        <v>1</v>
      </c>
      <c r="K67" s="30">
        <v>2</v>
      </c>
    </row>
    <row r="68" spans="1:11" x14ac:dyDescent="0.25">
      <c r="A68" s="33">
        <v>58</v>
      </c>
      <c r="B68" s="30" t="str">
        <f t="shared" si="1"/>
        <v>50-59</v>
      </c>
      <c r="C68" s="31">
        <v>0</v>
      </c>
      <c r="D68" s="31">
        <v>100</v>
      </c>
      <c r="E68" s="31">
        <v>234</v>
      </c>
      <c r="F68" s="31">
        <v>0</v>
      </c>
      <c r="G68" s="31">
        <v>1</v>
      </c>
      <c r="H68" s="31">
        <v>156</v>
      </c>
      <c r="I68" s="31">
        <v>0</v>
      </c>
      <c r="J68" s="31">
        <v>2</v>
      </c>
      <c r="K68" s="31">
        <v>3</v>
      </c>
    </row>
    <row r="69" spans="1:11" x14ac:dyDescent="0.25">
      <c r="A69" s="34">
        <v>50</v>
      </c>
      <c r="B69" s="30" t="str">
        <f t="shared" si="1"/>
        <v>50-59</v>
      </c>
      <c r="C69" s="30">
        <v>2</v>
      </c>
      <c r="D69" s="30">
        <v>140</v>
      </c>
      <c r="E69" s="30">
        <v>233</v>
      </c>
      <c r="F69" s="30">
        <v>0</v>
      </c>
      <c r="G69" s="30">
        <v>1</v>
      </c>
      <c r="H69" s="30">
        <v>163</v>
      </c>
      <c r="I69" s="30">
        <v>0</v>
      </c>
      <c r="J69" s="30">
        <v>1</v>
      </c>
      <c r="K69" s="30">
        <v>3</v>
      </c>
    </row>
    <row r="70" spans="1:11" x14ac:dyDescent="0.25">
      <c r="A70" s="33">
        <v>57</v>
      </c>
      <c r="B70" s="30" t="str">
        <f t="shared" si="1"/>
        <v>50-59</v>
      </c>
      <c r="C70" s="31">
        <v>1</v>
      </c>
      <c r="D70" s="31">
        <v>154</v>
      </c>
      <c r="E70" s="31">
        <v>232</v>
      </c>
      <c r="F70" s="31">
        <v>0</v>
      </c>
      <c r="G70" s="31">
        <v>0</v>
      </c>
      <c r="H70" s="31">
        <v>164</v>
      </c>
      <c r="I70" s="31">
        <v>0</v>
      </c>
      <c r="J70" s="31">
        <v>2</v>
      </c>
      <c r="K70" s="31">
        <v>2</v>
      </c>
    </row>
    <row r="71" spans="1:11" x14ac:dyDescent="0.25">
      <c r="A71" s="33">
        <v>46</v>
      </c>
      <c r="B71" s="30" t="str">
        <f t="shared" si="1"/>
        <v>40-49</v>
      </c>
      <c r="C71" s="31">
        <v>2</v>
      </c>
      <c r="D71" s="31">
        <v>150</v>
      </c>
      <c r="E71" s="31">
        <v>231</v>
      </c>
      <c r="F71" s="31">
        <v>0</v>
      </c>
      <c r="G71" s="31">
        <v>1</v>
      </c>
      <c r="H71" s="31">
        <v>147</v>
      </c>
      <c r="I71" s="31">
        <v>0</v>
      </c>
      <c r="J71" s="31">
        <v>1</v>
      </c>
      <c r="K71" s="31">
        <v>2</v>
      </c>
    </row>
    <row r="72" spans="1:11" x14ac:dyDescent="0.25">
      <c r="A72" s="33">
        <v>38</v>
      </c>
      <c r="B72" s="30" t="str">
        <f t="shared" si="1"/>
        <v>30-39</v>
      </c>
      <c r="C72" s="31">
        <v>3</v>
      </c>
      <c r="D72" s="31">
        <v>120</v>
      </c>
      <c r="E72" s="31">
        <v>231</v>
      </c>
      <c r="F72" s="31">
        <v>0</v>
      </c>
      <c r="G72" s="31">
        <v>1</v>
      </c>
      <c r="H72" s="31">
        <v>182</v>
      </c>
      <c r="I72" s="31">
        <v>1</v>
      </c>
      <c r="J72" s="31">
        <v>1</v>
      </c>
      <c r="K72" s="31">
        <v>3</v>
      </c>
    </row>
    <row r="73" spans="1:11" x14ac:dyDescent="0.25">
      <c r="A73" s="34">
        <v>60</v>
      </c>
      <c r="B73" s="30" t="str">
        <f t="shared" si="1"/>
        <v>60-69</v>
      </c>
      <c r="C73" s="30">
        <v>0</v>
      </c>
      <c r="D73" s="30">
        <v>117</v>
      </c>
      <c r="E73" s="30">
        <v>230</v>
      </c>
      <c r="F73" s="30">
        <v>1</v>
      </c>
      <c r="G73" s="30">
        <v>1</v>
      </c>
      <c r="H73" s="30">
        <v>160</v>
      </c>
      <c r="I73" s="30">
        <v>1</v>
      </c>
      <c r="J73" s="30">
        <v>2</v>
      </c>
      <c r="K73" s="30">
        <v>3</v>
      </c>
    </row>
    <row r="74" spans="1:11" x14ac:dyDescent="0.25">
      <c r="A74" s="33">
        <v>58</v>
      </c>
      <c r="B74" s="30" t="str">
        <f t="shared" si="1"/>
        <v>50-59</v>
      </c>
      <c r="C74" s="31">
        <v>2</v>
      </c>
      <c r="D74" s="31">
        <v>112</v>
      </c>
      <c r="E74" s="31">
        <v>230</v>
      </c>
      <c r="F74" s="31">
        <v>0</v>
      </c>
      <c r="G74" s="31">
        <v>0</v>
      </c>
      <c r="H74" s="31">
        <v>165</v>
      </c>
      <c r="I74" s="31">
        <v>0</v>
      </c>
      <c r="J74" s="31">
        <v>1</v>
      </c>
      <c r="K74" s="31">
        <v>3</v>
      </c>
    </row>
    <row r="75" spans="1:11" x14ac:dyDescent="0.25">
      <c r="A75" s="34">
        <v>52</v>
      </c>
      <c r="B75" s="30" t="str">
        <f t="shared" si="1"/>
        <v>50-59</v>
      </c>
      <c r="C75" s="30">
        <v>0</v>
      </c>
      <c r="D75" s="30">
        <v>112</v>
      </c>
      <c r="E75" s="30">
        <v>230</v>
      </c>
      <c r="F75" s="30">
        <v>0</v>
      </c>
      <c r="G75" s="30">
        <v>1</v>
      </c>
      <c r="H75" s="30">
        <v>160</v>
      </c>
      <c r="I75" s="30">
        <v>0</v>
      </c>
      <c r="J75" s="30">
        <v>2</v>
      </c>
      <c r="K75" s="30">
        <v>2</v>
      </c>
    </row>
    <row r="76" spans="1:11" x14ac:dyDescent="0.25">
      <c r="A76" s="33">
        <v>57</v>
      </c>
      <c r="B76" s="30" t="str">
        <f t="shared" si="1"/>
        <v>50-59</v>
      </c>
      <c r="C76" s="31">
        <v>2</v>
      </c>
      <c r="D76" s="31">
        <v>128</v>
      </c>
      <c r="E76" s="31">
        <v>229</v>
      </c>
      <c r="F76" s="31">
        <v>0</v>
      </c>
      <c r="G76" s="31">
        <v>0</v>
      </c>
      <c r="H76" s="31">
        <v>150</v>
      </c>
      <c r="I76" s="31">
        <v>0</v>
      </c>
      <c r="J76" s="31">
        <v>1</v>
      </c>
      <c r="K76" s="31">
        <v>3</v>
      </c>
    </row>
    <row r="77" spans="1:11" x14ac:dyDescent="0.25">
      <c r="A77" s="34">
        <v>48</v>
      </c>
      <c r="B77" s="30" t="str">
        <f t="shared" si="1"/>
        <v>40-49</v>
      </c>
      <c r="C77" s="30">
        <v>1</v>
      </c>
      <c r="D77" s="30">
        <v>110</v>
      </c>
      <c r="E77" s="30">
        <v>229</v>
      </c>
      <c r="F77" s="30">
        <v>0</v>
      </c>
      <c r="G77" s="30">
        <v>1</v>
      </c>
      <c r="H77" s="30">
        <v>168</v>
      </c>
      <c r="I77" s="30">
        <v>0</v>
      </c>
      <c r="J77" s="30">
        <v>0</v>
      </c>
      <c r="K77" s="30">
        <v>3</v>
      </c>
    </row>
    <row r="78" spans="1:11" x14ac:dyDescent="0.25">
      <c r="A78" s="34">
        <v>67</v>
      </c>
      <c r="B78" s="30" t="str">
        <f t="shared" si="1"/>
        <v>60-69</v>
      </c>
      <c r="C78" s="30">
        <v>0</v>
      </c>
      <c r="D78" s="30">
        <v>120</v>
      </c>
      <c r="E78" s="30">
        <v>229</v>
      </c>
      <c r="F78" s="30">
        <v>0</v>
      </c>
      <c r="G78" s="30">
        <v>0</v>
      </c>
      <c r="H78" s="30">
        <v>129</v>
      </c>
      <c r="I78" s="30">
        <v>1</v>
      </c>
      <c r="J78" s="30">
        <v>1</v>
      </c>
      <c r="K78" s="30">
        <v>3</v>
      </c>
    </row>
    <row r="79" spans="1:11" x14ac:dyDescent="0.25">
      <c r="A79" s="33">
        <v>58</v>
      </c>
      <c r="B79" s="30" t="str">
        <f t="shared" si="1"/>
        <v>50-59</v>
      </c>
      <c r="C79" s="31">
        <v>2</v>
      </c>
      <c r="D79" s="31">
        <v>132</v>
      </c>
      <c r="E79" s="31">
        <v>224</v>
      </c>
      <c r="F79" s="31">
        <v>0</v>
      </c>
      <c r="G79" s="31">
        <v>0</v>
      </c>
      <c r="H79" s="31">
        <v>173</v>
      </c>
      <c r="I79" s="31">
        <v>0</v>
      </c>
      <c r="J79" s="31">
        <v>2</v>
      </c>
      <c r="K79" s="31">
        <v>3</v>
      </c>
    </row>
    <row r="80" spans="1:11" x14ac:dyDescent="0.25">
      <c r="A80" s="33">
        <v>40</v>
      </c>
      <c r="B80" s="30" t="str">
        <f t="shared" si="1"/>
        <v>40-49</v>
      </c>
      <c r="C80" s="31">
        <v>0</v>
      </c>
      <c r="D80" s="31">
        <v>152</v>
      </c>
      <c r="E80" s="31">
        <v>223</v>
      </c>
      <c r="F80" s="31">
        <v>0</v>
      </c>
      <c r="G80" s="31">
        <v>1</v>
      </c>
      <c r="H80" s="31">
        <v>181</v>
      </c>
      <c r="I80" s="31">
        <v>0</v>
      </c>
      <c r="J80" s="31">
        <v>2</v>
      </c>
      <c r="K80" s="31">
        <v>3</v>
      </c>
    </row>
    <row r="81" spans="1:11" x14ac:dyDescent="0.25">
      <c r="A81" s="33">
        <v>39</v>
      </c>
      <c r="B81" s="30" t="str">
        <f t="shared" si="1"/>
        <v>30-39</v>
      </c>
      <c r="C81" s="31">
        <v>0</v>
      </c>
      <c r="D81" s="31">
        <v>118</v>
      </c>
      <c r="E81" s="31">
        <v>219</v>
      </c>
      <c r="F81" s="31">
        <v>0</v>
      </c>
      <c r="G81" s="31">
        <v>1</v>
      </c>
      <c r="H81" s="31">
        <v>140</v>
      </c>
      <c r="I81" s="31">
        <v>0</v>
      </c>
      <c r="J81" s="31">
        <v>1</v>
      </c>
      <c r="K81" s="31">
        <v>3</v>
      </c>
    </row>
    <row r="82" spans="1:11" x14ac:dyDescent="0.25">
      <c r="A82" s="33">
        <v>59</v>
      </c>
      <c r="B82" s="30" t="str">
        <f t="shared" si="1"/>
        <v>50-59</v>
      </c>
      <c r="C82" s="31">
        <v>2</v>
      </c>
      <c r="D82" s="31">
        <v>126</v>
      </c>
      <c r="E82" s="31">
        <v>218</v>
      </c>
      <c r="F82" s="31">
        <v>1</v>
      </c>
      <c r="G82" s="31">
        <v>1</v>
      </c>
      <c r="H82" s="31">
        <v>134</v>
      </c>
      <c r="I82" s="31">
        <v>0</v>
      </c>
      <c r="J82" s="31">
        <v>1</v>
      </c>
      <c r="K82" s="31">
        <v>1</v>
      </c>
    </row>
    <row r="83" spans="1:11" x14ac:dyDescent="0.25">
      <c r="A83" s="34">
        <v>58</v>
      </c>
      <c r="B83" s="30" t="str">
        <f t="shared" si="1"/>
        <v>50-59</v>
      </c>
      <c r="C83" s="30">
        <v>0</v>
      </c>
      <c r="D83" s="30">
        <v>146</v>
      </c>
      <c r="E83" s="30">
        <v>218</v>
      </c>
      <c r="F83" s="30">
        <v>0</v>
      </c>
      <c r="G83" s="30">
        <v>1</v>
      </c>
      <c r="H83" s="30">
        <v>105</v>
      </c>
      <c r="I83" s="30">
        <v>0</v>
      </c>
      <c r="J83" s="30">
        <v>1</v>
      </c>
      <c r="K83" s="30">
        <v>3</v>
      </c>
    </row>
    <row r="84" spans="1:11" x14ac:dyDescent="0.25">
      <c r="A84" s="33">
        <v>55</v>
      </c>
      <c r="B84" s="30" t="str">
        <f t="shared" si="1"/>
        <v>50-59</v>
      </c>
      <c r="C84" s="31">
        <v>0</v>
      </c>
      <c r="D84" s="31">
        <v>140</v>
      </c>
      <c r="E84" s="31">
        <v>217</v>
      </c>
      <c r="F84" s="31">
        <v>0</v>
      </c>
      <c r="G84" s="31">
        <v>1</v>
      </c>
      <c r="H84" s="31">
        <v>111</v>
      </c>
      <c r="I84" s="31">
        <v>1</v>
      </c>
      <c r="J84" s="31">
        <v>0</v>
      </c>
      <c r="K84" s="31">
        <v>3</v>
      </c>
    </row>
    <row r="85" spans="1:11" x14ac:dyDescent="0.25">
      <c r="A85" s="33">
        <v>58</v>
      </c>
      <c r="B85" s="30" t="str">
        <f t="shared" si="1"/>
        <v>50-59</v>
      </c>
      <c r="C85" s="31">
        <v>0</v>
      </c>
      <c r="D85" s="31">
        <v>128</v>
      </c>
      <c r="E85" s="31">
        <v>216</v>
      </c>
      <c r="F85" s="31">
        <v>0</v>
      </c>
      <c r="G85" s="31">
        <v>0</v>
      </c>
      <c r="H85" s="31">
        <v>131</v>
      </c>
      <c r="I85" s="31">
        <v>1</v>
      </c>
      <c r="J85" s="31">
        <v>1</v>
      </c>
      <c r="K85" s="31">
        <v>3</v>
      </c>
    </row>
    <row r="86" spans="1:11" x14ac:dyDescent="0.25">
      <c r="A86" s="34">
        <v>52</v>
      </c>
      <c r="B86" s="30" t="str">
        <f t="shared" si="1"/>
        <v>50-59</v>
      </c>
      <c r="C86" s="30">
        <v>0</v>
      </c>
      <c r="D86" s="30">
        <v>125</v>
      </c>
      <c r="E86" s="30">
        <v>212</v>
      </c>
      <c r="F86" s="30">
        <v>0</v>
      </c>
      <c r="G86" s="30">
        <v>1</v>
      </c>
      <c r="H86" s="30">
        <v>168</v>
      </c>
      <c r="I86" s="30">
        <v>0</v>
      </c>
      <c r="J86" s="30">
        <v>2</v>
      </c>
      <c r="K86" s="30">
        <v>3</v>
      </c>
    </row>
    <row r="87" spans="1:11" x14ac:dyDescent="0.25">
      <c r="A87" s="33">
        <v>67</v>
      </c>
      <c r="B87" s="30" t="str">
        <f t="shared" si="1"/>
        <v>60-69</v>
      </c>
      <c r="C87" s="31">
        <v>2</v>
      </c>
      <c r="D87" s="31">
        <v>152</v>
      </c>
      <c r="E87" s="31">
        <v>212</v>
      </c>
      <c r="F87" s="31">
        <v>0</v>
      </c>
      <c r="G87" s="31">
        <v>0</v>
      </c>
      <c r="H87" s="31">
        <v>150</v>
      </c>
      <c r="I87" s="31">
        <v>0</v>
      </c>
      <c r="J87" s="31">
        <v>1</v>
      </c>
      <c r="K87" s="31">
        <v>3</v>
      </c>
    </row>
    <row r="88" spans="1:11" x14ac:dyDescent="0.25">
      <c r="A88" s="34">
        <v>64</v>
      </c>
      <c r="B88" s="30" t="str">
        <f t="shared" si="1"/>
        <v>60-69</v>
      </c>
      <c r="C88" s="30">
        <v>0</v>
      </c>
      <c r="D88" s="30">
        <v>145</v>
      </c>
      <c r="E88" s="30">
        <v>212</v>
      </c>
      <c r="F88" s="30">
        <v>0</v>
      </c>
      <c r="G88" s="30">
        <v>0</v>
      </c>
      <c r="H88" s="30">
        <v>132</v>
      </c>
      <c r="I88" s="30">
        <v>0</v>
      </c>
      <c r="J88" s="30">
        <v>1</v>
      </c>
      <c r="K88" s="30">
        <v>1</v>
      </c>
    </row>
    <row r="89" spans="1:11" x14ac:dyDescent="0.25">
      <c r="A89" s="33">
        <v>66</v>
      </c>
      <c r="B89" s="30" t="str">
        <f t="shared" si="1"/>
        <v>60-69</v>
      </c>
      <c r="C89" s="31">
        <v>0</v>
      </c>
      <c r="D89" s="31">
        <v>112</v>
      </c>
      <c r="E89" s="31">
        <v>212</v>
      </c>
      <c r="F89" s="31">
        <v>0</v>
      </c>
      <c r="G89" s="31">
        <v>0</v>
      </c>
      <c r="H89" s="31">
        <v>132</v>
      </c>
      <c r="I89" s="31">
        <v>1</v>
      </c>
      <c r="J89" s="31">
        <v>2</v>
      </c>
      <c r="K89" s="31">
        <v>2</v>
      </c>
    </row>
    <row r="90" spans="1:11" x14ac:dyDescent="0.25">
      <c r="A90" s="33">
        <v>61</v>
      </c>
      <c r="B90" s="30" t="str">
        <f t="shared" si="1"/>
        <v>60-69</v>
      </c>
      <c r="C90" s="31">
        <v>0</v>
      </c>
      <c r="D90" s="31">
        <v>140</v>
      </c>
      <c r="E90" s="31">
        <v>207</v>
      </c>
      <c r="F90" s="31">
        <v>0</v>
      </c>
      <c r="G90" s="31">
        <v>0</v>
      </c>
      <c r="H90" s="31">
        <v>138</v>
      </c>
      <c r="I90" s="31">
        <v>1</v>
      </c>
      <c r="J90" s="31">
        <v>2</v>
      </c>
      <c r="K90" s="31">
        <v>3</v>
      </c>
    </row>
    <row r="91" spans="1:11" x14ac:dyDescent="0.25">
      <c r="A91" s="33">
        <v>54</v>
      </c>
      <c r="B91" s="30" t="str">
        <f t="shared" si="1"/>
        <v>50-59</v>
      </c>
      <c r="C91" s="31">
        <v>0</v>
      </c>
      <c r="D91" s="31">
        <v>110</v>
      </c>
      <c r="E91" s="31">
        <v>206</v>
      </c>
      <c r="F91" s="31">
        <v>0</v>
      </c>
      <c r="G91" s="31">
        <v>0</v>
      </c>
      <c r="H91" s="31">
        <v>108</v>
      </c>
      <c r="I91" s="31">
        <v>1</v>
      </c>
      <c r="J91" s="31">
        <v>1</v>
      </c>
      <c r="K91" s="31">
        <v>2</v>
      </c>
    </row>
    <row r="92" spans="1:11" x14ac:dyDescent="0.25">
      <c r="A92" s="33">
        <v>60</v>
      </c>
      <c r="B92" s="30" t="str">
        <f t="shared" si="1"/>
        <v>60-69</v>
      </c>
      <c r="C92" s="31">
        <v>0</v>
      </c>
      <c r="D92" s="31">
        <v>130</v>
      </c>
      <c r="E92" s="31">
        <v>206</v>
      </c>
      <c r="F92" s="31">
        <v>0</v>
      </c>
      <c r="G92" s="31">
        <v>0</v>
      </c>
      <c r="H92" s="31">
        <v>132</v>
      </c>
      <c r="I92" s="31">
        <v>1</v>
      </c>
      <c r="J92" s="31">
        <v>1</v>
      </c>
      <c r="K92" s="31">
        <v>3</v>
      </c>
    </row>
    <row r="93" spans="1:11" x14ac:dyDescent="0.25">
      <c r="A93" s="33">
        <v>52</v>
      </c>
      <c r="B93" s="30" t="str">
        <f t="shared" si="1"/>
        <v>50-59</v>
      </c>
      <c r="C93" s="31">
        <v>0</v>
      </c>
      <c r="D93" s="31">
        <v>128</v>
      </c>
      <c r="E93" s="31">
        <v>204</v>
      </c>
      <c r="F93" s="31">
        <v>1</v>
      </c>
      <c r="G93" s="31">
        <v>1</v>
      </c>
      <c r="H93" s="31">
        <v>156</v>
      </c>
      <c r="I93" s="31">
        <v>1</v>
      </c>
      <c r="J93" s="31">
        <v>1</v>
      </c>
      <c r="K93" s="31">
        <v>0</v>
      </c>
    </row>
    <row r="94" spans="1:11" x14ac:dyDescent="0.25">
      <c r="A94" s="34">
        <v>59</v>
      </c>
      <c r="B94" s="30" t="str">
        <f t="shared" si="1"/>
        <v>50-59</v>
      </c>
      <c r="C94" s="30">
        <v>3</v>
      </c>
      <c r="D94" s="30">
        <v>134</v>
      </c>
      <c r="E94" s="30">
        <v>204</v>
      </c>
      <c r="F94" s="30">
        <v>0</v>
      </c>
      <c r="G94" s="30">
        <v>1</v>
      </c>
      <c r="H94" s="30">
        <v>162</v>
      </c>
      <c r="I94" s="30">
        <v>0</v>
      </c>
      <c r="J94" s="30">
        <v>2</v>
      </c>
      <c r="K94" s="30">
        <v>2</v>
      </c>
    </row>
    <row r="95" spans="1:11" x14ac:dyDescent="0.25">
      <c r="A95" s="33">
        <v>53</v>
      </c>
      <c r="B95" s="30" t="str">
        <f t="shared" si="1"/>
        <v>50-59</v>
      </c>
      <c r="C95" s="31">
        <v>0</v>
      </c>
      <c r="D95" s="31">
        <v>140</v>
      </c>
      <c r="E95" s="31">
        <v>203</v>
      </c>
      <c r="F95" s="31">
        <v>1</v>
      </c>
      <c r="G95" s="31">
        <v>0</v>
      </c>
      <c r="H95" s="31">
        <v>155</v>
      </c>
      <c r="I95" s="31">
        <v>1</v>
      </c>
      <c r="J95" s="31">
        <v>0</v>
      </c>
      <c r="K95" s="31">
        <v>3</v>
      </c>
    </row>
    <row r="96" spans="1:11" x14ac:dyDescent="0.25">
      <c r="A96" s="34">
        <v>61</v>
      </c>
      <c r="B96" s="30" t="str">
        <f t="shared" si="1"/>
        <v>60-69</v>
      </c>
      <c r="C96" s="30">
        <v>0</v>
      </c>
      <c r="D96" s="30">
        <v>148</v>
      </c>
      <c r="E96" s="30">
        <v>203</v>
      </c>
      <c r="F96" s="30">
        <v>0</v>
      </c>
      <c r="G96" s="30">
        <v>1</v>
      </c>
      <c r="H96" s="30">
        <v>161</v>
      </c>
      <c r="I96" s="30">
        <v>0</v>
      </c>
      <c r="J96" s="30">
        <v>2</v>
      </c>
      <c r="K96" s="30">
        <v>3</v>
      </c>
    </row>
    <row r="97" spans="1:11" x14ac:dyDescent="0.25">
      <c r="A97" s="33">
        <v>50</v>
      </c>
      <c r="B97" s="30" t="str">
        <f t="shared" si="1"/>
        <v>50-59</v>
      </c>
      <c r="C97" s="31">
        <v>0</v>
      </c>
      <c r="D97" s="31">
        <v>144</v>
      </c>
      <c r="E97" s="31">
        <v>200</v>
      </c>
      <c r="F97" s="31">
        <v>0</v>
      </c>
      <c r="G97" s="31">
        <v>0</v>
      </c>
      <c r="H97" s="31">
        <v>126</v>
      </c>
      <c r="I97" s="31">
        <v>1</v>
      </c>
      <c r="J97" s="31">
        <v>1</v>
      </c>
      <c r="K97" s="31">
        <v>3</v>
      </c>
    </row>
    <row r="98" spans="1:11" x14ac:dyDescent="0.25">
      <c r="A98" s="34">
        <v>35</v>
      </c>
      <c r="B98" s="30" t="str">
        <f t="shared" si="1"/>
        <v>30-39</v>
      </c>
      <c r="C98" s="30">
        <v>0</v>
      </c>
      <c r="D98" s="30">
        <v>120</v>
      </c>
      <c r="E98" s="30">
        <v>198</v>
      </c>
      <c r="F98" s="30">
        <v>0</v>
      </c>
      <c r="G98" s="30">
        <v>1</v>
      </c>
      <c r="H98" s="30">
        <v>130</v>
      </c>
      <c r="I98" s="30">
        <v>1</v>
      </c>
      <c r="J98" s="30">
        <v>1</v>
      </c>
      <c r="K98" s="30">
        <v>3</v>
      </c>
    </row>
    <row r="99" spans="1:11" x14ac:dyDescent="0.25">
      <c r="A99" s="34">
        <v>44</v>
      </c>
      <c r="B99" s="30" t="str">
        <f t="shared" si="1"/>
        <v>40-49</v>
      </c>
      <c r="C99" s="30">
        <v>0</v>
      </c>
      <c r="D99" s="30">
        <v>110</v>
      </c>
      <c r="E99" s="30">
        <v>197</v>
      </c>
      <c r="F99" s="30">
        <v>0</v>
      </c>
      <c r="G99" s="30">
        <v>0</v>
      </c>
      <c r="H99" s="30">
        <v>177</v>
      </c>
      <c r="I99" s="30">
        <v>0</v>
      </c>
      <c r="J99" s="30">
        <v>2</v>
      </c>
      <c r="K99" s="30">
        <v>2</v>
      </c>
    </row>
    <row r="100" spans="1:11" x14ac:dyDescent="0.25">
      <c r="A100" s="34">
        <v>68</v>
      </c>
      <c r="B100" s="30" t="str">
        <f t="shared" si="1"/>
        <v>60-69</v>
      </c>
      <c r="C100" s="30">
        <v>0</v>
      </c>
      <c r="D100" s="30">
        <v>144</v>
      </c>
      <c r="E100" s="30">
        <v>193</v>
      </c>
      <c r="F100" s="30">
        <v>1</v>
      </c>
      <c r="G100" s="30">
        <v>1</v>
      </c>
      <c r="H100" s="30">
        <v>141</v>
      </c>
      <c r="I100" s="30">
        <v>0</v>
      </c>
      <c r="J100" s="30">
        <v>1</v>
      </c>
      <c r="K100" s="30">
        <v>3</v>
      </c>
    </row>
    <row r="101" spans="1:11" x14ac:dyDescent="0.25">
      <c r="A101" s="33">
        <v>49</v>
      </c>
      <c r="B101" s="30" t="str">
        <f t="shared" si="1"/>
        <v>40-49</v>
      </c>
      <c r="C101" s="31">
        <v>2</v>
      </c>
      <c r="D101" s="31">
        <v>120</v>
      </c>
      <c r="E101" s="31">
        <v>188</v>
      </c>
      <c r="F101" s="31">
        <v>0</v>
      </c>
      <c r="G101" s="31">
        <v>1</v>
      </c>
      <c r="H101" s="31">
        <v>139</v>
      </c>
      <c r="I101" s="31">
        <v>0</v>
      </c>
      <c r="J101" s="31">
        <v>1</v>
      </c>
      <c r="K101" s="31">
        <v>3</v>
      </c>
    </row>
    <row r="102" spans="1:11" x14ac:dyDescent="0.25">
      <c r="A102" s="34">
        <v>54</v>
      </c>
      <c r="B102" s="30" t="str">
        <f t="shared" si="1"/>
        <v>50-59</v>
      </c>
      <c r="C102" s="30">
        <v>0</v>
      </c>
      <c r="D102" s="30">
        <v>120</v>
      </c>
      <c r="E102" s="30">
        <v>188</v>
      </c>
      <c r="F102" s="30">
        <v>0</v>
      </c>
      <c r="G102" s="30">
        <v>1</v>
      </c>
      <c r="H102" s="30">
        <v>113</v>
      </c>
      <c r="I102" s="30">
        <v>0</v>
      </c>
      <c r="J102" s="30">
        <v>1</v>
      </c>
      <c r="K102" s="30">
        <v>3</v>
      </c>
    </row>
    <row r="103" spans="1:11" x14ac:dyDescent="0.25">
      <c r="A103" s="34">
        <v>63</v>
      </c>
      <c r="B103" s="30" t="str">
        <f t="shared" si="1"/>
        <v>60-69</v>
      </c>
      <c r="C103" s="30">
        <v>0</v>
      </c>
      <c r="D103" s="30">
        <v>140</v>
      </c>
      <c r="E103" s="30">
        <v>187</v>
      </c>
      <c r="F103" s="30">
        <v>0</v>
      </c>
      <c r="G103" s="30">
        <v>0</v>
      </c>
      <c r="H103" s="30">
        <v>144</v>
      </c>
      <c r="I103" s="30">
        <v>1</v>
      </c>
      <c r="J103" s="30">
        <v>2</v>
      </c>
      <c r="K103" s="30">
        <v>3</v>
      </c>
    </row>
    <row r="104" spans="1:11" x14ac:dyDescent="0.25">
      <c r="A104" s="34">
        <v>60</v>
      </c>
      <c r="B104" s="30" t="str">
        <f t="shared" si="1"/>
        <v>60-69</v>
      </c>
      <c r="C104" s="30">
        <v>2</v>
      </c>
      <c r="D104" s="30">
        <v>140</v>
      </c>
      <c r="E104" s="30">
        <v>185</v>
      </c>
      <c r="F104" s="30">
        <v>0</v>
      </c>
      <c r="G104" s="30">
        <v>0</v>
      </c>
      <c r="H104" s="30">
        <v>155</v>
      </c>
      <c r="I104" s="30">
        <v>0</v>
      </c>
      <c r="J104" s="30">
        <v>1</v>
      </c>
      <c r="K104" s="30">
        <v>2</v>
      </c>
    </row>
    <row r="105" spans="1:11" x14ac:dyDescent="0.25">
      <c r="A105" s="33">
        <v>56</v>
      </c>
      <c r="B105" s="30" t="str">
        <f t="shared" si="1"/>
        <v>50-59</v>
      </c>
      <c r="C105" s="31">
        <v>0</v>
      </c>
      <c r="D105" s="31">
        <v>132</v>
      </c>
      <c r="E105" s="31">
        <v>184</v>
      </c>
      <c r="F105" s="31">
        <v>0</v>
      </c>
      <c r="G105" s="31">
        <v>0</v>
      </c>
      <c r="H105" s="31">
        <v>105</v>
      </c>
      <c r="I105" s="31">
        <v>1</v>
      </c>
      <c r="J105" s="31">
        <v>1</v>
      </c>
      <c r="K105" s="31">
        <v>1</v>
      </c>
    </row>
    <row r="106" spans="1:11" x14ac:dyDescent="0.25">
      <c r="A106" s="34">
        <v>59</v>
      </c>
      <c r="B106" s="30" t="str">
        <f t="shared" si="1"/>
        <v>50-59</v>
      </c>
      <c r="C106" s="30">
        <v>0</v>
      </c>
      <c r="D106" s="30">
        <v>140</v>
      </c>
      <c r="E106" s="30">
        <v>177</v>
      </c>
      <c r="F106" s="30">
        <v>0</v>
      </c>
      <c r="G106" s="30">
        <v>1</v>
      </c>
      <c r="H106" s="30">
        <v>162</v>
      </c>
      <c r="I106" s="30">
        <v>1</v>
      </c>
      <c r="J106" s="30">
        <v>2</v>
      </c>
      <c r="K106" s="30">
        <v>3</v>
      </c>
    </row>
    <row r="107" spans="1:11" x14ac:dyDescent="0.25">
      <c r="A107" s="33">
        <v>43</v>
      </c>
      <c r="B107" s="30" t="str">
        <f t="shared" si="1"/>
        <v>40-49</v>
      </c>
      <c r="C107" s="31">
        <v>0</v>
      </c>
      <c r="D107" s="31">
        <v>120</v>
      </c>
      <c r="E107" s="31">
        <v>177</v>
      </c>
      <c r="F107" s="31">
        <v>0</v>
      </c>
      <c r="G107" s="31">
        <v>0</v>
      </c>
      <c r="H107" s="31">
        <v>120</v>
      </c>
      <c r="I107" s="31">
        <v>1</v>
      </c>
      <c r="J107" s="31">
        <v>1</v>
      </c>
      <c r="K107" s="31">
        <v>3</v>
      </c>
    </row>
    <row r="108" spans="1:11" x14ac:dyDescent="0.25">
      <c r="A108" s="34">
        <v>59</v>
      </c>
      <c r="B108" s="30" t="str">
        <f t="shared" si="1"/>
        <v>50-59</v>
      </c>
      <c r="C108" s="30">
        <v>0</v>
      </c>
      <c r="D108" s="30">
        <v>164</v>
      </c>
      <c r="E108" s="30">
        <v>176</v>
      </c>
      <c r="F108" s="30">
        <v>1</v>
      </c>
      <c r="G108" s="30">
        <v>0</v>
      </c>
      <c r="H108" s="30">
        <v>90</v>
      </c>
      <c r="I108" s="30">
        <v>0</v>
      </c>
      <c r="J108" s="30">
        <v>1</v>
      </c>
      <c r="K108" s="30">
        <v>1</v>
      </c>
    </row>
    <row r="109" spans="1:11" x14ac:dyDescent="0.25">
      <c r="A109" s="33">
        <v>70</v>
      </c>
      <c r="B109" s="30" t="str">
        <f t="shared" si="1"/>
        <v>70+</v>
      </c>
      <c r="C109" s="31">
        <v>0</v>
      </c>
      <c r="D109" s="31">
        <v>145</v>
      </c>
      <c r="E109" s="31">
        <v>174</v>
      </c>
      <c r="F109" s="31">
        <v>0</v>
      </c>
      <c r="G109" s="31">
        <v>1</v>
      </c>
      <c r="H109" s="31">
        <v>125</v>
      </c>
      <c r="I109" s="31">
        <v>1</v>
      </c>
      <c r="J109" s="31">
        <v>0</v>
      </c>
      <c r="K109" s="31">
        <v>3</v>
      </c>
    </row>
    <row r="110" spans="1:11" x14ac:dyDescent="0.25">
      <c r="A110" s="33">
        <v>41</v>
      </c>
      <c r="B110" s="30" t="str">
        <f t="shared" si="1"/>
        <v>40-49</v>
      </c>
      <c r="C110" s="31">
        <v>0</v>
      </c>
      <c r="D110" s="31">
        <v>110</v>
      </c>
      <c r="E110" s="31">
        <v>172</v>
      </c>
      <c r="F110" s="31">
        <v>0</v>
      </c>
      <c r="G110" s="31">
        <v>0</v>
      </c>
      <c r="H110" s="31">
        <v>158</v>
      </c>
      <c r="I110" s="31">
        <v>0</v>
      </c>
      <c r="J110" s="31">
        <v>2</v>
      </c>
      <c r="K110" s="31">
        <v>3</v>
      </c>
    </row>
    <row r="111" spans="1:11" x14ac:dyDescent="0.25">
      <c r="A111" s="34">
        <v>44</v>
      </c>
      <c r="B111" s="30" t="str">
        <f t="shared" si="1"/>
        <v>40-49</v>
      </c>
      <c r="C111" s="30">
        <v>0</v>
      </c>
      <c r="D111" s="30">
        <v>120</v>
      </c>
      <c r="E111" s="30">
        <v>169</v>
      </c>
      <c r="F111" s="30">
        <v>0</v>
      </c>
      <c r="G111" s="30">
        <v>1</v>
      </c>
      <c r="H111" s="30">
        <v>144</v>
      </c>
      <c r="I111" s="30">
        <v>1</v>
      </c>
      <c r="J111" s="30">
        <v>0</v>
      </c>
      <c r="K111" s="30">
        <v>1</v>
      </c>
    </row>
    <row r="112" spans="1:11" x14ac:dyDescent="0.25">
      <c r="A112" s="34">
        <v>40</v>
      </c>
      <c r="B112" s="30" t="str">
        <f t="shared" si="1"/>
        <v>40-49</v>
      </c>
      <c r="C112" s="30">
        <v>0</v>
      </c>
      <c r="D112" s="30">
        <v>110</v>
      </c>
      <c r="E112" s="30">
        <v>167</v>
      </c>
      <c r="F112" s="30">
        <v>0</v>
      </c>
      <c r="G112" s="30">
        <v>0</v>
      </c>
      <c r="H112" s="30">
        <v>114</v>
      </c>
      <c r="I112" s="30">
        <v>1</v>
      </c>
      <c r="J112" s="30">
        <v>1</v>
      </c>
      <c r="K112" s="30">
        <v>3</v>
      </c>
    </row>
    <row r="113" spans="1:11" x14ac:dyDescent="0.25">
      <c r="A113" s="34">
        <v>61</v>
      </c>
      <c r="B113" s="30" t="str">
        <f t="shared" si="1"/>
        <v>60-69</v>
      </c>
      <c r="C113" s="30">
        <v>0</v>
      </c>
      <c r="D113" s="30">
        <v>138</v>
      </c>
      <c r="E113" s="30">
        <v>166</v>
      </c>
      <c r="F113" s="30">
        <v>0</v>
      </c>
      <c r="G113" s="30">
        <v>0</v>
      </c>
      <c r="H113" s="30">
        <v>125</v>
      </c>
      <c r="I113" s="30">
        <v>1</v>
      </c>
      <c r="J113" s="30">
        <v>1</v>
      </c>
      <c r="K113" s="30">
        <v>2</v>
      </c>
    </row>
    <row r="114" spans="1:11" x14ac:dyDescent="0.25">
      <c r="A114" s="33">
        <v>49</v>
      </c>
      <c r="B114" s="30" t="str">
        <f t="shared" si="1"/>
        <v>40-49</v>
      </c>
      <c r="C114" s="31">
        <v>2</v>
      </c>
      <c r="D114" s="31">
        <v>118</v>
      </c>
      <c r="E114" s="31">
        <v>149</v>
      </c>
      <c r="F114" s="31">
        <v>0</v>
      </c>
      <c r="G114" s="31">
        <v>0</v>
      </c>
      <c r="H114" s="31">
        <v>126</v>
      </c>
      <c r="I114" s="31">
        <v>0</v>
      </c>
      <c r="J114" s="31">
        <v>2</v>
      </c>
      <c r="K114" s="31">
        <v>2</v>
      </c>
    </row>
    <row r="115" spans="1:11" x14ac:dyDescent="0.25">
      <c r="A115" s="33">
        <v>57</v>
      </c>
      <c r="B115" s="30" t="str">
        <f t="shared" si="1"/>
        <v>50-59</v>
      </c>
      <c r="C115" s="31">
        <v>0</v>
      </c>
      <c r="D115" s="31">
        <v>130</v>
      </c>
      <c r="E115" s="31">
        <v>131</v>
      </c>
      <c r="F115" s="31">
        <v>0</v>
      </c>
      <c r="G115" s="31">
        <v>1</v>
      </c>
      <c r="H115" s="31">
        <v>115</v>
      </c>
      <c r="I115" s="31">
        <v>1</v>
      </c>
      <c r="J115" s="31">
        <v>1</v>
      </c>
      <c r="K115" s="31">
        <v>3</v>
      </c>
    </row>
  </sheetData>
  <conditionalFormatting sqref="D1:D1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5"/>
  <sheetViews>
    <sheetView zoomScale="150" zoomScaleNormal="150" workbookViewId="0">
      <selection activeCell="N11" sqref="N11"/>
    </sheetView>
  </sheetViews>
  <sheetFormatPr defaultRowHeight="15" x14ac:dyDescent="0.25"/>
  <cols>
    <col min="1" max="11" width="9.140625" style="28"/>
    <col min="13" max="13" width="11.28515625" bestFit="1" customWidth="1"/>
  </cols>
  <sheetData>
    <row r="1" spans="1:17" x14ac:dyDescent="0.25">
      <c r="A1" s="32" t="s">
        <v>0</v>
      </c>
      <c r="B1" s="32" t="s">
        <v>107</v>
      </c>
      <c r="C1" s="32" t="s">
        <v>10</v>
      </c>
      <c r="D1" s="32" t="s">
        <v>9</v>
      </c>
      <c r="E1" s="32" t="s">
        <v>2</v>
      </c>
      <c r="F1" s="32" t="s">
        <v>3</v>
      </c>
      <c r="G1" s="32" t="s">
        <v>4</v>
      </c>
      <c r="H1" s="32" t="s">
        <v>11</v>
      </c>
      <c r="I1" s="32" t="s">
        <v>5</v>
      </c>
      <c r="J1" s="32" t="s">
        <v>6</v>
      </c>
      <c r="K1" s="32" t="s">
        <v>7</v>
      </c>
    </row>
    <row r="2" spans="1:17" x14ac:dyDescent="0.25">
      <c r="A2" s="33">
        <v>56</v>
      </c>
      <c r="B2" s="31" t="str">
        <f>IF(A2&lt;30,"20-29",IF(A2&lt;40,"30-39",IF(A2&lt;50,"40-49",IF(A2&lt;60,"50-59",IF(A2&lt;70,"60-69",IF(A2&lt;80,"70+"))))))</f>
        <v>50-59</v>
      </c>
      <c r="C2" s="31">
        <v>0</v>
      </c>
      <c r="D2" s="31">
        <v>134</v>
      </c>
      <c r="E2" s="31">
        <v>409</v>
      </c>
      <c r="F2" s="31">
        <v>0</v>
      </c>
      <c r="G2" s="31">
        <v>0</v>
      </c>
      <c r="H2" s="31">
        <v>150</v>
      </c>
      <c r="I2" s="31">
        <v>1</v>
      </c>
      <c r="J2" s="31">
        <v>1</v>
      </c>
      <c r="K2" s="31">
        <v>3</v>
      </c>
      <c r="M2" s="4" t="s">
        <v>23</v>
      </c>
      <c r="N2" s="4" t="s">
        <v>24</v>
      </c>
      <c r="O2" s="4" t="s">
        <v>25</v>
      </c>
      <c r="P2" s="4" t="s">
        <v>26</v>
      </c>
      <c r="Q2" s="4" t="s">
        <v>27</v>
      </c>
    </row>
    <row r="3" spans="1:17" x14ac:dyDescent="0.25">
      <c r="A3" s="34">
        <v>63</v>
      </c>
      <c r="B3" s="31" t="str">
        <f t="shared" ref="B3:B25" si="0">IF(A3&lt;30,"20-29",IF(A3&lt;40,"30-39",IF(A3&lt;50,"40-49",IF(A3&lt;60,"50-59",IF(A3&lt;70,"60-69",IF(A3&lt;80,"70+"))))))</f>
        <v>60-69</v>
      </c>
      <c r="C3" s="30">
        <v>0</v>
      </c>
      <c r="D3" s="30">
        <v>150</v>
      </c>
      <c r="E3" s="30">
        <v>407</v>
      </c>
      <c r="F3" s="30">
        <v>0</v>
      </c>
      <c r="G3" s="30">
        <v>0</v>
      </c>
      <c r="H3" s="30">
        <v>154</v>
      </c>
      <c r="I3" s="30">
        <v>0</v>
      </c>
      <c r="J3" s="30">
        <v>1</v>
      </c>
      <c r="K3" s="30">
        <v>3</v>
      </c>
      <c r="M3" s="5" t="s">
        <v>28</v>
      </c>
      <c r="N3" s="6">
        <f>AVERAGE(A:A)</f>
        <v>59.041666666666664</v>
      </c>
      <c r="O3" s="6">
        <f>_xlfn.STDEV.P(A:A)</f>
        <v>4.8603769286845324</v>
      </c>
      <c r="P3" s="6">
        <f>MIN(A:A)</f>
        <v>43</v>
      </c>
      <c r="Q3" s="6">
        <f>MAX(A:A)</f>
        <v>66</v>
      </c>
    </row>
    <row r="4" spans="1:17" x14ac:dyDescent="0.25">
      <c r="A4" s="34">
        <v>43</v>
      </c>
      <c r="B4" s="31" t="str">
        <f t="shared" si="0"/>
        <v>40-49</v>
      </c>
      <c r="C4" s="30">
        <v>0</v>
      </c>
      <c r="D4" s="30">
        <v>132</v>
      </c>
      <c r="E4" s="30">
        <v>341</v>
      </c>
      <c r="F4" s="30">
        <v>1</v>
      </c>
      <c r="G4" s="30">
        <v>0</v>
      </c>
      <c r="H4" s="30">
        <v>136</v>
      </c>
      <c r="I4" s="30">
        <v>1</v>
      </c>
      <c r="J4" s="30">
        <v>1</v>
      </c>
      <c r="K4" s="30">
        <v>3</v>
      </c>
      <c r="M4" s="5" t="s">
        <v>29</v>
      </c>
      <c r="N4" s="6">
        <f>AVERAGE(D:D)</f>
        <v>146.125</v>
      </c>
      <c r="O4" s="6">
        <f>_xlfn.STDEV.P(D:D)</f>
        <v>20.984741480418577</v>
      </c>
      <c r="P4" s="6">
        <f>MIN(D:D)</f>
        <v>108</v>
      </c>
      <c r="Q4" s="6">
        <f>MAX(D:D)</f>
        <v>200</v>
      </c>
    </row>
    <row r="5" spans="1:17" x14ac:dyDescent="0.25">
      <c r="A5" s="34">
        <v>61</v>
      </c>
      <c r="B5" s="31" t="str">
        <f t="shared" si="0"/>
        <v>60-69</v>
      </c>
      <c r="C5" s="30">
        <v>0</v>
      </c>
      <c r="D5" s="30">
        <v>130</v>
      </c>
      <c r="E5" s="30">
        <v>330</v>
      </c>
      <c r="F5" s="30">
        <v>0</v>
      </c>
      <c r="G5" s="30">
        <v>0</v>
      </c>
      <c r="H5" s="30">
        <v>169</v>
      </c>
      <c r="I5" s="30">
        <v>0</v>
      </c>
      <c r="J5" s="30">
        <v>2</v>
      </c>
      <c r="K5" s="30">
        <v>2</v>
      </c>
      <c r="M5" s="5" t="s">
        <v>30</v>
      </c>
      <c r="N5" s="6">
        <f>AVERAGE(E:E)</f>
        <v>274.95833333333331</v>
      </c>
      <c r="O5" s="6">
        <f>_xlfn.STDEV.P(E:E)</f>
        <v>59.582211527901144</v>
      </c>
      <c r="P5" s="6">
        <f>MIN(E:E)</f>
        <v>164</v>
      </c>
      <c r="Q5" s="6">
        <f>MAX(E:E)</f>
        <v>409</v>
      </c>
    </row>
    <row r="6" spans="1:17" x14ac:dyDescent="0.25">
      <c r="A6" s="34">
        <v>55</v>
      </c>
      <c r="B6" s="31" t="str">
        <f t="shared" si="0"/>
        <v>50-59</v>
      </c>
      <c r="C6" s="30">
        <v>0</v>
      </c>
      <c r="D6" s="30">
        <v>180</v>
      </c>
      <c r="E6" s="30">
        <v>327</v>
      </c>
      <c r="F6" s="30">
        <v>0</v>
      </c>
      <c r="G6" s="30">
        <v>2</v>
      </c>
      <c r="H6" s="30">
        <v>117</v>
      </c>
      <c r="I6" s="30">
        <v>1</v>
      </c>
      <c r="J6" s="30">
        <v>1</v>
      </c>
      <c r="K6" s="30">
        <v>2</v>
      </c>
      <c r="M6" s="5" t="s">
        <v>31</v>
      </c>
      <c r="N6" s="6">
        <f>AVERAGE(H:H)</f>
        <v>142.41666666666666</v>
      </c>
      <c r="O6" s="6">
        <f>_xlfn.STDEV.P(H:H)</f>
        <v>19.830356919520021</v>
      </c>
      <c r="P6" s="6">
        <f>MIN(H:H)</f>
        <v>97</v>
      </c>
      <c r="Q6" s="6">
        <f>MAX(H:H)</f>
        <v>174</v>
      </c>
    </row>
    <row r="7" spans="1:17" x14ac:dyDescent="0.25">
      <c r="A7" s="33">
        <v>58</v>
      </c>
      <c r="B7" s="31" t="str">
        <f t="shared" si="0"/>
        <v>50-59</v>
      </c>
      <c r="C7" s="31">
        <v>1</v>
      </c>
      <c r="D7" s="31">
        <v>136</v>
      </c>
      <c r="E7" s="31">
        <v>319</v>
      </c>
      <c r="F7" s="31">
        <v>1</v>
      </c>
      <c r="G7" s="31">
        <v>0</v>
      </c>
      <c r="H7" s="31">
        <v>152</v>
      </c>
      <c r="I7" s="31">
        <v>0</v>
      </c>
      <c r="J7" s="31">
        <v>2</v>
      </c>
      <c r="K7" s="31">
        <v>2</v>
      </c>
    </row>
    <row r="8" spans="1:17" x14ac:dyDescent="0.25">
      <c r="A8" s="34">
        <v>61</v>
      </c>
      <c r="B8" s="31" t="str">
        <f t="shared" si="0"/>
        <v>60-69</v>
      </c>
      <c r="C8" s="30">
        <v>0</v>
      </c>
      <c r="D8" s="30">
        <v>145</v>
      </c>
      <c r="E8" s="30">
        <v>307</v>
      </c>
      <c r="F8" s="30">
        <v>0</v>
      </c>
      <c r="G8" s="30">
        <v>0</v>
      </c>
      <c r="H8" s="30">
        <v>146</v>
      </c>
      <c r="I8" s="30">
        <v>1</v>
      </c>
      <c r="J8" s="30">
        <v>1</v>
      </c>
      <c r="K8" s="30">
        <v>3</v>
      </c>
    </row>
    <row r="9" spans="1:17" x14ac:dyDescent="0.25">
      <c r="A9" s="34">
        <v>51</v>
      </c>
      <c r="B9" s="31" t="str">
        <f t="shared" si="0"/>
        <v>50-59</v>
      </c>
      <c r="C9" s="30">
        <v>0</v>
      </c>
      <c r="D9" s="30">
        <v>130</v>
      </c>
      <c r="E9" s="30">
        <v>305</v>
      </c>
      <c r="F9" s="30">
        <v>0</v>
      </c>
      <c r="G9" s="30">
        <v>1</v>
      </c>
      <c r="H9" s="30">
        <v>142</v>
      </c>
      <c r="I9" s="30">
        <v>1</v>
      </c>
      <c r="J9" s="30">
        <v>1</v>
      </c>
      <c r="K9" s="30">
        <v>3</v>
      </c>
    </row>
    <row r="10" spans="1:17" x14ac:dyDescent="0.25">
      <c r="A10" s="34">
        <v>62</v>
      </c>
      <c r="B10" s="31" t="str">
        <f t="shared" si="0"/>
        <v>60-69</v>
      </c>
      <c r="C10" s="30">
        <v>0</v>
      </c>
      <c r="D10" s="30">
        <v>138</v>
      </c>
      <c r="E10" s="30">
        <v>294</v>
      </c>
      <c r="F10" s="30">
        <v>1</v>
      </c>
      <c r="G10" s="30">
        <v>1</v>
      </c>
      <c r="H10" s="30">
        <v>106</v>
      </c>
      <c r="I10" s="30">
        <v>0</v>
      </c>
      <c r="J10" s="30">
        <v>1</v>
      </c>
      <c r="K10" s="30">
        <v>2</v>
      </c>
    </row>
    <row r="11" spans="1:17" x14ac:dyDescent="0.25">
      <c r="A11" s="33">
        <v>56</v>
      </c>
      <c r="B11" s="31" t="str">
        <f t="shared" si="0"/>
        <v>50-59</v>
      </c>
      <c r="C11" s="31">
        <v>0</v>
      </c>
      <c r="D11" s="31">
        <v>200</v>
      </c>
      <c r="E11" s="31">
        <v>288</v>
      </c>
      <c r="F11" s="31">
        <v>1</v>
      </c>
      <c r="G11" s="31">
        <v>0</v>
      </c>
      <c r="H11" s="31">
        <v>133</v>
      </c>
      <c r="I11" s="31">
        <v>1</v>
      </c>
      <c r="J11" s="31">
        <v>0</v>
      </c>
      <c r="K11" s="31">
        <v>3</v>
      </c>
    </row>
    <row r="12" spans="1:17" x14ac:dyDescent="0.25">
      <c r="A12" s="34">
        <v>63</v>
      </c>
      <c r="B12" s="31" t="str">
        <f t="shared" si="0"/>
        <v>60-69</v>
      </c>
      <c r="C12" s="30">
        <v>0</v>
      </c>
      <c r="D12" s="30">
        <v>108</v>
      </c>
      <c r="E12" s="30">
        <v>269</v>
      </c>
      <c r="F12" s="30">
        <v>0</v>
      </c>
      <c r="G12" s="30">
        <v>1</v>
      </c>
      <c r="H12" s="30">
        <v>169</v>
      </c>
      <c r="I12" s="30">
        <v>1</v>
      </c>
      <c r="J12" s="30">
        <v>1</v>
      </c>
      <c r="K12" s="30">
        <v>2</v>
      </c>
    </row>
    <row r="13" spans="1:17" x14ac:dyDescent="0.25">
      <c r="A13" s="33">
        <v>62</v>
      </c>
      <c r="B13" s="31" t="str">
        <f t="shared" si="0"/>
        <v>60-69</v>
      </c>
      <c r="C13" s="31">
        <v>0</v>
      </c>
      <c r="D13" s="31">
        <v>140</v>
      </c>
      <c r="E13" s="31">
        <v>268</v>
      </c>
      <c r="F13" s="31">
        <v>0</v>
      </c>
      <c r="G13" s="31">
        <v>0</v>
      </c>
      <c r="H13" s="31">
        <v>160</v>
      </c>
      <c r="I13" s="31">
        <v>0</v>
      </c>
      <c r="J13" s="31">
        <v>0</v>
      </c>
      <c r="K13" s="31">
        <v>2</v>
      </c>
    </row>
    <row r="14" spans="1:17" x14ac:dyDescent="0.25">
      <c r="A14" s="34">
        <v>62</v>
      </c>
      <c r="B14" s="31" t="str">
        <f t="shared" si="0"/>
        <v>60-69</v>
      </c>
      <c r="C14" s="30">
        <v>2</v>
      </c>
      <c r="D14" s="30">
        <v>130</v>
      </c>
      <c r="E14" s="30">
        <v>263</v>
      </c>
      <c r="F14" s="30">
        <v>0</v>
      </c>
      <c r="G14" s="30">
        <v>1</v>
      </c>
      <c r="H14" s="30">
        <v>97</v>
      </c>
      <c r="I14" s="30">
        <v>0</v>
      </c>
      <c r="J14" s="30">
        <v>1</v>
      </c>
      <c r="K14" s="30">
        <v>3</v>
      </c>
    </row>
    <row r="15" spans="1:17" x14ac:dyDescent="0.25">
      <c r="A15" s="33">
        <v>60</v>
      </c>
      <c r="B15" s="31" t="str">
        <f t="shared" si="0"/>
        <v>60-69</v>
      </c>
      <c r="C15" s="31">
        <v>0</v>
      </c>
      <c r="D15" s="31">
        <v>150</v>
      </c>
      <c r="E15" s="31">
        <v>258</v>
      </c>
      <c r="F15" s="31">
        <v>0</v>
      </c>
      <c r="G15" s="31">
        <v>0</v>
      </c>
      <c r="H15" s="31">
        <v>157</v>
      </c>
      <c r="I15" s="31">
        <v>0</v>
      </c>
      <c r="J15" s="31">
        <v>1</v>
      </c>
      <c r="K15" s="31">
        <v>3</v>
      </c>
    </row>
    <row r="16" spans="1:17" x14ac:dyDescent="0.25">
      <c r="A16" s="34">
        <v>59</v>
      </c>
      <c r="B16" s="31" t="str">
        <f t="shared" si="0"/>
        <v>50-59</v>
      </c>
      <c r="C16" s="30">
        <v>0</v>
      </c>
      <c r="D16" s="30">
        <v>174</v>
      </c>
      <c r="E16" s="30">
        <v>249</v>
      </c>
      <c r="F16" s="30">
        <v>0</v>
      </c>
      <c r="G16" s="30">
        <v>1</v>
      </c>
      <c r="H16" s="30">
        <v>143</v>
      </c>
      <c r="I16" s="30">
        <v>1</v>
      </c>
      <c r="J16" s="30">
        <v>1</v>
      </c>
      <c r="K16" s="30">
        <v>2</v>
      </c>
    </row>
    <row r="17" spans="1:11" x14ac:dyDescent="0.25">
      <c r="A17" s="33">
        <v>62</v>
      </c>
      <c r="B17" s="31" t="str">
        <f t="shared" si="0"/>
        <v>60-69</v>
      </c>
      <c r="C17" s="31">
        <v>0</v>
      </c>
      <c r="D17" s="31">
        <v>150</v>
      </c>
      <c r="E17" s="31">
        <v>244</v>
      </c>
      <c r="F17" s="31">
        <v>0</v>
      </c>
      <c r="G17" s="31">
        <v>1</v>
      </c>
      <c r="H17" s="31">
        <v>154</v>
      </c>
      <c r="I17" s="31">
        <v>1</v>
      </c>
      <c r="J17" s="31">
        <v>1</v>
      </c>
      <c r="K17" s="31">
        <v>2</v>
      </c>
    </row>
    <row r="18" spans="1:11" x14ac:dyDescent="0.25">
      <c r="A18" s="33">
        <v>57</v>
      </c>
      <c r="B18" s="31" t="str">
        <f t="shared" si="0"/>
        <v>50-59</v>
      </c>
      <c r="C18" s="31">
        <v>0</v>
      </c>
      <c r="D18" s="31">
        <v>140</v>
      </c>
      <c r="E18" s="31">
        <v>241</v>
      </c>
      <c r="F18" s="31">
        <v>0</v>
      </c>
      <c r="G18" s="31">
        <v>1</v>
      </c>
      <c r="H18" s="31">
        <v>123</v>
      </c>
      <c r="I18" s="31">
        <v>1</v>
      </c>
      <c r="J18" s="31">
        <v>1</v>
      </c>
      <c r="K18" s="31">
        <v>3</v>
      </c>
    </row>
    <row r="19" spans="1:11" x14ac:dyDescent="0.25">
      <c r="A19" s="33">
        <v>57</v>
      </c>
      <c r="B19" s="31" t="str">
        <f t="shared" si="0"/>
        <v>50-59</v>
      </c>
      <c r="C19" s="31">
        <v>1</v>
      </c>
      <c r="D19" s="31">
        <v>130</v>
      </c>
      <c r="E19" s="31">
        <v>236</v>
      </c>
      <c r="F19" s="31">
        <v>0</v>
      </c>
      <c r="G19" s="31">
        <v>0</v>
      </c>
      <c r="H19" s="31">
        <v>174</v>
      </c>
      <c r="I19" s="31">
        <v>0</v>
      </c>
      <c r="J19" s="31">
        <v>1</v>
      </c>
      <c r="K19" s="31">
        <v>2</v>
      </c>
    </row>
    <row r="20" spans="1:11" x14ac:dyDescent="0.25">
      <c r="A20" s="33">
        <v>66</v>
      </c>
      <c r="B20" s="31" t="str">
        <f t="shared" si="0"/>
        <v>60-69</v>
      </c>
      <c r="C20" s="31">
        <v>0</v>
      </c>
      <c r="D20" s="31">
        <v>178</v>
      </c>
      <c r="E20" s="31">
        <v>228</v>
      </c>
      <c r="F20" s="31">
        <v>1</v>
      </c>
      <c r="G20" s="31">
        <v>1</v>
      </c>
      <c r="H20" s="31">
        <v>165</v>
      </c>
      <c r="I20" s="31">
        <v>1</v>
      </c>
      <c r="J20" s="31">
        <v>1</v>
      </c>
      <c r="K20" s="31">
        <v>3</v>
      </c>
    </row>
    <row r="21" spans="1:11" x14ac:dyDescent="0.25">
      <c r="A21" s="33">
        <v>58</v>
      </c>
      <c r="B21" s="31" t="str">
        <f t="shared" si="0"/>
        <v>50-59</v>
      </c>
      <c r="C21" s="31">
        <v>0</v>
      </c>
      <c r="D21" s="31">
        <v>170</v>
      </c>
      <c r="E21" s="31">
        <v>225</v>
      </c>
      <c r="F21" s="31">
        <v>1</v>
      </c>
      <c r="G21" s="31">
        <v>0</v>
      </c>
      <c r="H21" s="31">
        <v>146</v>
      </c>
      <c r="I21" s="31">
        <v>1</v>
      </c>
      <c r="J21" s="31">
        <v>1</v>
      </c>
      <c r="K21" s="31">
        <v>1</v>
      </c>
    </row>
    <row r="22" spans="1:11" x14ac:dyDescent="0.25">
      <c r="A22" s="33">
        <v>65</v>
      </c>
      <c r="B22" s="31" t="str">
        <f t="shared" si="0"/>
        <v>60-69</v>
      </c>
      <c r="C22" s="31">
        <v>0</v>
      </c>
      <c r="D22" s="31">
        <v>150</v>
      </c>
      <c r="E22" s="31">
        <v>225</v>
      </c>
      <c r="F22" s="31">
        <v>0</v>
      </c>
      <c r="G22" s="31">
        <v>0</v>
      </c>
      <c r="H22" s="31">
        <v>114</v>
      </c>
      <c r="I22" s="31">
        <v>0</v>
      </c>
      <c r="J22" s="31">
        <v>1</v>
      </c>
      <c r="K22" s="31">
        <v>3</v>
      </c>
    </row>
    <row r="23" spans="1:11" x14ac:dyDescent="0.25">
      <c r="A23" s="33">
        <v>55</v>
      </c>
      <c r="B23" s="31" t="str">
        <f t="shared" si="0"/>
        <v>50-59</v>
      </c>
      <c r="C23" s="31">
        <v>0</v>
      </c>
      <c r="D23" s="31">
        <v>128</v>
      </c>
      <c r="E23" s="31">
        <v>205</v>
      </c>
      <c r="F23" s="31">
        <v>0</v>
      </c>
      <c r="G23" s="31">
        <v>2</v>
      </c>
      <c r="H23" s="31">
        <v>130</v>
      </c>
      <c r="I23" s="31">
        <v>1</v>
      </c>
      <c r="J23" s="31">
        <v>1</v>
      </c>
      <c r="K23" s="31">
        <v>3</v>
      </c>
    </row>
    <row r="24" spans="1:11" x14ac:dyDescent="0.25">
      <c r="A24" s="33">
        <v>63</v>
      </c>
      <c r="B24" s="31" t="str">
        <f t="shared" si="0"/>
        <v>60-69</v>
      </c>
      <c r="C24" s="31">
        <v>0</v>
      </c>
      <c r="D24" s="31">
        <v>124</v>
      </c>
      <c r="E24" s="31">
        <v>197</v>
      </c>
      <c r="F24" s="31">
        <v>0</v>
      </c>
      <c r="G24" s="31">
        <v>1</v>
      </c>
      <c r="H24" s="31">
        <v>136</v>
      </c>
      <c r="I24" s="31">
        <v>1</v>
      </c>
      <c r="J24" s="31">
        <v>1</v>
      </c>
      <c r="K24" s="31">
        <v>2</v>
      </c>
    </row>
    <row r="25" spans="1:11" x14ac:dyDescent="0.25">
      <c r="A25" s="34">
        <v>62</v>
      </c>
      <c r="B25" s="31" t="str">
        <f t="shared" si="0"/>
        <v>60-69</v>
      </c>
      <c r="C25" s="30">
        <v>0</v>
      </c>
      <c r="D25" s="30">
        <v>160</v>
      </c>
      <c r="E25" s="30">
        <v>164</v>
      </c>
      <c r="F25" s="30">
        <v>0</v>
      </c>
      <c r="G25" s="30">
        <v>0</v>
      </c>
      <c r="H25" s="30">
        <v>145</v>
      </c>
      <c r="I25" s="30">
        <v>0</v>
      </c>
      <c r="J25" s="30">
        <v>0</v>
      </c>
      <c r="K25" s="30">
        <v>3</v>
      </c>
    </row>
  </sheetData>
  <conditionalFormatting sqref="D1:D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pivot</vt:lpstr>
      <vt:lpstr>data_quality</vt:lpstr>
      <vt:lpstr>categorical_analysis</vt:lpstr>
      <vt:lpstr>all_patients</vt:lpstr>
      <vt:lpstr>diseased_patients</vt:lpstr>
      <vt:lpstr>non_diseased_patients</vt:lpstr>
      <vt:lpstr>diseased-males</vt:lpstr>
      <vt:lpstr>diseased-females</vt:lpstr>
      <vt:lpstr>non-diseased_males</vt:lpstr>
      <vt:lpstr>non-diseased_females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</dc:creator>
  <cp:lastModifiedBy>Jake</cp:lastModifiedBy>
  <cp:lastPrinted>2026-08-24T16:42:15Z</cp:lastPrinted>
  <dcterms:created xsi:type="dcterms:W3CDTF">2026-08-17T13:03:20Z</dcterms:created>
  <dcterms:modified xsi:type="dcterms:W3CDTF">2026-08-24T16:53:00Z</dcterms:modified>
</cp:coreProperties>
</file>