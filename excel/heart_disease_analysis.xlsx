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Ex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e\Excel\heart_disease_analysis\"/>
    </mc:Choice>
  </mc:AlternateContent>
  <xr:revisionPtr revIDLastSave="0" documentId="13_ncr:1_{2216E8D9-69FD-433C-BEFD-793C51E0E132}" xr6:coauthVersionLast="45" xr6:coauthVersionMax="45" xr10:uidLastSave="{00000000-0000-0000-0000-000000000000}"/>
  <bookViews>
    <workbookView xWindow="-120" yWindow="-120" windowWidth="38640" windowHeight="21120" tabRatio="764" activeTab="2" xr2:uid="{00000000-000D-0000-FFFF-FFFF00000000}"/>
  </bookViews>
  <sheets>
    <sheet name="summary" sheetId="11" r:id="rId1"/>
    <sheet name="pivot" sheetId="20" r:id="rId2"/>
    <sheet name="categorical_analysis" sheetId="17" r:id="rId3"/>
    <sheet name="all_patients" sheetId="1" r:id="rId4"/>
    <sheet name="diseased_patients" sheetId="5" r:id="rId5"/>
    <sheet name="non_diseased_patients" sheetId="14" r:id="rId6"/>
    <sheet name="diseased-males" sheetId="8" r:id="rId7"/>
    <sheet name="diseased-females" sheetId="9" r:id="rId8"/>
    <sheet name="non-diseased_males" sheetId="12" r:id="rId9"/>
    <sheet name="non-diseased_females" sheetId="13" r:id="rId10"/>
  </sheets>
  <definedNames>
    <definedName name="_xlnm._FilterDatabase" localSheetId="4" hidden="1">diseased_patients!$B$1:$B$165</definedName>
    <definedName name="_xlnm._FilterDatabase" localSheetId="5" hidden="1">non_diseased_patients!$B$1:$B$500</definedName>
    <definedName name="_xlchart.v1.0" hidden="1">'diseased-males'!$A$1</definedName>
    <definedName name="_xlchart.v1.1" hidden="1">'diseased-males'!$A$2:$A$93</definedName>
    <definedName name="_xlchart.v1.2" hidden="1">'diseased-females'!$A$1</definedName>
    <definedName name="_xlchart.v1.3" hidden="1">'diseased-females'!$A$2:$A$73</definedName>
  </definedNames>
  <calcPr calcId="181029"/>
  <pivotCaches>
    <pivotCache cacheId="8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88" i="17" l="1"/>
  <c r="B87" i="17"/>
  <c r="B86" i="17"/>
  <c r="O2" i="5" l="1"/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17" i="11"/>
  <c r="B18" i="11"/>
  <c r="B19" i="11"/>
  <c r="B20" i="11"/>
  <c r="C88" i="17" l="1"/>
  <c r="C87" i="17"/>
  <c r="C86" i="17"/>
  <c r="B73" i="17"/>
  <c r="C75" i="17"/>
  <c r="C74" i="17"/>
  <c r="B75" i="17"/>
  <c r="B74" i="17"/>
  <c r="C73" i="17"/>
  <c r="C63" i="17"/>
  <c r="C62" i="17"/>
  <c r="B62" i="17"/>
  <c r="B63" i="17"/>
  <c r="B50" i="17"/>
  <c r="C52" i="17"/>
  <c r="C51" i="17"/>
  <c r="C50" i="17"/>
  <c r="B52" i="17"/>
  <c r="B51" i="17"/>
  <c r="C4" i="17"/>
  <c r="C3" i="17"/>
  <c r="B4" i="17"/>
  <c r="B3" i="17"/>
  <c r="C19" i="17"/>
  <c r="B19" i="17"/>
  <c r="C18" i="17"/>
  <c r="B18" i="17"/>
  <c r="C17" i="17"/>
  <c r="B17" i="17"/>
  <c r="C16" i="17"/>
  <c r="B16" i="17"/>
  <c r="C15" i="17"/>
  <c r="B15" i="17"/>
  <c r="C14" i="17"/>
  <c r="B14" i="17"/>
  <c r="C39" i="17"/>
  <c r="C38" i="17"/>
  <c r="B39" i="17"/>
  <c r="B38" i="17"/>
  <c r="C28" i="17"/>
  <c r="C27" i="17"/>
  <c r="C26" i="17"/>
  <c r="C25" i="17"/>
  <c r="B28" i="17"/>
  <c r="B27" i="17"/>
  <c r="B26" i="17"/>
  <c r="B25" i="17"/>
  <c r="D25" i="17" s="1"/>
  <c r="D14" i="17" l="1"/>
  <c r="D16" i="17"/>
  <c r="D73" i="17"/>
  <c r="D62" i="17"/>
  <c r="D63" i="17"/>
  <c r="D88" i="17"/>
  <c r="D87" i="17"/>
  <c r="D86" i="17"/>
  <c r="D75" i="17"/>
  <c r="D74" i="17"/>
  <c r="D18" i="17"/>
  <c r="D51" i="17"/>
  <c r="D52" i="17"/>
  <c r="D50" i="17"/>
  <c r="D3" i="17"/>
  <c r="D4" i="17"/>
  <c r="D15" i="17"/>
  <c r="D17" i="17"/>
  <c r="D19" i="17"/>
  <c r="D39" i="17"/>
  <c r="D27" i="17"/>
  <c r="D26" i="17"/>
  <c r="D28" i="17"/>
  <c r="D38" i="17"/>
  <c r="Q6" i="13"/>
  <c r="P6" i="13"/>
  <c r="O6" i="13"/>
  <c r="N6" i="13"/>
  <c r="G9" i="11" s="1"/>
  <c r="Q5" i="13"/>
  <c r="P5" i="13"/>
  <c r="O5" i="13"/>
  <c r="N5" i="13"/>
  <c r="G8" i="11" s="1"/>
  <c r="Q4" i="13"/>
  <c r="P4" i="13"/>
  <c r="O4" i="13"/>
  <c r="N4" i="13"/>
  <c r="G7" i="11" s="1"/>
  <c r="Q3" i="13"/>
  <c r="P3" i="13"/>
  <c r="O3" i="13"/>
  <c r="N3" i="13"/>
  <c r="G6" i="11" s="1"/>
  <c r="Q6" i="12"/>
  <c r="P6" i="12"/>
  <c r="O6" i="12"/>
  <c r="N6" i="12"/>
  <c r="G5" i="11" s="1"/>
  <c r="Q5" i="12"/>
  <c r="P5" i="12"/>
  <c r="O5" i="12"/>
  <c r="N5" i="12"/>
  <c r="G4" i="11" s="1"/>
  <c r="Q4" i="12"/>
  <c r="P4" i="12"/>
  <c r="O4" i="12"/>
  <c r="N4" i="12"/>
  <c r="G3" i="11" s="1"/>
  <c r="Q3" i="12"/>
  <c r="P3" i="12"/>
  <c r="O3" i="12"/>
  <c r="N3" i="12"/>
  <c r="G2" i="11" s="1"/>
  <c r="O2" i="14"/>
  <c r="N2" i="14"/>
  <c r="N22" i="9"/>
  <c r="F6" i="11" s="1"/>
  <c r="Q25" i="9"/>
  <c r="P25" i="9"/>
  <c r="O25" i="9"/>
  <c r="N25" i="9"/>
  <c r="F9" i="11" s="1"/>
  <c r="Q24" i="9"/>
  <c r="P24" i="9"/>
  <c r="O24" i="9"/>
  <c r="N24" i="9"/>
  <c r="F8" i="11" s="1"/>
  <c r="Q23" i="9"/>
  <c r="P23" i="9"/>
  <c r="O23" i="9"/>
  <c r="N23" i="9"/>
  <c r="F7" i="11" s="1"/>
  <c r="Q22" i="9"/>
  <c r="P22" i="9"/>
  <c r="O22" i="9"/>
  <c r="Q25" i="8"/>
  <c r="P25" i="8"/>
  <c r="O25" i="8"/>
  <c r="N25" i="8"/>
  <c r="F5" i="11" s="1"/>
  <c r="H5" i="11" s="1"/>
  <c r="Q24" i="8"/>
  <c r="P24" i="8"/>
  <c r="O24" i="8"/>
  <c r="N24" i="8"/>
  <c r="F4" i="11" s="1"/>
  <c r="H4" i="11" s="1"/>
  <c r="Q23" i="8"/>
  <c r="P23" i="8"/>
  <c r="O23" i="8"/>
  <c r="N23" i="8"/>
  <c r="F3" i="11" s="1"/>
  <c r="H3" i="11" s="1"/>
  <c r="Q22" i="8"/>
  <c r="P22" i="8"/>
  <c r="O22" i="8"/>
  <c r="N22" i="8"/>
  <c r="F2" i="11" s="1"/>
  <c r="H2" i="11" s="1"/>
  <c r="B5" i="11"/>
  <c r="B4" i="11"/>
  <c r="B3" i="11"/>
  <c r="B7" i="11"/>
  <c r="N2" i="5"/>
  <c r="B8" i="11" s="1"/>
  <c r="H8" i="11" l="1"/>
  <c r="H9" i="11"/>
  <c r="H7" i="11"/>
  <c r="H6" i="11"/>
  <c r="B11" i="11"/>
  <c r="B2" i="11"/>
  <c r="B6" i="11" s="1"/>
  <c r="B12" i="11" s="1"/>
  <c r="B9" i="11"/>
  <c r="B13" i="11" s="1"/>
  <c r="B10" i="11" l="1"/>
  <c r="B14" i="11" s="1"/>
</calcChain>
</file>

<file path=xl/sharedStrings.xml><?xml version="1.0" encoding="utf-8"?>
<sst xmlns="http://schemas.openxmlformats.org/spreadsheetml/2006/main" count="258" uniqueCount="113">
  <si>
    <t>age</t>
  </si>
  <si>
    <t>sex</t>
  </si>
  <si>
    <t>chol</t>
  </si>
  <si>
    <t>fbs</t>
  </si>
  <si>
    <t>restecg</t>
  </si>
  <si>
    <t>exang</t>
  </si>
  <si>
    <t>oldpeak</t>
  </si>
  <si>
    <t>slope</t>
  </si>
  <si>
    <t>thal</t>
  </si>
  <si>
    <t>target</t>
  </si>
  <si>
    <t>restbps</t>
  </si>
  <si>
    <t>cpt</t>
  </si>
  <si>
    <t>maxhr</t>
  </si>
  <si>
    <t>Has heart disease</t>
  </si>
  <si>
    <t>Doesn't have heart disease</t>
  </si>
  <si>
    <t>Male patients</t>
  </si>
  <si>
    <t>Female patients</t>
  </si>
  <si>
    <t>Male patients with heart disease</t>
  </si>
  <si>
    <t>Female patients with heart disease</t>
  </si>
  <si>
    <t>Proportion of male patients with heart disease</t>
  </si>
  <si>
    <t>Proportion of female patients with heart disease</t>
  </si>
  <si>
    <t>Data</t>
  </si>
  <si>
    <t>Amount</t>
  </si>
  <si>
    <t>Total number of patients</t>
  </si>
  <si>
    <t>Variable</t>
  </si>
  <si>
    <t>Mean</t>
  </si>
  <si>
    <t>SD</t>
  </si>
  <si>
    <t>Min</t>
  </si>
  <si>
    <t>Max</t>
  </si>
  <si>
    <t>Age</t>
  </si>
  <si>
    <t>Resting BP</t>
  </si>
  <si>
    <t>Cholesterol</t>
  </si>
  <si>
    <t>Max HR</t>
  </si>
  <si>
    <t>Male patients without heart disease</t>
  </si>
  <si>
    <t>Female patients without heart disease</t>
  </si>
  <si>
    <t>Proportion of male patients without heart disease</t>
  </si>
  <si>
    <t>Proportion of female patients without heart disease</t>
  </si>
  <si>
    <t>females</t>
  </si>
  <si>
    <t>males</t>
  </si>
  <si>
    <t>Disease</t>
  </si>
  <si>
    <t>Difference</t>
  </si>
  <si>
    <t>Avg. Age</t>
  </si>
  <si>
    <t>Avg. Cholesterol</t>
  </si>
  <si>
    <t>Avg. Resting BP</t>
  </si>
  <si>
    <t>Avg. Max HR</t>
  </si>
  <si>
    <t>Male</t>
  </si>
  <si>
    <t>Female</t>
  </si>
  <si>
    <t>Sex</t>
  </si>
  <si>
    <t>No Disease</t>
  </si>
  <si>
    <t>Prevalance</t>
  </si>
  <si>
    <t>Age Group</t>
  </si>
  <si>
    <t>Total Patients</t>
  </si>
  <si>
    <t>20-29</t>
  </si>
  <si>
    <t>30-39</t>
  </si>
  <si>
    <t>40-49</t>
  </si>
  <si>
    <t>50-59</t>
  </si>
  <si>
    <t>60-69</t>
  </si>
  <si>
    <t>70+</t>
  </si>
  <si>
    <t>Diseased</t>
  </si>
  <si>
    <t>Chest Pain Type</t>
  </si>
  <si>
    <t>Typical Angina</t>
  </si>
  <si>
    <t>Atypical Angina</t>
  </si>
  <si>
    <t>Non-anginal</t>
  </si>
  <si>
    <t>Asymptomatic</t>
  </si>
  <si>
    <t>Patients</t>
  </si>
  <si>
    <t>&gt;120 mg/dl</t>
  </si>
  <si>
    <t>&lt;=120 mg/dl</t>
  </si>
  <si>
    <t>Fasting Blood Sugar</t>
  </si>
  <si>
    <t>Normal</t>
  </si>
  <si>
    <t>ST-T wave abnormality</t>
  </si>
  <si>
    <t>Left ventricular hypertrophy</t>
  </si>
  <si>
    <t>ECG Results Type</t>
  </si>
  <si>
    <t>Heart Disease Prevalance by Sex</t>
  </si>
  <si>
    <t>Heart Disease Prevalance By Age</t>
  </si>
  <si>
    <t>Heart Disease Prevalance by Chest Pain Type</t>
  </si>
  <si>
    <t>Heart Disease Prevalance by Fasting Blood Sugar</t>
  </si>
  <si>
    <t>Heart Disease Prevalance by Resting ECG</t>
  </si>
  <si>
    <t>Heart Disease Prevalance by Exercise Induced Angina</t>
  </si>
  <si>
    <t>Yes</t>
  </si>
  <si>
    <t>No</t>
  </si>
  <si>
    <t>Sufferer</t>
  </si>
  <si>
    <t>One would think that the opposite is the case…</t>
  </si>
  <si>
    <t>&lt;--- Questionable results</t>
  </si>
  <si>
    <t>Slope Type</t>
  </si>
  <si>
    <t>Upsloping</t>
  </si>
  <si>
    <t>Flat</t>
  </si>
  <si>
    <t>Downsloping</t>
  </si>
  <si>
    <t>Thalassemia Type</t>
  </si>
  <si>
    <t>Fixed Defect</t>
  </si>
  <si>
    <t>Reversable Defect</t>
  </si>
  <si>
    <t>Heart Disease Prevalance by Thalassemia Type</t>
  </si>
  <si>
    <t>Heart Disease Prevalance by ST Slope Type</t>
  </si>
  <si>
    <t>Correlation</t>
  </si>
  <si>
    <t>Age vs. Max HR</t>
  </si>
  <si>
    <t>Correlation Coefficient</t>
  </si>
  <si>
    <t>Age vs. Cholesterol</t>
  </si>
  <si>
    <t>Age vs. Resting BP</t>
  </si>
  <si>
    <t>Resting BP vs. Cholesterol</t>
  </si>
  <si>
    <t>Row Labels</t>
  </si>
  <si>
    <t>Grand Total</t>
  </si>
  <si>
    <t>(All)</t>
  </si>
  <si>
    <t>No. of Patients</t>
  </si>
  <si>
    <t>% of total</t>
  </si>
  <si>
    <t>Has disease?</t>
  </si>
  <si>
    <t>Average chol</t>
  </si>
  <si>
    <t>Average maxhr</t>
  </si>
  <si>
    <t>Average restbps</t>
  </si>
  <si>
    <t>Average age</t>
  </si>
  <si>
    <t>agegroup</t>
  </si>
  <si>
    <t>Total Diseased</t>
  </si>
  <si>
    <t>Diseased Females</t>
  </si>
  <si>
    <t>Diseased Males</t>
  </si>
  <si>
    <t>Count of Diseased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</si>
</sst>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10" xfId="0" applyBorder="1"/>
    <xf numFmtId="0" fontId="0" fillId="33" borderId="10" xfId="0" applyFill="1" applyBorder="1"/>
    <xf numFmtId="2" fontId="0" fillId="0" borderId="0" xfId="0" applyNumberFormat="1"/>
    <xf numFmtId="49" fontId="0" fillId="0" borderId="0" xfId="0" applyNumberFormat="1"/>
    <xf numFmtId="0" fontId="0" fillId="34" borderId="12" xfId="0" applyFont="1" applyFill="1" applyBorder="1"/>
    <xf numFmtId="0" fontId="0" fillId="0" borderId="12" xfId="0" applyFont="1" applyBorder="1"/>
    <xf numFmtId="49" fontId="0" fillId="34" borderId="12" xfId="0" applyNumberFormat="1" applyFont="1" applyFill="1" applyBorder="1"/>
    <xf numFmtId="49" fontId="0" fillId="0" borderId="12" xfId="0" applyNumberFormat="1" applyFont="1" applyBorder="1"/>
    <xf numFmtId="0" fontId="13" fillId="33" borderId="11" xfId="0" applyFont="1" applyFill="1" applyBorder="1"/>
    <xf numFmtId="0" fontId="0" fillId="0" borderId="13" xfId="0" applyFont="1" applyBorder="1"/>
    <xf numFmtId="0" fontId="0" fillId="34" borderId="13" xfId="0" applyFont="1" applyFill="1" applyBorder="1"/>
    <xf numFmtId="0" fontId="0" fillId="35" borderId="10" xfId="0" applyFill="1" applyBorder="1"/>
    <xf numFmtId="0" fontId="0" fillId="36" borderId="10" xfId="0" applyFill="1" applyBorder="1"/>
    <xf numFmtId="2" fontId="0" fillId="0" borderId="10" xfId="0" applyNumberFormat="1" applyBorder="1"/>
    <xf numFmtId="0" fontId="16" fillId="33" borderId="10" xfId="0" applyFont="1" applyFill="1" applyBorder="1"/>
    <xf numFmtId="0" fontId="0" fillId="0" borderId="0" xfId="0" applyFont="1"/>
    <xf numFmtId="0" fontId="19" fillId="33" borderId="11" xfId="0" applyFont="1" applyFill="1" applyBorder="1"/>
    <xf numFmtId="49" fontId="19" fillId="33" borderId="11" xfId="0" applyNumberFormat="1" applyFont="1" applyFill="1" applyBorder="1"/>
    <xf numFmtId="0" fontId="0" fillId="0" borderId="10" xfId="0" quotePrefix="1" applyBorder="1"/>
    <xf numFmtId="164" fontId="0" fillId="0" borderId="10" xfId="0" applyNumberFormat="1" applyBorder="1"/>
    <xf numFmtId="0" fontId="0" fillId="33" borderId="10" xfId="0" applyFill="1" applyBorder="1" applyAlignment="1">
      <alignment horizontal="center" vertical="center"/>
    </xf>
    <xf numFmtId="164" fontId="0" fillId="0" borderId="10" xfId="42" applyNumberFormat="1" applyFont="1" applyBorder="1"/>
    <xf numFmtId="0" fontId="0" fillId="0" borderId="0" xfId="0" applyBorder="1"/>
    <xf numFmtId="165" fontId="0" fillId="0" borderId="10" xfId="0" applyNumberFormat="1" applyBorder="1"/>
    <xf numFmtId="0" fontId="20" fillId="33" borderId="11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20" fillId="33" borderId="1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33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8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4" xfId="0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66">
    <dxf>
      <numFmt numFmtId="166" formatCode="0.0"/>
    </dxf>
    <dxf>
      <numFmt numFmtId="166" formatCode="0.0"/>
    </dxf>
    <dxf>
      <numFmt numFmtId="2" formatCode="0.00"/>
    </dxf>
    <dxf>
      <numFmt numFmtId="164" formatCode="0.0%"/>
    </dxf>
    <dxf>
      <numFmt numFmtId="0" formatCode="General"/>
    </dxf>
    <dxf>
      <numFmt numFmtId="0" formatCode="General"/>
    </dxf>
    <dxf>
      <fill>
        <patternFill>
          <bgColor theme="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164" formatCode="0.0%"/>
    </dxf>
    <dxf>
      <numFmt numFmtId="2" formatCode="0.00"/>
    </dxf>
    <dxf>
      <numFmt numFmtId="166" formatCode="0.0"/>
    </dxf>
    <dxf>
      <numFmt numFmtId="166" formatCode="0.0"/>
    </dxf>
  </dxfs>
  <tableStyles count="0" defaultTableStyle="TableStyleMedium2" defaultPivotStyle="PivotStyleLight16"/>
  <colors>
    <mruColors>
      <color rgb="FF66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Averages for Diseased vs. Non-diseased Male Patients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summary!$G$1</c:f>
              <c:strCache>
                <c:ptCount val="1"/>
                <c:pt idx="0">
                  <c:v>No Disease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summary!$E$2:$E$5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summary!$G$2:$G$5</c:f>
              <c:numCache>
                <c:formatCode>0.00</c:formatCode>
                <c:ptCount val="4"/>
                <c:pt idx="0">
                  <c:v>56.087719298245617</c:v>
                </c:pt>
                <c:pt idx="1">
                  <c:v>131.92982456140351</c:v>
                </c:pt>
                <c:pt idx="2">
                  <c:v>246.06140350877192</c:v>
                </c:pt>
                <c:pt idx="3">
                  <c:v>138.40350877192984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95-404B-B3DF-63A0D7BC1D5E}"/>
            </c:ext>
          </c:extLst>
        </c:ser>
        <c:ser>
          <c:idx val="0"/>
          <c:order val="1"/>
          <c:tx>
            <c:strRef>
              <c:f>summary!$F$1</c:f>
              <c:strCache>
                <c:ptCount val="1"/>
                <c:pt idx="0">
                  <c:v>Disease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summary!$E$2:$E$5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summary!$F$2:$F$5</c:f>
              <c:numCache>
                <c:formatCode>0.00</c:formatCode>
                <c:ptCount val="4"/>
                <c:pt idx="0">
                  <c:v>51.043478260869563</c:v>
                </c:pt>
                <c:pt idx="1">
                  <c:v>129.65217391304347</c:v>
                </c:pt>
                <c:pt idx="2">
                  <c:v>231.59782608695653</c:v>
                </c:pt>
                <c:pt idx="3">
                  <c:v>161.78260869565219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5-404B-B3DF-63A0D7BC1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9251744"/>
        <c:axId val="459248136"/>
      </c:barChart>
      <c:catAx>
        <c:axId val="459251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248136"/>
        <c:crosses val="autoZero"/>
        <c:auto val="1"/>
        <c:lblAlgn val="ctr"/>
        <c:lblOffset val="100"/>
        <c:noMultiLvlLbl val="0"/>
      </c:catAx>
      <c:valAx>
        <c:axId val="459248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25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Averages for Diseased vs. Non-diseased Female Patients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summary!$G$1</c:f>
              <c:strCache>
                <c:ptCount val="1"/>
                <c:pt idx="0">
                  <c:v>No Disease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summary!$E$6:$E$9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summary!$G$6:$G$9</c:f>
              <c:numCache>
                <c:formatCode>0.00</c:formatCode>
                <c:ptCount val="4"/>
                <c:pt idx="0">
                  <c:v>59.041666666666664</c:v>
                </c:pt>
                <c:pt idx="1">
                  <c:v>146.125</c:v>
                </c:pt>
                <c:pt idx="2">
                  <c:v>274.95833333333331</c:v>
                </c:pt>
                <c:pt idx="3">
                  <c:v>142.41666666666666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CB-4BB5-B32A-A4BF0A10CC50}"/>
            </c:ext>
          </c:extLst>
        </c:ser>
        <c:ser>
          <c:idx val="0"/>
          <c:order val="1"/>
          <c:tx>
            <c:strRef>
              <c:f>summary!$F$1</c:f>
              <c:strCache>
                <c:ptCount val="1"/>
                <c:pt idx="0">
                  <c:v>Disease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summary!$E$6:$E$9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summary!$F$6:$F$9</c:f>
              <c:numCache>
                <c:formatCode>0.00</c:formatCode>
                <c:ptCount val="4"/>
                <c:pt idx="0">
                  <c:v>54.555555555555557</c:v>
                </c:pt>
                <c:pt idx="1">
                  <c:v>128.73611111111111</c:v>
                </c:pt>
                <c:pt idx="2">
                  <c:v>256.75</c:v>
                </c:pt>
                <c:pt idx="3">
                  <c:v>154.02777777777777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B-4BB5-B32A-A4BF0A10C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9282192"/>
        <c:axId val="659282520"/>
      </c:barChart>
      <c:catAx>
        <c:axId val="659282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282520"/>
        <c:crosses val="autoZero"/>
        <c:auto val="1"/>
        <c:lblAlgn val="ctr"/>
        <c:lblOffset val="100"/>
        <c:noMultiLvlLbl val="0"/>
      </c:catAx>
      <c:valAx>
        <c:axId val="659282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28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Chest Pain Type</a:t>
            </a:r>
          </a:p>
        </c:rich>
      </c:tx>
      <c:layout>
        <c:manualLayout>
          <c:xMode val="edge"/>
          <c:yMode val="edge"/>
          <c:x val="0.24634894322420223"/>
          <c:y val="4.6369623541422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categorical_analysis!$A$25</c:f>
              <c:strCache>
                <c:ptCount val="1"/>
                <c:pt idx="0">
                  <c:v>Typical Angina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categorical_analysis!$D$25</c:f>
              <c:numCache>
                <c:formatCode>0.0%</c:formatCode>
                <c:ptCount val="1"/>
                <c:pt idx="0">
                  <c:v>0.27272727272727271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1-4088-B16A-824457AA4672}"/>
            </c:ext>
          </c:extLst>
        </c:ser>
        <c:ser>
          <c:idx val="1"/>
          <c:order val="1"/>
          <c:tx>
            <c:strRef>
              <c:f>categorical_analysis!$A$26</c:f>
              <c:strCache>
                <c:ptCount val="1"/>
                <c:pt idx="0">
                  <c:v>Atypical Angina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categorical_analysis!$D$26</c:f>
              <c:numCache>
                <c:formatCode>0.0%</c:formatCode>
                <c:ptCount val="1"/>
                <c:pt idx="0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61-4088-B16A-824457AA4672}"/>
            </c:ext>
          </c:extLst>
        </c:ser>
        <c:ser>
          <c:idx val="2"/>
          <c:order val="2"/>
          <c:tx>
            <c:strRef>
              <c:f>categorical_analysis!$A$27</c:f>
              <c:strCache>
                <c:ptCount val="1"/>
                <c:pt idx="0">
                  <c:v>Non-anginal</c:v>
                </c:pt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categorical_analysis!$D$27</c:f>
              <c:numCache>
                <c:formatCode>0.0%</c:formatCode>
                <c:ptCount val="1"/>
                <c:pt idx="0">
                  <c:v>0.79069767441860461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61-4088-B16A-824457AA4672}"/>
            </c:ext>
          </c:extLst>
        </c:ser>
        <c:ser>
          <c:idx val="3"/>
          <c:order val="3"/>
          <c:tx>
            <c:strRef>
              <c:f>categorical_analysis!$A$28</c:f>
              <c:strCache>
                <c:ptCount val="1"/>
                <c:pt idx="0">
                  <c:v>Asymptomatic</c:v>
                </c:pt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categorical_analysis!$D$28</c:f>
              <c:numCache>
                <c:formatCode>0.0%</c:formatCode>
                <c:ptCount val="1"/>
                <c:pt idx="0">
                  <c:v>0.69565217391304346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61-4088-B16A-824457AA46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5872528"/>
        <c:axId val="805871216"/>
      </c:barChart>
      <c:catAx>
        <c:axId val="805872528"/>
        <c:scaling>
          <c:orientation val="minMax"/>
        </c:scaling>
        <c:delete val="1"/>
        <c:axPos val="b"/>
        <c:majorTickMark val="out"/>
        <c:minorTickMark val="none"/>
        <c:tickLblPos val="nextTo"/>
        <c:crossAx val="805871216"/>
        <c:crosses val="autoZero"/>
        <c:auto val="1"/>
        <c:lblAlgn val="ctr"/>
        <c:lblOffset val="100"/>
        <c:noMultiLvlLbl val="0"/>
      </c:catAx>
      <c:valAx>
        <c:axId val="80587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87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Fasting Blood</a:t>
            </a:r>
            <a:r>
              <a:rPr lang="en-GB" baseline="0"/>
              <a:t> Sugar Amount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9C5-4A4B-BBE0-E6C889F9B452}"/>
              </c:ext>
            </c:extLst>
          </c:dPt>
          <c:dPt>
            <c:idx val="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9C5-4A4B-BBE0-E6C889F9B45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categorical_analysis!$A$38:$A$39</c:f>
              <c:strCache>
                <c:ptCount val="2"/>
                <c:pt idx="0">
                  <c:v>&gt;120 mg/dl</c:v>
                </c:pt>
                <c:pt idx="1">
                  <c:v>&lt;=120 mg/dl</c:v>
                </c:pt>
              </c:strCache>
            </c:strRef>
          </c:cat>
          <c:val>
            <c:numRef>
              <c:f>categorical_analysis!$D$38:$D$39</c:f>
              <c:numCache>
                <c:formatCode>0.0%</c:formatCode>
                <c:ptCount val="2"/>
                <c:pt idx="0">
                  <c:v>0.51111111111111107</c:v>
                </c:pt>
                <c:pt idx="1">
                  <c:v>0.98601398601398604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5-4A4B-BBE0-E6C889F9B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3841040"/>
        <c:axId val="453841696"/>
      </c:barChart>
      <c:catAx>
        <c:axId val="45384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841696"/>
        <c:crosses val="autoZero"/>
        <c:auto val="1"/>
        <c:lblAlgn val="ctr"/>
        <c:lblOffset val="100"/>
        <c:noMultiLvlLbl val="0"/>
      </c:catAx>
      <c:valAx>
        <c:axId val="45384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84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1F-461D-AE20-6C185A8AE14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1F-461D-AE20-6C185A8AE14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1F-461D-AE20-6C185A8AE14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1F-461D-AE20-6C185A8AE14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1F-461D-AE20-6C185A8AE14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1F-461D-AE20-6C185A8AE142}"/>
              </c:ext>
            </c:extLst>
          </c:dPt>
          <c:cat>
            <c:strRef>
              <c:f>categorical_analysis!$A$14:$A$19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70+</c:v>
                </c:pt>
              </c:strCache>
            </c:strRef>
          </c:cat>
          <c:val>
            <c:numRef>
              <c:f>categorical_analysis!$D$14:$D$19</c:f>
              <c:numCache>
                <c:formatCode>0.0%</c:formatCode>
                <c:ptCount val="6"/>
                <c:pt idx="0">
                  <c:v>1</c:v>
                </c:pt>
                <c:pt idx="1">
                  <c:v>0.7142857142857143</c:v>
                </c:pt>
                <c:pt idx="2">
                  <c:v>0.69444444444444442</c:v>
                </c:pt>
                <c:pt idx="3">
                  <c:v>0.52</c:v>
                </c:pt>
                <c:pt idx="4">
                  <c:v>0.4</c:v>
                </c:pt>
                <c:pt idx="5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5-489B-9F35-5664BDCFF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9126432"/>
        <c:axId val="459129056"/>
      </c:barChart>
      <c:catAx>
        <c:axId val="45912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29056"/>
        <c:crosses val="autoZero"/>
        <c:auto val="1"/>
        <c:lblAlgn val="ctr"/>
        <c:lblOffset val="100"/>
        <c:noMultiLvlLbl val="0"/>
      </c:catAx>
      <c:valAx>
        <c:axId val="4591290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2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Heart Disease Prevalance by Sex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6CC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3D-4B7C-A8E0-432C02405176}"/>
              </c:ext>
            </c:extLst>
          </c:dPt>
          <c:dPt>
            <c:idx val="1"/>
            <c:invertIfNegative val="0"/>
            <c:bubble3D val="0"/>
            <c:spPr>
              <a:solidFill>
                <a:srgbClr val="FF99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D-4B7C-A8E0-432C0240517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categorical_analysis!$A$3:$A$4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categorical_analysis!$D$3:$D$4</c:f>
              <c:numCache>
                <c:formatCode>0.0%</c:formatCode>
                <c:ptCount val="2"/>
                <c:pt idx="0">
                  <c:v>0.44660194174757284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3D-4B7C-A8E0-432C0240517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59133648"/>
        <c:axId val="459137912"/>
      </c:barChart>
      <c:catAx>
        <c:axId val="45913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37912"/>
        <c:crosses val="autoZero"/>
        <c:auto val="1"/>
        <c:lblAlgn val="ctr"/>
        <c:lblOffset val="100"/>
        <c:noMultiLvlLbl val="0"/>
      </c:catAx>
      <c:valAx>
        <c:axId val="459137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3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Resting ECG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78A-4CB2-8448-8B4106D7090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C9B-4DBE-83B8-5515D197B4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78A-4CB2-8448-8B4106D709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categorical_analysis!$A$50:$A$52</c:f>
              <c:strCache>
                <c:ptCount val="3"/>
                <c:pt idx="0">
                  <c:v>Normal</c:v>
                </c:pt>
                <c:pt idx="1">
                  <c:v>ST-T wave abnormality</c:v>
                </c:pt>
                <c:pt idx="2">
                  <c:v>Left ventricular hypertrophy</c:v>
                </c:pt>
              </c:strCache>
            </c:strRef>
          </c:cat>
          <c:val>
            <c:numRef>
              <c:f>categorical_analysis!$D$50:$D$52</c:f>
              <c:numCache>
                <c:formatCode>0.0%</c:formatCode>
                <c:ptCount val="3"/>
                <c:pt idx="0">
                  <c:v>0.46258503401360546</c:v>
                </c:pt>
                <c:pt idx="1">
                  <c:v>0.62913907284768211</c:v>
                </c:pt>
                <c:pt idx="2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B-4DBE-83B8-5515D197B4F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2575832"/>
        <c:axId val="652578456"/>
      </c:barChart>
      <c:catAx>
        <c:axId val="652575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78456"/>
        <c:crosses val="autoZero"/>
        <c:auto val="1"/>
        <c:lblAlgn val="ctr"/>
        <c:lblOffset val="100"/>
        <c:noMultiLvlLbl val="0"/>
      </c:catAx>
      <c:valAx>
        <c:axId val="652578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75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Exercise Induced Angina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categorical_analysis!$A$62:$A$63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categorical_analysis!$D$62:$D$63</c:f>
              <c:numCache>
                <c:formatCode>0.0%</c:formatCode>
                <c:ptCount val="2"/>
                <c:pt idx="0">
                  <c:v>0.23232323232323232</c:v>
                </c:pt>
                <c:pt idx="1">
                  <c:v>0.69458128078817738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94-4330-A739-E2BFFD26F2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2580096"/>
        <c:axId val="652580752"/>
      </c:barChart>
      <c:catAx>
        <c:axId val="65258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80752"/>
        <c:crosses val="autoZero"/>
        <c:auto val="1"/>
        <c:lblAlgn val="ctr"/>
        <c:lblOffset val="100"/>
        <c:noMultiLvlLbl val="0"/>
      </c:catAx>
      <c:valAx>
        <c:axId val="6525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8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ST Slope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03-4166-BDAC-1998FD920BC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03-4166-BDAC-1998FD920BC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0D-4838-BB8F-306421E6718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categorical_analysis!$A$73:$A$75</c:f>
              <c:strCache>
                <c:ptCount val="3"/>
                <c:pt idx="0">
                  <c:v>Upsloping</c:v>
                </c:pt>
                <c:pt idx="1">
                  <c:v>Flat</c:v>
                </c:pt>
                <c:pt idx="2">
                  <c:v>Downsloping</c:v>
                </c:pt>
              </c:strCache>
            </c:strRef>
          </c:cat>
          <c:val>
            <c:numRef>
              <c:f>categorical_analysis!$D$73:$D$75</c:f>
              <c:numCache>
                <c:formatCode>0.0%</c:formatCode>
                <c:ptCount val="3"/>
                <c:pt idx="0">
                  <c:v>0.42857142857142855</c:v>
                </c:pt>
                <c:pt idx="1">
                  <c:v>0.35</c:v>
                </c:pt>
                <c:pt idx="2">
                  <c:v>0.75177304964539005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D-4838-BB8F-306421E67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3388688"/>
        <c:axId val="813388032"/>
      </c:barChart>
      <c:catAx>
        <c:axId val="81338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88032"/>
        <c:crosses val="autoZero"/>
        <c:auto val="1"/>
        <c:lblAlgn val="ctr"/>
        <c:lblOffset val="100"/>
        <c:noMultiLvlLbl val="0"/>
      </c:catAx>
      <c:valAx>
        <c:axId val="8133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88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Thalassemia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E8-441C-BD97-F89E913D96D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E8-441C-BD97-F89E913D96D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E15-42F0-9BB5-96383DE6C65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categorical_analysis!$A$86:$A$88</c:f>
              <c:strCache>
                <c:ptCount val="3"/>
                <c:pt idx="0">
                  <c:v>Normal</c:v>
                </c:pt>
                <c:pt idx="1">
                  <c:v>Fixed Defect</c:v>
                </c:pt>
                <c:pt idx="2">
                  <c:v>Reversable Defect</c:v>
                </c:pt>
              </c:strCache>
            </c:strRef>
          </c:cat>
          <c:val>
            <c:numRef>
              <c:f>categorical_analysis!$D$86:$D$88</c:f>
              <c:numCache>
                <c:formatCode>0.0%</c:formatCode>
                <c:ptCount val="3"/>
                <c:pt idx="0">
                  <c:v>0.33333333333333331</c:v>
                </c:pt>
                <c:pt idx="1">
                  <c:v>0.78181818181818186</c:v>
                </c:pt>
                <c:pt idx="2">
                  <c:v>0.23931623931623933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15-42F0-9BB5-96383DE6C6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6216312"/>
        <c:axId val="326213688"/>
      </c:barChart>
      <c:catAx>
        <c:axId val="32621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13688"/>
        <c:crosses val="autoZero"/>
        <c:auto val="1"/>
        <c:lblAlgn val="ctr"/>
        <c:lblOffset val="100"/>
        <c:noMultiLvlLbl val="0"/>
      </c:catAx>
      <c:valAx>
        <c:axId val="326213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16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Male Heart Disease by Age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Male Heart Disease by Age</a:t>
          </a:r>
        </a:p>
      </cx:txPr>
    </cx:title>
    <cx:plotArea>
      <cx:plotAreaRegion>
        <cx:series layoutId="clusteredColumn" uniqueId="{DB855341-751F-4F29-801D-6D74B2F123A1}">
          <cx:tx>
            <cx:txData>
              <cx:f>_xlchart.v1.0</cx:f>
              <cx:v>age</cx:v>
            </cx:txData>
          </cx:tx>
          <cx:dataLabels/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Age Range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Age Range</a:t>
              </a:r>
            </a:p>
          </cx:txPr>
        </cx:title>
        <cx:tickLabels/>
      </cx:axis>
      <cx:axis id="1">
        <cx:valScaling/>
        <cx:title>
          <cx:tx>
            <cx:txData>
              <cx:v>No. of Males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No. of Males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Female Heart Disease by Age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Female Heart Disease by Age</a:t>
          </a:r>
        </a:p>
      </cx:txPr>
    </cx:title>
    <cx:plotArea>
      <cx:plotAreaRegion>
        <cx:series layoutId="clusteredColumn" uniqueId="{F76295A2-64D1-42FD-A920-76438138AE7B}">
          <cx:tx>
            <cx:txData>
              <cx:f>_xlchart.v1.2</cx:f>
              <cx:v>age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Age Range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Age Range</a:t>
              </a:r>
            </a:p>
          </cx:txPr>
        </cx:title>
        <cx:tickLabels/>
      </cx:axis>
      <cx:axis id="1">
        <cx:valScaling/>
        <cx:title>
          <cx:tx>
            <cx:txData>
              <cx:v>No. of Females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No. of Females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25400</xdr:colOff>
      <xdr:row>9</xdr:row>
      <xdr:rowOff>82550</xdr:rowOff>
    </xdr:from>
    <xdr:to>
      <xdr:col>10</xdr:col>
      <xdr:colOff>184150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B02A39-E15F-47F4-8D70-0E18D5E573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9524</xdr:colOff>
      <xdr:row>23</xdr:row>
      <xdr:rowOff>31750</xdr:rowOff>
    </xdr:from>
    <xdr:to>
      <xdr:col>10</xdr:col>
      <xdr:colOff>184149</xdr:colOff>
      <xdr:row>37</xdr:row>
      <xdr:rowOff>107950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0E1960-8F8B-4D5F-ADA2-033DAB6DD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66919</xdr:colOff>
      <xdr:row>22</xdr:row>
      <xdr:rowOff>10746</xdr:rowOff>
    </xdr:from>
    <xdr:to>
      <xdr:col>9</xdr:col>
      <xdr:colOff>565150</xdr:colOff>
      <xdr:row>32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DEE21-9D84-4218-BEDF-F7526504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31750</xdr:colOff>
      <xdr:row>36</xdr:row>
      <xdr:rowOff>19050</xdr:rowOff>
    </xdr:from>
    <xdr:to>
      <xdr:col>9</xdr:col>
      <xdr:colOff>527050</xdr:colOff>
      <xdr:row>46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89BF93-E4E2-421F-A05A-A02D63137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57150</xdr:colOff>
      <xdr:row>11</xdr:row>
      <xdr:rowOff>12700</xdr:rowOff>
    </xdr:from>
    <xdr:to>
      <xdr:col>9</xdr:col>
      <xdr:colOff>571500</xdr:colOff>
      <xdr:row>19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523ED0B-EBD4-4DCB-8CDA-344B9B88C5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50800</xdr:colOff>
      <xdr:row>0</xdr:row>
      <xdr:rowOff>25400</xdr:rowOff>
    </xdr:from>
    <xdr:to>
      <xdr:col>9</xdr:col>
      <xdr:colOff>577850</xdr:colOff>
      <xdr:row>8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F5DFE1-4618-4342-AF84-9E88AD764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41275</xdr:colOff>
      <xdr:row>47</xdr:row>
      <xdr:rowOff>25400</xdr:rowOff>
    </xdr:from>
    <xdr:to>
      <xdr:col>9</xdr:col>
      <xdr:colOff>558800</xdr:colOff>
      <xdr:row>56</xdr:row>
      <xdr:rowOff>165100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1FEF53E-EA94-4AF4-8A31-5A896B962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76200</xdr:colOff>
      <xdr:row>59</xdr:row>
      <xdr:rowOff>6350</xdr:rowOff>
    </xdr:from>
    <xdr:to>
      <xdr:col>9</xdr:col>
      <xdr:colOff>584200</xdr:colOff>
      <xdr:row>67</xdr:row>
      <xdr:rowOff>158750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469CD54-783B-4D35-9B04-BE7681E3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50800</xdr:colOff>
      <xdr:row>70</xdr:row>
      <xdr:rowOff>12700</xdr:rowOff>
    </xdr:from>
    <xdr:to>
      <xdr:col>9</xdr:col>
      <xdr:colOff>571500</xdr:colOff>
      <xdr:row>80</xdr:row>
      <xdr:rowOff>158750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175467-0176-4A80-BF15-D61CB892C7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69850</xdr:colOff>
      <xdr:row>83</xdr:row>
      <xdr:rowOff>12700</xdr:rowOff>
    </xdr:from>
    <xdr:to>
      <xdr:col>8</xdr:col>
      <xdr:colOff>584200</xdr:colOff>
      <xdr:row>93</xdr:row>
      <xdr:rowOff>165100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44EA297-36F8-4FAB-8498-62261297D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</xdr:colOff>
      <xdr:row>1</xdr:row>
      <xdr:rowOff>23812</xdr:rowOff>
    </xdr:from>
    <xdr:to>
      <xdr:col>20</xdr:col>
      <xdr:colOff>539750</xdr:colOff>
      <xdr:row>18</xdr:row>
      <xdr:rowOff>119064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296809A-4703-4520-95D5-A6EF0B249C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24825" y="214312"/>
              <a:ext cx="5502275" cy="33337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49212</xdr:colOff>
      <xdr:row>1</xdr:row>
      <xdr:rowOff>31750</xdr:rowOff>
    </xdr:from>
    <xdr:to>
      <xdr:col>20</xdr:col>
      <xdr:colOff>547689</xdr:colOff>
      <xdr:row>18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781C48D-48EA-4E99-B8B0-9AE32BD8EC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16887" y="222250"/>
              <a:ext cx="5518152" cy="3333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ke" refreshedDate="46258.707918981483" createdVersion="6" refreshedVersion="6" minRefreshableVersion="3" recordCount="302" xr:uid="{62B1BDB2-067E-429A-AD49-F373C63E603D}">
  <cacheSource type="worksheet">
    <worksheetSource name="Table1"/>
  </cacheSource>
  <cacheFields count="14">
    <cacheField name="age" numFmtId="0">
      <sharedItems containsSemiMixedTypes="0" containsString="0" containsNumber="1" containsInteger="1" minValue="29" maxValue="77"/>
    </cacheField>
    <cacheField name="agegroup" numFmtId="0">
      <sharedItems count="6">
        <s v="60-69"/>
        <s v="50-59"/>
        <s v="40-49"/>
        <s v="70+"/>
        <s v="30-39"/>
        <s v="20-29"/>
      </sharedItems>
    </cacheField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cpt" numFmtId="0">
      <sharedItems containsSemiMixedTypes="0" containsString="0" containsNumber="1" containsInteger="1" minValue="0" maxValue="3" count="4">
        <n v="2"/>
        <n v="0"/>
        <n v="1"/>
        <n v="3"/>
      </sharedItems>
    </cacheField>
    <cacheField name="restbps" numFmtId="0">
      <sharedItems containsSemiMixedTypes="0" containsString="0" containsNumber="1" containsInteger="1" minValue="94" maxValue="200"/>
    </cacheField>
    <cacheField name="chol" numFmtId="0">
      <sharedItems containsSemiMixedTypes="0" containsString="0" containsNumber="1" containsInteger="1" minValue="126" maxValue="564"/>
    </cacheField>
    <cacheField name="fbs" numFmtId="0">
      <sharedItems containsSemiMixedTypes="0" containsString="0" containsNumber="1" containsInteger="1" minValue="0" maxValue="1"/>
    </cacheField>
    <cacheField name="restecg" numFmtId="0">
      <sharedItems containsSemiMixedTypes="0" containsString="0" containsNumber="1" containsInteger="1" minValue="0" maxValue="2" count="3">
        <n v="0"/>
        <n v="1"/>
        <n v="2"/>
      </sharedItems>
    </cacheField>
    <cacheField name="maxhr" numFmtId="0">
      <sharedItems containsSemiMixedTypes="0" containsString="0" containsNumber="1" containsInteger="1" minValue="71" maxValue="202"/>
    </cacheField>
    <cacheField name="exang" numFmtId="0">
      <sharedItems containsSemiMixedTypes="0" containsString="0" containsNumber="1" containsInteger="1" minValue="0" maxValue="1"/>
    </cacheField>
    <cacheField name="oldpeak" numFmtId="0">
      <sharedItems containsSemiMixedTypes="0" containsString="0" containsNumber="1" minValue="0" maxValue="6.2"/>
    </cacheField>
    <cacheField name="slope" numFmtId="0">
      <sharedItems containsSemiMixedTypes="0" containsString="0" containsNumber="1" containsInteger="1" minValue="0" maxValue="2"/>
    </cacheField>
    <cacheField name="thal" numFmtId="0">
      <sharedItems containsSemiMixedTypes="0" containsString="0" containsNumber="1" containsInteger="1" minValue="0" maxValue="3"/>
    </cacheField>
    <cacheField name="target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2">
  <r>
    <n v="67"/>
    <x v="0"/>
    <x v="0"/>
    <x v="0"/>
    <n v="115"/>
    <n v="564"/>
    <n v="0"/>
    <x v="0"/>
    <n v="160"/>
    <n v="0"/>
    <n v="1.6"/>
    <n v="1"/>
    <n v="3"/>
    <x v="0"/>
  </r>
  <r>
    <n v="65"/>
    <x v="0"/>
    <x v="0"/>
    <x v="0"/>
    <n v="140"/>
    <n v="417"/>
    <n v="1"/>
    <x v="0"/>
    <n v="157"/>
    <n v="0"/>
    <n v="0.8"/>
    <n v="2"/>
    <n v="2"/>
    <x v="0"/>
  </r>
  <r>
    <n v="56"/>
    <x v="1"/>
    <x v="0"/>
    <x v="1"/>
    <n v="134"/>
    <n v="409"/>
    <n v="0"/>
    <x v="0"/>
    <n v="150"/>
    <n v="1"/>
    <n v="1.9"/>
    <n v="1"/>
    <n v="3"/>
    <x v="1"/>
  </r>
  <r>
    <n v="63"/>
    <x v="0"/>
    <x v="0"/>
    <x v="1"/>
    <n v="150"/>
    <n v="407"/>
    <n v="0"/>
    <x v="0"/>
    <n v="154"/>
    <n v="0"/>
    <n v="4"/>
    <n v="1"/>
    <n v="3"/>
    <x v="1"/>
  </r>
  <r>
    <n v="62"/>
    <x v="0"/>
    <x v="0"/>
    <x v="1"/>
    <n v="140"/>
    <n v="394"/>
    <n v="0"/>
    <x v="0"/>
    <n v="157"/>
    <n v="0"/>
    <n v="1.2"/>
    <n v="1"/>
    <n v="2"/>
    <x v="0"/>
  </r>
  <r>
    <n v="65"/>
    <x v="0"/>
    <x v="0"/>
    <x v="0"/>
    <n v="160"/>
    <n v="360"/>
    <n v="0"/>
    <x v="0"/>
    <n v="151"/>
    <n v="0"/>
    <n v="0.8"/>
    <n v="2"/>
    <n v="2"/>
    <x v="0"/>
  </r>
  <r>
    <n v="57"/>
    <x v="1"/>
    <x v="0"/>
    <x v="1"/>
    <n v="120"/>
    <n v="354"/>
    <n v="0"/>
    <x v="1"/>
    <n v="163"/>
    <n v="1"/>
    <n v="0.6"/>
    <n v="2"/>
    <n v="2"/>
    <x v="0"/>
  </r>
  <r>
    <n v="55"/>
    <x v="1"/>
    <x v="1"/>
    <x v="1"/>
    <n v="132"/>
    <n v="353"/>
    <n v="0"/>
    <x v="1"/>
    <n v="132"/>
    <n v="1"/>
    <n v="1.2"/>
    <n v="1"/>
    <n v="3"/>
    <x v="1"/>
  </r>
  <r>
    <n v="55"/>
    <x v="1"/>
    <x v="0"/>
    <x v="2"/>
    <n v="132"/>
    <n v="342"/>
    <n v="0"/>
    <x v="1"/>
    <n v="166"/>
    <n v="0"/>
    <n v="1.2"/>
    <n v="2"/>
    <n v="2"/>
    <x v="0"/>
  </r>
  <r>
    <n v="43"/>
    <x v="2"/>
    <x v="0"/>
    <x v="1"/>
    <n v="132"/>
    <n v="341"/>
    <n v="1"/>
    <x v="0"/>
    <n v="136"/>
    <n v="1"/>
    <n v="3"/>
    <n v="1"/>
    <n v="3"/>
    <x v="1"/>
  </r>
  <r>
    <n v="58"/>
    <x v="1"/>
    <x v="0"/>
    <x v="0"/>
    <n v="120"/>
    <n v="340"/>
    <n v="0"/>
    <x v="1"/>
    <n v="172"/>
    <n v="0"/>
    <n v="0"/>
    <n v="2"/>
    <n v="2"/>
    <x v="0"/>
  </r>
  <r>
    <n v="57"/>
    <x v="1"/>
    <x v="1"/>
    <x v="1"/>
    <n v="110"/>
    <n v="335"/>
    <n v="0"/>
    <x v="1"/>
    <n v="143"/>
    <n v="1"/>
    <n v="3"/>
    <n v="1"/>
    <n v="3"/>
    <x v="1"/>
  </r>
  <r>
    <n v="64"/>
    <x v="0"/>
    <x v="1"/>
    <x v="0"/>
    <n v="140"/>
    <n v="335"/>
    <n v="0"/>
    <x v="1"/>
    <n v="158"/>
    <n v="0"/>
    <n v="0"/>
    <n v="2"/>
    <n v="2"/>
    <x v="1"/>
  </r>
  <r>
    <n v="61"/>
    <x v="0"/>
    <x v="0"/>
    <x v="1"/>
    <n v="130"/>
    <n v="330"/>
    <n v="0"/>
    <x v="0"/>
    <n v="169"/>
    <n v="0"/>
    <n v="0"/>
    <n v="2"/>
    <n v="2"/>
    <x v="1"/>
  </r>
  <r>
    <n v="63"/>
    <x v="0"/>
    <x v="1"/>
    <x v="1"/>
    <n v="130"/>
    <n v="330"/>
    <n v="1"/>
    <x v="0"/>
    <n v="132"/>
    <n v="1"/>
    <n v="1.8"/>
    <n v="2"/>
    <n v="3"/>
    <x v="1"/>
  </r>
  <r>
    <n v="55"/>
    <x v="1"/>
    <x v="0"/>
    <x v="1"/>
    <n v="180"/>
    <n v="327"/>
    <n v="0"/>
    <x v="2"/>
    <n v="117"/>
    <n v="1"/>
    <n v="3.4"/>
    <n v="1"/>
    <n v="2"/>
    <x v="1"/>
  </r>
  <r>
    <n v="59"/>
    <x v="1"/>
    <x v="1"/>
    <x v="1"/>
    <n v="170"/>
    <n v="326"/>
    <n v="0"/>
    <x v="0"/>
    <n v="140"/>
    <n v="1"/>
    <n v="3.4"/>
    <n v="0"/>
    <n v="3"/>
    <x v="1"/>
  </r>
  <r>
    <n v="64"/>
    <x v="0"/>
    <x v="0"/>
    <x v="1"/>
    <n v="180"/>
    <n v="325"/>
    <n v="0"/>
    <x v="1"/>
    <n v="154"/>
    <n v="1"/>
    <n v="0"/>
    <n v="2"/>
    <n v="2"/>
    <x v="0"/>
  </r>
  <r>
    <n v="52"/>
    <x v="1"/>
    <x v="1"/>
    <x v="2"/>
    <n v="120"/>
    <n v="325"/>
    <n v="0"/>
    <x v="1"/>
    <n v="172"/>
    <n v="0"/>
    <n v="0.2"/>
    <n v="2"/>
    <n v="2"/>
    <x v="0"/>
  </r>
  <r>
    <n v="70"/>
    <x v="3"/>
    <x v="1"/>
    <x v="1"/>
    <n v="130"/>
    <n v="322"/>
    <n v="0"/>
    <x v="0"/>
    <n v="109"/>
    <n v="0"/>
    <n v="2.4"/>
    <n v="1"/>
    <n v="2"/>
    <x v="1"/>
  </r>
  <r>
    <n v="39"/>
    <x v="4"/>
    <x v="1"/>
    <x v="0"/>
    <n v="140"/>
    <n v="321"/>
    <n v="0"/>
    <x v="0"/>
    <n v="182"/>
    <n v="0"/>
    <n v="0"/>
    <n v="2"/>
    <n v="2"/>
    <x v="0"/>
  </r>
  <r>
    <n v="58"/>
    <x v="1"/>
    <x v="0"/>
    <x v="2"/>
    <n v="136"/>
    <n v="319"/>
    <n v="1"/>
    <x v="0"/>
    <n v="152"/>
    <n v="0"/>
    <n v="0"/>
    <n v="2"/>
    <n v="2"/>
    <x v="1"/>
  </r>
  <r>
    <n v="58"/>
    <x v="1"/>
    <x v="1"/>
    <x v="1"/>
    <n v="114"/>
    <n v="318"/>
    <n v="0"/>
    <x v="2"/>
    <n v="140"/>
    <n v="0"/>
    <n v="4.4000000000000004"/>
    <n v="0"/>
    <n v="1"/>
    <x v="1"/>
  </r>
  <r>
    <n v="60"/>
    <x v="0"/>
    <x v="0"/>
    <x v="0"/>
    <n v="102"/>
    <n v="318"/>
    <n v="0"/>
    <x v="1"/>
    <n v="160"/>
    <n v="0"/>
    <n v="0"/>
    <n v="2"/>
    <n v="2"/>
    <x v="0"/>
  </r>
  <r>
    <n v="42"/>
    <x v="2"/>
    <x v="1"/>
    <x v="1"/>
    <n v="136"/>
    <n v="315"/>
    <n v="0"/>
    <x v="1"/>
    <n v="125"/>
    <n v="1"/>
    <n v="1.8"/>
    <n v="1"/>
    <n v="1"/>
    <x v="1"/>
  </r>
  <r>
    <n v="43"/>
    <x v="2"/>
    <x v="1"/>
    <x v="0"/>
    <n v="130"/>
    <n v="315"/>
    <n v="0"/>
    <x v="1"/>
    <n v="162"/>
    <n v="0"/>
    <n v="1.9"/>
    <n v="2"/>
    <n v="2"/>
    <x v="0"/>
  </r>
  <r>
    <n v="64"/>
    <x v="0"/>
    <x v="0"/>
    <x v="0"/>
    <n v="140"/>
    <n v="313"/>
    <n v="0"/>
    <x v="1"/>
    <n v="133"/>
    <n v="0"/>
    <n v="0.2"/>
    <n v="2"/>
    <n v="3"/>
    <x v="0"/>
  </r>
  <r>
    <n v="46"/>
    <x v="2"/>
    <x v="1"/>
    <x v="1"/>
    <n v="140"/>
    <n v="311"/>
    <n v="0"/>
    <x v="1"/>
    <n v="120"/>
    <n v="1"/>
    <n v="1.8"/>
    <n v="1"/>
    <n v="3"/>
    <x v="1"/>
  </r>
  <r>
    <n v="54"/>
    <x v="1"/>
    <x v="1"/>
    <x v="2"/>
    <n v="108"/>
    <n v="309"/>
    <n v="0"/>
    <x v="1"/>
    <n v="156"/>
    <n v="0"/>
    <n v="0"/>
    <n v="2"/>
    <n v="3"/>
    <x v="0"/>
  </r>
  <r>
    <n v="64"/>
    <x v="0"/>
    <x v="1"/>
    <x v="0"/>
    <n v="125"/>
    <n v="309"/>
    <n v="0"/>
    <x v="1"/>
    <n v="131"/>
    <n v="1"/>
    <n v="1.8"/>
    <n v="1"/>
    <n v="3"/>
    <x v="1"/>
  </r>
  <r>
    <n v="45"/>
    <x v="2"/>
    <x v="1"/>
    <x v="1"/>
    <n v="142"/>
    <n v="309"/>
    <n v="0"/>
    <x v="0"/>
    <n v="147"/>
    <n v="1"/>
    <n v="0"/>
    <n v="1"/>
    <n v="3"/>
    <x v="1"/>
  </r>
  <r>
    <n v="51"/>
    <x v="1"/>
    <x v="0"/>
    <x v="0"/>
    <n v="140"/>
    <n v="308"/>
    <n v="0"/>
    <x v="0"/>
    <n v="142"/>
    <n v="0"/>
    <n v="1.5"/>
    <n v="2"/>
    <n v="2"/>
    <x v="0"/>
  </r>
  <r>
    <n v="45"/>
    <x v="2"/>
    <x v="1"/>
    <x v="2"/>
    <n v="128"/>
    <n v="308"/>
    <n v="0"/>
    <x v="0"/>
    <n v="170"/>
    <n v="0"/>
    <n v="0"/>
    <n v="2"/>
    <n v="2"/>
    <x v="0"/>
  </r>
  <r>
    <n v="61"/>
    <x v="0"/>
    <x v="0"/>
    <x v="1"/>
    <n v="145"/>
    <n v="307"/>
    <n v="0"/>
    <x v="0"/>
    <n v="146"/>
    <n v="1"/>
    <n v="1"/>
    <n v="1"/>
    <n v="3"/>
    <x v="1"/>
  </r>
  <r>
    <n v="41"/>
    <x v="2"/>
    <x v="0"/>
    <x v="2"/>
    <n v="126"/>
    <n v="306"/>
    <n v="0"/>
    <x v="1"/>
    <n v="163"/>
    <n v="0"/>
    <n v="0"/>
    <n v="2"/>
    <n v="2"/>
    <x v="0"/>
  </r>
  <r>
    <n v="51"/>
    <x v="1"/>
    <x v="0"/>
    <x v="1"/>
    <n v="130"/>
    <n v="305"/>
    <n v="0"/>
    <x v="1"/>
    <n v="142"/>
    <n v="1"/>
    <n v="1.2"/>
    <n v="1"/>
    <n v="3"/>
    <x v="1"/>
  </r>
  <r>
    <n v="77"/>
    <x v="3"/>
    <x v="1"/>
    <x v="1"/>
    <n v="125"/>
    <n v="304"/>
    <n v="0"/>
    <x v="0"/>
    <n v="162"/>
    <n v="1"/>
    <n v="0"/>
    <n v="2"/>
    <n v="2"/>
    <x v="1"/>
  </r>
  <r>
    <n v="54"/>
    <x v="1"/>
    <x v="0"/>
    <x v="0"/>
    <n v="135"/>
    <n v="304"/>
    <n v="1"/>
    <x v="1"/>
    <n v="170"/>
    <n v="0"/>
    <n v="0"/>
    <n v="2"/>
    <n v="2"/>
    <x v="0"/>
  </r>
  <r>
    <n v="57"/>
    <x v="1"/>
    <x v="0"/>
    <x v="1"/>
    <n v="128"/>
    <n v="303"/>
    <n v="0"/>
    <x v="0"/>
    <n v="159"/>
    <n v="0"/>
    <n v="0"/>
    <n v="2"/>
    <n v="2"/>
    <x v="0"/>
  </r>
  <r>
    <n v="64"/>
    <x v="0"/>
    <x v="0"/>
    <x v="1"/>
    <n v="130"/>
    <n v="303"/>
    <n v="0"/>
    <x v="1"/>
    <n v="122"/>
    <n v="0"/>
    <n v="2"/>
    <n v="1"/>
    <n v="2"/>
    <x v="0"/>
  </r>
  <r>
    <n v="43"/>
    <x v="2"/>
    <x v="1"/>
    <x v="1"/>
    <n v="115"/>
    <n v="303"/>
    <n v="0"/>
    <x v="1"/>
    <n v="181"/>
    <n v="0"/>
    <n v="1.2"/>
    <n v="1"/>
    <n v="2"/>
    <x v="0"/>
  </r>
  <r>
    <n v="71"/>
    <x v="3"/>
    <x v="0"/>
    <x v="2"/>
    <n v="160"/>
    <n v="302"/>
    <n v="0"/>
    <x v="1"/>
    <n v="162"/>
    <n v="0"/>
    <n v="0.4"/>
    <n v="2"/>
    <n v="2"/>
    <x v="0"/>
  </r>
  <r>
    <n v="66"/>
    <x v="0"/>
    <x v="1"/>
    <x v="1"/>
    <n v="120"/>
    <n v="302"/>
    <n v="0"/>
    <x v="0"/>
    <n v="151"/>
    <n v="0"/>
    <n v="0.4"/>
    <n v="1"/>
    <n v="2"/>
    <x v="0"/>
  </r>
  <r>
    <n v="58"/>
    <x v="1"/>
    <x v="1"/>
    <x v="1"/>
    <n v="125"/>
    <n v="300"/>
    <n v="0"/>
    <x v="0"/>
    <n v="171"/>
    <n v="0"/>
    <n v="0"/>
    <n v="2"/>
    <n v="3"/>
    <x v="1"/>
  </r>
  <r>
    <n v="67"/>
    <x v="0"/>
    <x v="1"/>
    <x v="1"/>
    <n v="100"/>
    <n v="299"/>
    <n v="0"/>
    <x v="0"/>
    <n v="125"/>
    <n v="1"/>
    <n v="0.9"/>
    <n v="1"/>
    <n v="2"/>
    <x v="1"/>
  </r>
  <r>
    <n v="51"/>
    <x v="1"/>
    <x v="1"/>
    <x v="1"/>
    <n v="140"/>
    <n v="299"/>
    <n v="0"/>
    <x v="1"/>
    <n v="173"/>
    <n v="1"/>
    <n v="1.6"/>
    <n v="2"/>
    <n v="3"/>
    <x v="1"/>
  </r>
  <r>
    <n v="51"/>
    <x v="1"/>
    <x v="1"/>
    <x v="1"/>
    <n v="140"/>
    <n v="298"/>
    <n v="0"/>
    <x v="1"/>
    <n v="122"/>
    <n v="1"/>
    <n v="4.2"/>
    <n v="1"/>
    <n v="3"/>
    <x v="1"/>
  </r>
  <r>
    <n v="52"/>
    <x v="1"/>
    <x v="1"/>
    <x v="3"/>
    <n v="152"/>
    <n v="298"/>
    <n v="1"/>
    <x v="1"/>
    <n v="178"/>
    <n v="0"/>
    <n v="1.2"/>
    <n v="1"/>
    <n v="3"/>
    <x v="0"/>
  </r>
  <r>
    <n v="42"/>
    <x v="2"/>
    <x v="1"/>
    <x v="2"/>
    <n v="120"/>
    <n v="295"/>
    <n v="0"/>
    <x v="1"/>
    <n v="162"/>
    <n v="0"/>
    <n v="0"/>
    <n v="2"/>
    <n v="2"/>
    <x v="0"/>
  </r>
  <r>
    <n v="51"/>
    <x v="1"/>
    <x v="0"/>
    <x v="0"/>
    <n v="120"/>
    <n v="295"/>
    <n v="0"/>
    <x v="0"/>
    <n v="157"/>
    <n v="0"/>
    <n v="0.6"/>
    <n v="2"/>
    <n v="2"/>
    <x v="0"/>
  </r>
  <r>
    <n v="62"/>
    <x v="0"/>
    <x v="0"/>
    <x v="1"/>
    <n v="138"/>
    <n v="294"/>
    <n v="1"/>
    <x v="1"/>
    <n v="106"/>
    <n v="0"/>
    <n v="1.9"/>
    <n v="1"/>
    <n v="2"/>
    <x v="1"/>
  </r>
  <r>
    <n v="56"/>
    <x v="1"/>
    <x v="0"/>
    <x v="2"/>
    <n v="140"/>
    <n v="294"/>
    <n v="0"/>
    <x v="0"/>
    <n v="153"/>
    <n v="0"/>
    <n v="1.3"/>
    <n v="1"/>
    <n v="2"/>
    <x v="0"/>
  </r>
  <r>
    <n v="60"/>
    <x v="0"/>
    <x v="1"/>
    <x v="1"/>
    <n v="140"/>
    <n v="293"/>
    <n v="0"/>
    <x v="0"/>
    <n v="170"/>
    <n v="0"/>
    <n v="1.2"/>
    <n v="1"/>
    <n v="3"/>
    <x v="1"/>
  </r>
  <r>
    <n v="44"/>
    <x v="2"/>
    <x v="1"/>
    <x v="1"/>
    <n v="112"/>
    <n v="290"/>
    <n v="0"/>
    <x v="0"/>
    <n v="153"/>
    <n v="0"/>
    <n v="0"/>
    <n v="2"/>
    <n v="2"/>
    <x v="1"/>
  </r>
  <r>
    <n v="55"/>
    <x v="1"/>
    <x v="1"/>
    <x v="1"/>
    <n v="160"/>
    <n v="289"/>
    <n v="0"/>
    <x v="0"/>
    <n v="145"/>
    <n v="1"/>
    <n v="0.8"/>
    <n v="1"/>
    <n v="3"/>
    <x v="1"/>
  </r>
  <r>
    <n v="57"/>
    <x v="1"/>
    <x v="1"/>
    <x v="1"/>
    <n v="165"/>
    <n v="289"/>
    <n v="1"/>
    <x v="0"/>
    <n v="124"/>
    <n v="0"/>
    <n v="1"/>
    <n v="1"/>
    <n v="3"/>
    <x v="1"/>
  </r>
  <r>
    <n v="59"/>
    <x v="1"/>
    <x v="1"/>
    <x v="3"/>
    <n v="170"/>
    <n v="288"/>
    <n v="0"/>
    <x v="0"/>
    <n v="159"/>
    <n v="0"/>
    <n v="0.2"/>
    <n v="1"/>
    <n v="3"/>
    <x v="1"/>
  </r>
  <r>
    <n v="56"/>
    <x v="1"/>
    <x v="0"/>
    <x v="1"/>
    <n v="200"/>
    <n v="288"/>
    <n v="1"/>
    <x v="0"/>
    <n v="133"/>
    <n v="1"/>
    <n v="4"/>
    <n v="0"/>
    <n v="3"/>
    <x v="1"/>
  </r>
  <r>
    <n v="54"/>
    <x v="1"/>
    <x v="0"/>
    <x v="2"/>
    <n v="132"/>
    <n v="288"/>
    <n v="1"/>
    <x v="0"/>
    <n v="159"/>
    <n v="1"/>
    <n v="0"/>
    <n v="2"/>
    <n v="2"/>
    <x v="0"/>
  </r>
  <r>
    <n v="54"/>
    <x v="1"/>
    <x v="1"/>
    <x v="1"/>
    <n v="122"/>
    <n v="286"/>
    <n v="0"/>
    <x v="0"/>
    <n v="116"/>
    <n v="1"/>
    <n v="3.2"/>
    <n v="1"/>
    <n v="2"/>
    <x v="1"/>
  </r>
  <r>
    <n v="67"/>
    <x v="0"/>
    <x v="1"/>
    <x v="1"/>
    <n v="160"/>
    <n v="286"/>
    <n v="0"/>
    <x v="0"/>
    <n v="108"/>
    <n v="1"/>
    <n v="1.5"/>
    <n v="1"/>
    <n v="2"/>
    <x v="1"/>
  </r>
  <r>
    <n v="58"/>
    <x v="1"/>
    <x v="1"/>
    <x v="2"/>
    <n v="120"/>
    <n v="284"/>
    <n v="0"/>
    <x v="0"/>
    <n v="160"/>
    <n v="0"/>
    <n v="1.8"/>
    <n v="1"/>
    <n v="2"/>
    <x v="1"/>
  </r>
  <r>
    <n v="58"/>
    <x v="1"/>
    <x v="0"/>
    <x v="3"/>
    <n v="150"/>
    <n v="283"/>
    <n v="1"/>
    <x v="0"/>
    <n v="162"/>
    <n v="0"/>
    <n v="1"/>
    <n v="2"/>
    <n v="2"/>
    <x v="0"/>
  </r>
  <r>
    <n v="54"/>
    <x v="1"/>
    <x v="1"/>
    <x v="2"/>
    <n v="192"/>
    <n v="283"/>
    <n v="0"/>
    <x v="0"/>
    <n v="195"/>
    <n v="0"/>
    <n v="0"/>
    <n v="2"/>
    <n v="3"/>
    <x v="1"/>
  </r>
  <r>
    <n v="56"/>
    <x v="1"/>
    <x v="1"/>
    <x v="1"/>
    <n v="130"/>
    <n v="283"/>
    <n v="1"/>
    <x v="0"/>
    <n v="103"/>
    <n v="1"/>
    <n v="1.6"/>
    <n v="0"/>
    <n v="3"/>
    <x v="1"/>
  </r>
  <r>
    <n v="53"/>
    <x v="1"/>
    <x v="1"/>
    <x v="1"/>
    <n v="123"/>
    <n v="282"/>
    <n v="0"/>
    <x v="1"/>
    <n v="95"/>
    <n v="1"/>
    <n v="2"/>
    <n v="1"/>
    <n v="3"/>
    <x v="1"/>
  </r>
  <r>
    <n v="65"/>
    <x v="0"/>
    <x v="1"/>
    <x v="3"/>
    <n v="138"/>
    <n v="282"/>
    <n v="1"/>
    <x v="0"/>
    <n v="174"/>
    <n v="0"/>
    <n v="1.4"/>
    <n v="1"/>
    <n v="2"/>
    <x v="1"/>
  </r>
  <r>
    <n v="60"/>
    <x v="0"/>
    <x v="1"/>
    <x v="1"/>
    <n v="145"/>
    <n v="282"/>
    <n v="0"/>
    <x v="0"/>
    <n v="142"/>
    <n v="1"/>
    <n v="2.8"/>
    <n v="1"/>
    <n v="3"/>
    <x v="1"/>
  </r>
  <r>
    <n v="35"/>
    <x v="4"/>
    <x v="1"/>
    <x v="1"/>
    <n v="126"/>
    <n v="282"/>
    <n v="0"/>
    <x v="0"/>
    <n v="156"/>
    <n v="1"/>
    <n v="0"/>
    <n v="2"/>
    <n v="3"/>
    <x v="1"/>
  </r>
  <r>
    <n v="62"/>
    <x v="0"/>
    <x v="1"/>
    <x v="2"/>
    <n v="120"/>
    <n v="281"/>
    <n v="0"/>
    <x v="0"/>
    <n v="103"/>
    <n v="0"/>
    <n v="1.4"/>
    <n v="1"/>
    <n v="3"/>
    <x v="1"/>
  </r>
  <r>
    <n v="66"/>
    <x v="0"/>
    <x v="0"/>
    <x v="0"/>
    <n v="146"/>
    <n v="278"/>
    <n v="0"/>
    <x v="0"/>
    <n v="152"/>
    <n v="0"/>
    <n v="0"/>
    <n v="1"/>
    <n v="2"/>
    <x v="0"/>
  </r>
  <r>
    <n v="67"/>
    <x v="0"/>
    <x v="0"/>
    <x v="0"/>
    <n v="152"/>
    <n v="277"/>
    <n v="0"/>
    <x v="1"/>
    <n v="172"/>
    <n v="0"/>
    <n v="0"/>
    <n v="2"/>
    <n v="2"/>
    <x v="0"/>
  </r>
  <r>
    <n v="68"/>
    <x v="0"/>
    <x v="1"/>
    <x v="0"/>
    <n v="118"/>
    <n v="277"/>
    <n v="0"/>
    <x v="1"/>
    <n v="151"/>
    <n v="0"/>
    <n v="1"/>
    <n v="2"/>
    <n v="3"/>
    <x v="0"/>
  </r>
  <r>
    <n v="57"/>
    <x v="1"/>
    <x v="1"/>
    <x v="1"/>
    <n v="150"/>
    <n v="276"/>
    <n v="0"/>
    <x v="0"/>
    <n v="112"/>
    <n v="1"/>
    <n v="0.6"/>
    <n v="1"/>
    <n v="1"/>
    <x v="1"/>
  </r>
  <r>
    <n v="47"/>
    <x v="2"/>
    <x v="1"/>
    <x v="1"/>
    <n v="110"/>
    <n v="275"/>
    <n v="0"/>
    <x v="0"/>
    <n v="118"/>
    <n v="1"/>
    <n v="1"/>
    <n v="1"/>
    <n v="2"/>
    <x v="1"/>
  </r>
  <r>
    <n v="48"/>
    <x v="2"/>
    <x v="0"/>
    <x v="0"/>
    <n v="130"/>
    <n v="275"/>
    <n v="0"/>
    <x v="1"/>
    <n v="139"/>
    <n v="0"/>
    <n v="0.2"/>
    <n v="2"/>
    <n v="2"/>
    <x v="0"/>
  </r>
  <r>
    <n v="57"/>
    <x v="1"/>
    <x v="1"/>
    <x v="1"/>
    <n v="152"/>
    <n v="274"/>
    <n v="0"/>
    <x v="1"/>
    <n v="88"/>
    <n v="1"/>
    <n v="1.2"/>
    <n v="1"/>
    <n v="3"/>
    <x v="1"/>
  </r>
  <r>
    <n v="48"/>
    <x v="2"/>
    <x v="1"/>
    <x v="1"/>
    <n v="124"/>
    <n v="274"/>
    <n v="0"/>
    <x v="0"/>
    <n v="166"/>
    <n v="0"/>
    <n v="0.5"/>
    <n v="1"/>
    <n v="3"/>
    <x v="1"/>
  </r>
  <r>
    <n v="68"/>
    <x v="0"/>
    <x v="1"/>
    <x v="0"/>
    <n v="180"/>
    <n v="274"/>
    <n v="1"/>
    <x v="0"/>
    <n v="150"/>
    <n v="1"/>
    <n v="1.6"/>
    <n v="1"/>
    <n v="3"/>
    <x v="1"/>
  </r>
  <r>
    <n v="54"/>
    <x v="1"/>
    <x v="1"/>
    <x v="0"/>
    <n v="125"/>
    <n v="273"/>
    <n v="0"/>
    <x v="0"/>
    <n v="152"/>
    <n v="0"/>
    <n v="0.5"/>
    <n v="0"/>
    <n v="2"/>
    <x v="0"/>
  </r>
  <r>
    <n v="59"/>
    <x v="1"/>
    <x v="1"/>
    <x v="3"/>
    <n v="160"/>
    <n v="273"/>
    <n v="0"/>
    <x v="0"/>
    <n v="125"/>
    <n v="0"/>
    <n v="0"/>
    <n v="2"/>
    <n v="2"/>
    <x v="1"/>
  </r>
  <r>
    <n v="59"/>
    <x v="1"/>
    <x v="1"/>
    <x v="1"/>
    <n v="138"/>
    <n v="271"/>
    <n v="0"/>
    <x v="0"/>
    <n v="182"/>
    <n v="0"/>
    <n v="0"/>
    <n v="2"/>
    <n v="2"/>
    <x v="0"/>
  </r>
  <r>
    <n v="49"/>
    <x v="2"/>
    <x v="0"/>
    <x v="2"/>
    <n v="134"/>
    <n v="271"/>
    <n v="0"/>
    <x v="1"/>
    <n v="162"/>
    <n v="0"/>
    <n v="0"/>
    <n v="1"/>
    <n v="2"/>
    <x v="0"/>
  </r>
  <r>
    <n v="58"/>
    <x v="1"/>
    <x v="1"/>
    <x v="1"/>
    <n v="150"/>
    <n v="270"/>
    <n v="0"/>
    <x v="0"/>
    <n v="111"/>
    <n v="1"/>
    <n v="0.8"/>
    <n v="2"/>
    <n v="3"/>
    <x v="1"/>
  </r>
  <r>
    <n v="59"/>
    <x v="1"/>
    <x v="1"/>
    <x v="3"/>
    <n v="178"/>
    <n v="270"/>
    <n v="0"/>
    <x v="0"/>
    <n v="145"/>
    <n v="0"/>
    <n v="4.2"/>
    <n v="0"/>
    <n v="3"/>
    <x v="0"/>
  </r>
  <r>
    <n v="70"/>
    <x v="3"/>
    <x v="1"/>
    <x v="0"/>
    <n v="160"/>
    <n v="269"/>
    <n v="0"/>
    <x v="1"/>
    <n v="112"/>
    <n v="1"/>
    <n v="2.9"/>
    <n v="1"/>
    <n v="3"/>
    <x v="1"/>
  </r>
  <r>
    <n v="49"/>
    <x v="2"/>
    <x v="0"/>
    <x v="1"/>
    <n v="130"/>
    <n v="269"/>
    <n v="0"/>
    <x v="1"/>
    <n v="163"/>
    <n v="0"/>
    <n v="0"/>
    <n v="2"/>
    <n v="2"/>
    <x v="0"/>
  </r>
  <r>
    <n v="74"/>
    <x v="3"/>
    <x v="0"/>
    <x v="2"/>
    <n v="120"/>
    <n v="269"/>
    <n v="0"/>
    <x v="0"/>
    <n v="121"/>
    <n v="1"/>
    <n v="0.2"/>
    <n v="2"/>
    <n v="2"/>
    <x v="0"/>
  </r>
  <r>
    <n v="63"/>
    <x v="0"/>
    <x v="0"/>
    <x v="1"/>
    <n v="108"/>
    <n v="269"/>
    <n v="0"/>
    <x v="1"/>
    <n v="169"/>
    <n v="1"/>
    <n v="1.8"/>
    <n v="1"/>
    <n v="2"/>
    <x v="1"/>
  </r>
  <r>
    <n v="65"/>
    <x v="0"/>
    <x v="0"/>
    <x v="0"/>
    <n v="155"/>
    <n v="269"/>
    <n v="0"/>
    <x v="1"/>
    <n v="148"/>
    <n v="0"/>
    <n v="0.8"/>
    <n v="2"/>
    <n v="2"/>
    <x v="0"/>
  </r>
  <r>
    <n v="62"/>
    <x v="0"/>
    <x v="0"/>
    <x v="1"/>
    <n v="140"/>
    <n v="268"/>
    <n v="0"/>
    <x v="0"/>
    <n v="160"/>
    <n v="0"/>
    <n v="3.6"/>
    <n v="0"/>
    <n v="2"/>
    <x v="1"/>
  </r>
  <r>
    <n v="41"/>
    <x v="2"/>
    <x v="0"/>
    <x v="0"/>
    <n v="112"/>
    <n v="268"/>
    <n v="0"/>
    <x v="0"/>
    <n v="172"/>
    <n v="1"/>
    <n v="0"/>
    <n v="2"/>
    <n v="2"/>
    <x v="0"/>
  </r>
  <r>
    <n v="54"/>
    <x v="1"/>
    <x v="0"/>
    <x v="0"/>
    <n v="108"/>
    <n v="267"/>
    <n v="0"/>
    <x v="0"/>
    <n v="167"/>
    <n v="0"/>
    <n v="0"/>
    <n v="2"/>
    <n v="2"/>
    <x v="0"/>
  </r>
  <r>
    <n v="62"/>
    <x v="0"/>
    <x v="1"/>
    <x v="1"/>
    <n v="120"/>
    <n v="267"/>
    <n v="0"/>
    <x v="1"/>
    <n v="99"/>
    <n v="1"/>
    <n v="1.8"/>
    <n v="1"/>
    <n v="3"/>
    <x v="1"/>
  </r>
  <r>
    <n v="54"/>
    <x v="1"/>
    <x v="1"/>
    <x v="1"/>
    <n v="124"/>
    <n v="266"/>
    <n v="0"/>
    <x v="0"/>
    <n v="109"/>
    <n v="1"/>
    <n v="2.2000000000000002"/>
    <n v="1"/>
    <n v="3"/>
    <x v="1"/>
  </r>
  <r>
    <n v="49"/>
    <x v="2"/>
    <x v="1"/>
    <x v="2"/>
    <n v="130"/>
    <n v="266"/>
    <n v="0"/>
    <x v="1"/>
    <n v="171"/>
    <n v="0"/>
    <n v="0.6"/>
    <n v="2"/>
    <n v="2"/>
    <x v="0"/>
  </r>
  <r>
    <n v="71"/>
    <x v="3"/>
    <x v="0"/>
    <x v="0"/>
    <n v="110"/>
    <n v="265"/>
    <n v="1"/>
    <x v="0"/>
    <n v="130"/>
    <n v="0"/>
    <n v="0"/>
    <n v="2"/>
    <n v="2"/>
    <x v="0"/>
  </r>
  <r>
    <n v="42"/>
    <x v="2"/>
    <x v="0"/>
    <x v="1"/>
    <n v="102"/>
    <n v="265"/>
    <n v="0"/>
    <x v="0"/>
    <n v="122"/>
    <n v="0"/>
    <n v="0.6"/>
    <n v="1"/>
    <n v="2"/>
    <x v="0"/>
  </r>
  <r>
    <n v="53"/>
    <x v="1"/>
    <x v="0"/>
    <x v="1"/>
    <n v="130"/>
    <n v="264"/>
    <n v="0"/>
    <x v="0"/>
    <n v="143"/>
    <n v="0"/>
    <n v="0.4"/>
    <n v="1"/>
    <n v="2"/>
    <x v="0"/>
  </r>
  <r>
    <n v="45"/>
    <x v="2"/>
    <x v="1"/>
    <x v="3"/>
    <n v="110"/>
    <n v="264"/>
    <n v="0"/>
    <x v="1"/>
    <n v="132"/>
    <n v="0"/>
    <n v="1.2"/>
    <n v="1"/>
    <n v="3"/>
    <x v="1"/>
  </r>
  <r>
    <n v="64"/>
    <x v="0"/>
    <x v="1"/>
    <x v="1"/>
    <n v="128"/>
    <n v="263"/>
    <n v="0"/>
    <x v="1"/>
    <n v="105"/>
    <n v="1"/>
    <n v="0.2"/>
    <n v="1"/>
    <n v="3"/>
    <x v="0"/>
  </r>
  <r>
    <n v="44"/>
    <x v="2"/>
    <x v="1"/>
    <x v="2"/>
    <n v="120"/>
    <n v="263"/>
    <n v="0"/>
    <x v="1"/>
    <n v="173"/>
    <n v="0"/>
    <n v="0"/>
    <n v="2"/>
    <n v="3"/>
    <x v="0"/>
  </r>
  <r>
    <n v="62"/>
    <x v="0"/>
    <x v="0"/>
    <x v="0"/>
    <n v="130"/>
    <n v="263"/>
    <n v="0"/>
    <x v="1"/>
    <n v="97"/>
    <n v="0"/>
    <n v="1.2"/>
    <n v="1"/>
    <n v="3"/>
    <x v="1"/>
  </r>
  <r>
    <n v="55"/>
    <x v="1"/>
    <x v="1"/>
    <x v="2"/>
    <n v="130"/>
    <n v="262"/>
    <n v="0"/>
    <x v="1"/>
    <n v="155"/>
    <n v="0"/>
    <n v="0"/>
    <n v="2"/>
    <n v="2"/>
    <x v="0"/>
  </r>
  <r>
    <n v="51"/>
    <x v="1"/>
    <x v="1"/>
    <x v="1"/>
    <n v="140"/>
    <n v="261"/>
    <n v="0"/>
    <x v="0"/>
    <n v="186"/>
    <n v="1"/>
    <n v="0"/>
    <n v="2"/>
    <n v="2"/>
    <x v="0"/>
  </r>
  <r>
    <n v="57"/>
    <x v="1"/>
    <x v="1"/>
    <x v="2"/>
    <n v="124"/>
    <n v="261"/>
    <n v="0"/>
    <x v="1"/>
    <n v="141"/>
    <n v="0"/>
    <n v="0.3"/>
    <n v="2"/>
    <n v="3"/>
    <x v="1"/>
  </r>
  <r>
    <n v="61"/>
    <x v="0"/>
    <x v="1"/>
    <x v="1"/>
    <n v="120"/>
    <n v="260"/>
    <n v="0"/>
    <x v="1"/>
    <n v="140"/>
    <n v="1"/>
    <n v="3.6"/>
    <n v="1"/>
    <n v="3"/>
    <x v="1"/>
  </r>
  <r>
    <n v="45"/>
    <x v="2"/>
    <x v="1"/>
    <x v="1"/>
    <n v="115"/>
    <n v="260"/>
    <n v="0"/>
    <x v="0"/>
    <n v="185"/>
    <n v="0"/>
    <n v="0"/>
    <n v="2"/>
    <n v="2"/>
    <x v="0"/>
  </r>
  <r>
    <n v="58"/>
    <x v="1"/>
    <x v="1"/>
    <x v="1"/>
    <n v="128"/>
    <n v="259"/>
    <n v="0"/>
    <x v="0"/>
    <n v="130"/>
    <n v="1"/>
    <n v="3"/>
    <n v="1"/>
    <n v="3"/>
    <x v="1"/>
  </r>
  <r>
    <n v="54"/>
    <x v="1"/>
    <x v="1"/>
    <x v="0"/>
    <n v="120"/>
    <n v="258"/>
    <n v="0"/>
    <x v="0"/>
    <n v="147"/>
    <n v="0"/>
    <n v="0.4"/>
    <n v="1"/>
    <n v="3"/>
    <x v="0"/>
  </r>
  <r>
    <n v="60"/>
    <x v="0"/>
    <x v="1"/>
    <x v="1"/>
    <n v="125"/>
    <n v="258"/>
    <n v="0"/>
    <x v="0"/>
    <n v="141"/>
    <n v="1"/>
    <n v="2.8"/>
    <n v="1"/>
    <n v="3"/>
    <x v="1"/>
  </r>
  <r>
    <n v="60"/>
    <x v="0"/>
    <x v="0"/>
    <x v="1"/>
    <n v="150"/>
    <n v="258"/>
    <n v="0"/>
    <x v="0"/>
    <n v="157"/>
    <n v="0"/>
    <n v="2.6"/>
    <n v="1"/>
    <n v="3"/>
    <x v="1"/>
  </r>
  <r>
    <n v="47"/>
    <x v="2"/>
    <x v="1"/>
    <x v="0"/>
    <n v="138"/>
    <n v="257"/>
    <n v="0"/>
    <x v="0"/>
    <n v="156"/>
    <n v="0"/>
    <n v="0"/>
    <n v="2"/>
    <n v="2"/>
    <x v="0"/>
  </r>
  <r>
    <n v="56"/>
    <x v="1"/>
    <x v="1"/>
    <x v="0"/>
    <n v="130"/>
    <n v="256"/>
    <n v="1"/>
    <x v="0"/>
    <n v="142"/>
    <n v="1"/>
    <n v="0.6"/>
    <n v="1"/>
    <n v="1"/>
    <x v="1"/>
  </r>
  <r>
    <n v="48"/>
    <x v="2"/>
    <x v="1"/>
    <x v="1"/>
    <n v="130"/>
    <n v="256"/>
    <n v="1"/>
    <x v="0"/>
    <n v="150"/>
    <n v="1"/>
    <n v="0"/>
    <n v="2"/>
    <n v="3"/>
    <x v="1"/>
  </r>
  <r>
    <n v="51"/>
    <x v="1"/>
    <x v="0"/>
    <x v="0"/>
    <n v="130"/>
    <n v="256"/>
    <n v="0"/>
    <x v="0"/>
    <n v="149"/>
    <n v="0"/>
    <n v="0.5"/>
    <n v="2"/>
    <n v="2"/>
    <x v="0"/>
  </r>
  <r>
    <n v="48"/>
    <x v="2"/>
    <x v="1"/>
    <x v="0"/>
    <n v="124"/>
    <n v="255"/>
    <n v="1"/>
    <x v="1"/>
    <n v="175"/>
    <n v="0"/>
    <n v="0"/>
    <n v="2"/>
    <n v="2"/>
    <x v="0"/>
  </r>
  <r>
    <n v="52"/>
    <x v="1"/>
    <x v="1"/>
    <x v="1"/>
    <n v="128"/>
    <n v="255"/>
    <n v="0"/>
    <x v="1"/>
    <n v="161"/>
    <n v="1"/>
    <n v="0"/>
    <n v="2"/>
    <n v="3"/>
    <x v="1"/>
  </r>
  <r>
    <n v="50"/>
    <x v="1"/>
    <x v="0"/>
    <x v="1"/>
    <n v="110"/>
    <n v="254"/>
    <n v="0"/>
    <x v="0"/>
    <n v="159"/>
    <n v="0"/>
    <n v="0"/>
    <n v="2"/>
    <n v="2"/>
    <x v="0"/>
  </r>
  <r>
    <n v="67"/>
    <x v="0"/>
    <x v="1"/>
    <x v="1"/>
    <n v="125"/>
    <n v="254"/>
    <n v="1"/>
    <x v="1"/>
    <n v="163"/>
    <n v="0"/>
    <n v="0.2"/>
    <n v="1"/>
    <n v="3"/>
    <x v="1"/>
  </r>
  <r>
    <n v="63"/>
    <x v="0"/>
    <x v="1"/>
    <x v="1"/>
    <n v="130"/>
    <n v="254"/>
    <n v="0"/>
    <x v="0"/>
    <n v="147"/>
    <n v="0"/>
    <n v="1.4"/>
    <n v="1"/>
    <n v="3"/>
    <x v="1"/>
  </r>
  <r>
    <n v="65"/>
    <x v="0"/>
    <x v="1"/>
    <x v="1"/>
    <n v="135"/>
    <n v="254"/>
    <n v="0"/>
    <x v="0"/>
    <n v="127"/>
    <n v="0"/>
    <n v="2.8"/>
    <n v="1"/>
    <n v="3"/>
    <x v="1"/>
  </r>
  <r>
    <n v="69"/>
    <x v="0"/>
    <x v="1"/>
    <x v="0"/>
    <n v="140"/>
    <n v="254"/>
    <n v="0"/>
    <x v="0"/>
    <n v="146"/>
    <n v="0"/>
    <n v="2"/>
    <n v="1"/>
    <n v="3"/>
    <x v="1"/>
  </r>
  <r>
    <n v="60"/>
    <x v="0"/>
    <x v="1"/>
    <x v="1"/>
    <n v="130"/>
    <n v="253"/>
    <n v="0"/>
    <x v="1"/>
    <n v="144"/>
    <n v="1"/>
    <n v="1.4"/>
    <n v="2"/>
    <n v="3"/>
    <x v="1"/>
  </r>
  <r>
    <n v="47"/>
    <x v="2"/>
    <x v="1"/>
    <x v="0"/>
    <n v="130"/>
    <n v="253"/>
    <n v="0"/>
    <x v="1"/>
    <n v="179"/>
    <n v="0"/>
    <n v="0"/>
    <n v="2"/>
    <n v="2"/>
    <x v="0"/>
  </r>
  <r>
    <n v="63"/>
    <x v="0"/>
    <x v="0"/>
    <x v="0"/>
    <n v="135"/>
    <n v="252"/>
    <n v="0"/>
    <x v="0"/>
    <n v="172"/>
    <n v="0"/>
    <n v="0"/>
    <n v="2"/>
    <n v="2"/>
    <x v="0"/>
  </r>
  <r>
    <n v="41"/>
    <x v="2"/>
    <x v="1"/>
    <x v="0"/>
    <n v="112"/>
    <n v="250"/>
    <n v="0"/>
    <x v="1"/>
    <n v="179"/>
    <n v="0"/>
    <n v="0"/>
    <n v="2"/>
    <n v="2"/>
    <x v="0"/>
  </r>
  <r>
    <n v="37"/>
    <x v="4"/>
    <x v="1"/>
    <x v="0"/>
    <n v="130"/>
    <n v="250"/>
    <n v="0"/>
    <x v="1"/>
    <n v="187"/>
    <n v="0"/>
    <n v="3.5"/>
    <n v="0"/>
    <n v="2"/>
    <x v="0"/>
  </r>
  <r>
    <n v="55"/>
    <x v="1"/>
    <x v="0"/>
    <x v="2"/>
    <n v="135"/>
    <n v="250"/>
    <n v="0"/>
    <x v="0"/>
    <n v="161"/>
    <n v="0"/>
    <n v="1.4"/>
    <n v="1"/>
    <n v="2"/>
    <x v="0"/>
  </r>
  <r>
    <n v="46"/>
    <x v="2"/>
    <x v="1"/>
    <x v="1"/>
    <n v="120"/>
    <n v="249"/>
    <n v="0"/>
    <x v="0"/>
    <n v="144"/>
    <n v="0"/>
    <n v="0.8"/>
    <n v="2"/>
    <n v="3"/>
    <x v="1"/>
  </r>
  <r>
    <n v="56"/>
    <x v="1"/>
    <x v="1"/>
    <x v="1"/>
    <n v="125"/>
    <n v="249"/>
    <n v="1"/>
    <x v="0"/>
    <n v="144"/>
    <n v="1"/>
    <n v="1.2"/>
    <n v="1"/>
    <n v="2"/>
    <x v="1"/>
  </r>
  <r>
    <n v="59"/>
    <x v="1"/>
    <x v="0"/>
    <x v="1"/>
    <n v="174"/>
    <n v="249"/>
    <n v="0"/>
    <x v="1"/>
    <n v="143"/>
    <n v="1"/>
    <n v="0"/>
    <n v="1"/>
    <n v="2"/>
    <x v="1"/>
  </r>
  <r>
    <n v="58"/>
    <x v="1"/>
    <x v="0"/>
    <x v="1"/>
    <n v="100"/>
    <n v="248"/>
    <n v="0"/>
    <x v="0"/>
    <n v="122"/>
    <n v="0"/>
    <n v="1"/>
    <n v="1"/>
    <n v="2"/>
    <x v="0"/>
  </r>
  <r>
    <n v="65"/>
    <x v="0"/>
    <x v="1"/>
    <x v="1"/>
    <n v="110"/>
    <n v="248"/>
    <n v="0"/>
    <x v="0"/>
    <n v="158"/>
    <n v="0"/>
    <n v="0.6"/>
    <n v="2"/>
    <n v="1"/>
    <x v="1"/>
  </r>
  <r>
    <n v="43"/>
    <x v="2"/>
    <x v="1"/>
    <x v="1"/>
    <n v="132"/>
    <n v="247"/>
    <n v="1"/>
    <x v="0"/>
    <n v="143"/>
    <n v="1"/>
    <n v="0.1"/>
    <n v="1"/>
    <n v="3"/>
    <x v="1"/>
  </r>
  <r>
    <n v="43"/>
    <x v="2"/>
    <x v="1"/>
    <x v="1"/>
    <n v="150"/>
    <n v="247"/>
    <n v="0"/>
    <x v="1"/>
    <n v="171"/>
    <n v="0"/>
    <n v="1.5"/>
    <n v="2"/>
    <n v="2"/>
    <x v="0"/>
  </r>
  <r>
    <n v="64"/>
    <x v="0"/>
    <x v="1"/>
    <x v="1"/>
    <n v="120"/>
    <n v="246"/>
    <n v="0"/>
    <x v="0"/>
    <n v="96"/>
    <n v="1"/>
    <n v="2.2000000000000002"/>
    <n v="0"/>
    <n v="2"/>
    <x v="1"/>
  </r>
  <r>
    <n v="66"/>
    <x v="0"/>
    <x v="1"/>
    <x v="2"/>
    <n v="160"/>
    <n v="246"/>
    <n v="0"/>
    <x v="1"/>
    <n v="120"/>
    <n v="1"/>
    <n v="0"/>
    <n v="1"/>
    <n v="1"/>
    <x v="1"/>
  </r>
  <r>
    <n v="53"/>
    <x v="1"/>
    <x v="1"/>
    <x v="0"/>
    <n v="130"/>
    <n v="246"/>
    <n v="1"/>
    <x v="0"/>
    <n v="173"/>
    <n v="0"/>
    <n v="0"/>
    <n v="2"/>
    <n v="2"/>
    <x v="0"/>
  </r>
  <r>
    <n v="48"/>
    <x v="2"/>
    <x v="1"/>
    <x v="2"/>
    <n v="130"/>
    <n v="245"/>
    <n v="0"/>
    <x v="0"/>
    <n v="180"/>
    <n v="0"/>
    <n v="0.2"/>
    <n v="1"/>
    <n v="2"/>
    <x v="0"/>
  </r>
  <r>
    <n v="51"/>
    <x v="1"/>
    <x v="1"/>
    <x v="0"/>
    <n v="125"/>
    <n v="245"/>
    <n v="1"/>
    <x v="0"/>
    <n v="166"/>
    <n v="0"/>
    <n v="2.4"/>
    <n v="1"/>
    <n v="2"/>
    <x v="0"/>
  </r>
  <r>
    <n v="70"/>
    <x v="3"/>
    <x v="1"/>
    <x v="2"/>
    <n v="156"/>
    <n v="245"/>
    <n v="0"/>
    <x v="0"/>
    <n v="143"/>
    <n v="0"/>
    <n v="0"/>
    <n v="2"/>
    <n v="2"/>
    <x v="0"/>
  </r>
  <r>
    <n v="50"/>
    <x v="1"/>
    <x v="0"/>
    <x v="2"/>
    <n v="120"/>
    <n v="244"/>
    <n v="0"/>
    <x v="1"/>
    <n v="162"/>
    <n v="0"/>
    <n v="1.1000000000000001"/>
    <n v="2"/>
    <n v="2"/>
    <x v="0"/>
  </r>
  <r>
    <n v="42"/>
    <x v="2"/>
    <x v="1"/>
    <x v="3"/>
    <n v="148"/>
    <n v="244"/>
    <n v="0"/>
    <x v="0"/>
    <n v="178"/>
    <n v="0"/>
    <n v="0.8"/>
    <n v="2"/>
    <n v="2"/>
    <x v="0"/>
  </r>
  <r>
    <n v="62"/>
    <x v="0"/>
    <x v="0"/>
    <x v="1"/>
    <n v="150"/>
    <n v="244"/>
    <n v="0"/>
    <x v="1"/>
    <n v="154"/>
    <n v="1"/>
    <n v="1.4"/>
    <n v="1"/>
    <n v="2"/>
    <x v="1"/>
  </r>
  <r>
    <n v="50"/>
    <x v="1"/>
    <x v="1"/>
    <x v="1"/>
    <n v="150"/>
    <n v="243"/>
    <n v="0"/>
    <x v="0"/>
    <n v="128"/>
    <n v="0"/>
    <n v="2.6"/>
    <n v="1"/>
    <n v="3"/>
    <x v="1"/>
  </r>
  <r>
    <n v="61"/>
    <x v="0"/>
    <x v="1"/>
    <x v="0"/>
    <n v="150"/>
    <n v="243"/>
    <n v="1"/>
    <x v="1"/>
    <n v="137"/>
    <n v="1"/>
    <n v="1"/>
    <n v="1"/>
    <n v="2"/>
    <x v="0"/>
  </r>
  <r>
    <n v="46"/>
    <x v="2"/>
    <x v="0"/>
    <x v="1"/>
    <n v="138"/>
    <n v="243"/>
    <n v="0"/>
    <x v="0"/>
    <n v="152"/>
    <n v="1"/>
    <n v="0"/>
    <n v="1"/>
    <n v="2"/>
    <x v="0"/>
  </r>
  <r>
    <n v="47"/>
    <x v="2"/>
    <x v="1"/>
    <x v="0"/>
    <n v="108"/>
    <n v="243"/>
    <n v="0"/>
    <x v="1"/>
    <n v="152"/>
    <n v="0"/>
    <n v="0"/>
    <n v="2"/>
    <n v="2"/>
    <x v="1"/>
  </r>
  <r>
    <n v="44"/>
    <x v="2"/>
    <x v="0"/>
    <x v="0"/>
    <n v="118"/>
    <n v="242"/>
    <n v="0"/>
    <x v="1"/>
    <n v="149"/>
    <n v="0"/>
    <n v="0.3"/>
    <n v="1"/>
    <n v="2"/>
    <x v="0"/>
  </r>
  <r>
    <n v="57"/>
    <x v="1"/>
    <x v="0"/>
    <x v="1"/>
    <n v="140"/>
    <n v="241"/>
    <n v="0"/>
    <x v="1"/>
    <n v="123"/>
    <n v="1"/>
    <n v="0.2"/>
    <n v="1"/>
    <n v="3"/>
    <x v="1"/>
  </r>
  <r>
    <n v="60"/>
    <x v="0"/>
    <x v="0"/>
    <x v="3"/>
    <n v="150"/>
    <n v="240"/>
    <n v="0"/>
    <x v="1"/>
    <n v="171"/>
    <n v="0"/>
    <n v="0.9"/>
    <n v="2"/>
    <n v="2"/>
    <x v="0"/>
  </r>
  <r>
    <n v="56"/>
    <x v="1"/>
    <x v="1"/>
    <x v="2"/>
    <n v="120"/>
    <n v="240"/>
    <n v="0"/>
    <x v="1"/>
    <n v="169"/>
    <n v="0"/>
    <n v="0"/>
    <n v="0"/>
    <n v="2"/>
    <x v="0"/>
  </r>
  <r>
    <n v="42"/>
    <x v="2"/>
    <x v="1"/>
    <x v="0"/>
    <n v="120"/>
    <n v="240"/>
    <n v="1"/>
    <x v="1"/>
    <n v="194"/>
    <n v="0"/>
    <n v="0.8"/>
    <n v="0"/>
    <n v="3"/>
    <x v="0"/>
  </r>
  <r>
    <n v="58"/>
    <x v="1"/>
    <x v="1"/>
    <x v="0"/>
    <n v="105"/>
    <n v="240"/>
    <n v="0"/>
    <x v="0"/>
    <n v="154"/>
    <n v="1"/>
    <n v="0.6"/>
    <n v="1"/>
    <n v="3"/>
    <x v="0"/>
  </r>
  <r>
    <n v="59"/>
    <x v="1"/>
    <x v="1"/>
    <x v="1"/>
    <n v="110"/>
    <n v="239"/>
    <n v="0"/>
    <x v="0"/>
    <n v="142"/>
    <n v="1"/>
    <n v="1.2"/>
    <n v="1"/>
    <n v="3"/>
    <x v="1"/>
  </r>
  <r>
    <n v="54"/>
    <x v="1"/>
    <x v="1"/>
    <x v="1"/>
    <n v="110"/>
    <n v="239"/>
    <n v="0"/>
    <x v="1"/>
    <n v="126"/>
    <n v="1"/>
    <n v="2.8"/>
    <n v="1"/>
    <n v="3"/>
    <x v="1"/>
  </r>
  <r>
    <n v="54"/>
    <x v="1"/>
    <x v="1"/>
    <x v="1"/>
    <n v="140"/>
    <n v="239"/>
    <n v="0"/>
    <x v="1"/>
    <n v="160"/>
    <n v="0"/>
    <n v="1.2"/>
    <n v="2"/>
    <n v="2"/>
    <x v="0"/>
  </r>
  <r>
    <n v="69"/>
    <x v="0"/>
    <x v="0"/>
    <x v="3"/>
    <n v="140"/>
    <n v="239"/>
    <n v="0"/>
    <x v="1"/>
    <n v="151"/>
    <n v="0"/>
    <n v="1.8"/>
    <n v="2"/>
    <n v="2"/>
    <x v="0"/>
  </r>
  <r>
    <n v="67"/>
    <x v="0"/>
    <x v="1"/>
    <x v="1"/>
    <n v="120"/>
    <n v="237"/>
    <n v="0"/>
    <x v="1"/>
    <n v="71"/>
    <n v="0"/>
    <n v="1"/>
    <n v="1"/>
    <n v="2"/>
    <x v="1"/>
  </r>
  <r>
    <n v="45"/>
    <x v="2"/>
    <x v="0"/>
    <x v="1"/>
    <n v="138"/>
    <n v="236"/>
    <n v="0"/>
    <x v="0"/>
    <n v="152"/>
    <n v="1"/>
    <n v="0.2"/>
    <n v="1"/>
    <n v="2"/>
    <x v="0"/>
  </r>
  <r>
    <n v="56"/>
    <x v="1"/>
    <x v="1"/>
    <x v="2"/>
    <n v="120"/>
    <n v="236"/>
    <n v="0"/>
    <x v="1"/>
    <n v="178"/>
    <n v="0"/>
    <n v="0.8"/>
    <n v="2"/>
    <n v="2"/>
    <x v="0"/>
  </r>
  <r>
    <n v="57"/>
    <x v="1"/>
    <x v="0"/>
    <x v="2"/>
    <n v="130"/>
    <n v="236"/>
    <n v="0"/>
    <x v="0"/>
    <n v="174"/>
    <n v="0"/>
    <n v="0"/>
    <n v="1"/>
    <n v="2"/>
    <x v="1"/>
  </r>
  <r>
    <n v="41"/>
    <x v="2"/>
    <x v="1"/>
    <x v="2"/>
    <n v="110"/>
    <n v="235"/>
    <n v="0"/>
    <x v="1"/>
    <n v="153"/>
    <n v="0"/>
    <n v="0"/>
    <n v="2"/>
    <n v="2"/>
    <x v="0"/>
  </r>
  <r>
    <n v="44"/>
    <x v="2"/>
    <x v="1"/>
    <x v="0"/>
    <n v="140"/>
    <n v="235"/>
    <n v="0"/>
    <x v="0"/>
    <n v="180"/>
    <n v="0"/>
    <n v="0"/>
    <n v="2"/>
    <n v="2"/>
    <x v="0"/>
  </r>
  <r>
    <n v="61"/>
    <x v="0"/>
    <x v="1"/>
    <x v="3"/>
    <n v="134"/>
    <n v="234"/>
    <n v="0"/>
    <x v="1"/>
    <n v="145"/>
    <n v="0"/>
    <n v="2.6"/>
    <n v="1"/>
    <n v="2"/>
    <x v="1"/>
  </r>
  <r>
    <n v="69"/>
    <x v="0"/>
    <x v="1"/>
    <x v="3"/>
    <n v="160"/>
    <n v="234"/>
    <n v="1"/>
    <x v="0"/>
    <n v="131"/>
    <n v="0"/>
    <n v="0.1"/>
    <n v="1"/>
    <n v="2"/>
    <x v="0"/>
  </r>
  <r>
    <n v="58"/>
    <x v="1"/>
    <x v="1"/>
    <x v="1"/>
    <n v="100"/>
    <n v="234"/>
    <n v="0"/>
    <x v="1"/>
    <n v="156"/>
    <n v="0"/>
    <n v="0.1"/>
    <n v="2"/>
    <n v="3"/>
    <x v="1"/>
  </r>
  <r>
    <n v="45"/>
    <x v="2"/>
    <x v="0"/>
    <x v="2"/>
    <n v="130"/>
    <n v="234"/>
    <n v="0"/>
    <x v="0"/>
    <n v="175"/>
    <n v="0"/>
    <n v="0.6"/>
    <n v="1"/>
    <n v="2"/>
    <x v="0"/>
  </r>
  <r>
    <n v="59"/>
    <x v="1"/>
    <x v="1"/>
    <x v="1"/>
    <n v="135"/>
    <n v="234"/>
    <n v="0"/>
    <x v="1"/>
    <n v="161"/>
    <n v="0"/>
    <n v="0.5"/>
    <n v="1"/>
    <n v="3"/>
    <x v="0"/>
  </r>
  <r>
    <n v="53"/>
    <x v="1"/>
    <x v="0"/>
    <x v="1"/>
    <n v="138"/>
    <n v="234"/>
    <n v="0"/>
    <x v="0"/>
    <n v="160"/>
    <n v="0"/>
    <n v="0"/>
    <n v="2"/>
    <n v="2"/>
    <x v="0"/>
  </r>
  <r>
    <n v="44"/>
    <x v="2"/>
    <x v="1"/>
    <x v="0"/>
    <n v="130"/>
    <n v="233"/>
    <n v="0"/>
    <x v="1"/>
    <n v="179"/>
    <n v="1"/>
    <n v="0.4"/>
    <n v="2"/>
    <n v="2"/>
    <x v="0"/>
  </r>
  <r>
    <n v="50"/>
    <x v="1"/>
    <x v="1"/>
    <x v="0"/>
    <n v="140"/>
    <n v="233"/>
    <n v="0"/>
    <x v="1"/>
    <n v="163"/>
    <n v="0"/>
    <n v="0.6"/>
    <n v="1"/>
    <n v="3"/>
    <x v="1"/>
  </r>
  <r>
    <n v="52"/>
    <x v="1"/>
    <x v="1"/>
    <x v="1"/>
    <n v="108"/>
    <n v="233"/>
    <n v="1"/>
    <x v="1"/>
    <n v="147"/>
    <n v="0"/>
    <n v="0.1"/>
    <n v="2"/>
    <n v="3"/>
    <x v="0"/>
  </r>
  <r>
    <n v="63"/>
    <x v="0"/>
    <x v="1"/>
    <x v="3"/>
    <n v="145"/>
    <n v="233"/>
    <n v="1"/>
    <x v="0"/>
    <n v="150"/>
    <n v="0"/>
    <n v="2.2999999999999998"/>
    <n v="0"/>
    <n v="1"/>
    <x v="0"/>
  </r>
  <r>
    <n v="57"/>
    <x v="1"/>
    <x v="1"/>
    <x v="2"/>
    <n v="154"/>
    <n v="232"/>
    <n v="0"/>
    <x v="0"/>
    <n v="164"/>
    <n v="0"/>
    <n v="0"/>
    <n v="2"/>
    <n v="2"/>
    <x v="1"/>
  </r>
  <r>
    <n v="54"/>
    <x v="1"/>
    <x v="1"/>
    <x v="0"/>
    <n v="150"/>
    <n v="232"/>
    <n v="0"/>
    <x v="0"/>
    <n v="165"/>
    <n v="0"/>
    <n v="1.6"/>
    <n v="2"/>
    <n v="3"/>
    <x v="0"/>
  </r>
  <r>
    <n v="46"/>
    <x v="2"/>
    <x v="1"/>
    <x v="0"/>
    <n v="150"/>
    <n v="231"/>
    <n v="0"/>
    <x v="1"/>
    <n v="147"/>
    <n v="0"/>
    <n v="3.6"/>
    <n v="1"/>
    <n v="2"/>
    <x v="1"/>
  </r>
  <r>
    <n v="62"/>
    <x v="0"/>
    <x v="1"/>
    <x v="0"/>
    <n v="130"/>
    <n v="231"/>
    <n v="0"/>
    <x v="1"/>
    <n v="146"/>
    <n v="0"/>
    <n v="1.8"/>
    <n v="1"/>
    <n v="3"/>
    <x v="0"/>
  </r>
  <r>
    <n v="38"/>
    <x v="4"/>
    <x v="1"/>
    <x v="3"/>
    <n v="120"/>
    <n v="231"/>
    <n v="0"/>
    <x v="1"/>
    <n v="182"/>
    <n v="1"/>
    <n v="3.8"/>
    <n v="1"/>
    <n v="3"/>
    <x v="1"/>
  </r>
  <r>
    <n v="60"/>
    <x v="0"/>
    <x v="1"/>
    <x v="1"/>
    <n v="117"/>
    <n v="230"/>
    <n v="1"/>
    <x v="1"/>
    <n v="160"/>
    <n v="1"/>
    <n v="1.4"/>
    <n v="2"/>
    <n v="3"/>
    <x v="1"/>
  </r>
  <r>
    <n v="58"/>
    <x v="1"/>
    <x v="1"/>
    <x v="0"/>
    <n v="112"/>
    <n v="230"/>
    <n v="0"/>
    <x v="0"/>
    <n v="165"/>
    <n v="0"/>
    <n v="2.5"/>
    <n v="1"/>
    <n v="3"/>
    <x v="1"/>
  </r>
  <r>
    <n v="52"/>
    <x v="1"/>
    <x v="1"/>
    <x v="1"/>
    <n v="112"/>
    <n v="230"/>
    <n v="0"/>
    <x v="1"/>
    <n v="160"/>
    <n v="0"/>
    <n v="0"/>
    <n v="2"/>
    <n v="2"/>
    <x v="1"/>
  </r>
  <r>
    <n v="57"/>
    <x v="1"/>
    <x v="1"/>
    <x v="0"/>
    <n v="128"/>
    <n v="229"/>
    <n v="0"/>
    <x v="0"/>
    <n v="150"/>
    <n v="0"/>
    <n v="0.4"/>
    <n v="1"/>
    <n v="3"/>
    <x v="1"/>
  </r>
  <r>
    <n v="48"/>
    <x v="2"/>
    <x v="1"/>
    <x v="2"/>
    <n v="110"/>
    <n v="229"/>
    <n v="0"/>
    <x v="1"/>
    <n v="168"/>
    <n v="0"/>
    <n v="1"/>
    <n v="0"/>
    <n v="3"/>
    <x v="1"/>
  </r>
  <r>
    <n v="67"/>
    <x v="0"/>
    <x v="1"/>
    <x v="1"/>
    <n v="120"/>
    <n v="229"/>
    <n v="0"/>
    <x v="0"/>
    <n v="129"/>
    <n v="1"/>
    <n v="2.6"/>
    <n v="1"/>
    <n v="3"/>
    <x v="1"/>
  </r>
  <r>
    <n v="66"/>
    <x v="0"/>
    <x v="0"/>
    <x v="1"/>
    <n v="178"/>
    <n v="228"/>
    <n v="1"/>
    <x v="1"/>
    <n v="165"/>
    <n v="1"/>
    <n v="1"/>
    <n v="1"/>
    <n v="3"/>
    <x v="1"/>
  </r>
  <r>
    <n v="66"/>
    <x v="0"/>
    <x v="1"/>
    <x v="1"/>
    <n v="160"/>
    <n v="228"/>
    <n v="0"/>
    <x v="0"/>
    <n v="138"/>
    <n v="0"/>
    <n v="2.2999999999999998"/>
    <n v="2"/>
    <n v="1"/>
    <x v="0"/>
  </r>
  <r>
    <n v="64"/>
    <x v="0"/>
    <x v="1"/>
    <x v="3"/>
    <n v="170"/>
    <n v="227"/>
    <n v="0"/>
    <x v="0"/>
    <n v="155"/>
    <n v="0"/>
    <n v="0.6"/>
    <n v="1"/>
    <n v="3"/>
    <x v="0"/>
  </r>
  <r>
    <n v="51"/>
    <x v="1"/>
    <x v="1"/>
    <x v="0"/>
    <n v="94"/>
    <n v="227"/>
    <n v="0"/>
    <x v="1"/>
    <n v="154"/>
    <n v="1"/>
    <n v="0"/>
    <n v="2"/>
    <n v="3"/>
    <x v="0"/>
  </r>
  <r>
    <n v="42"/>
    <x v="2"/>
    <x v="1"/>
    <x v="1"/>
    <n v="140"/>
    <n v="226"/>
    <n v="0"/>
    <x v="1"/>
    <n v="178"/>
    <n v="0"/>
    <n v="0"/>
    <n v="2"/>
    <n v="2"/>
    <x v="0"/>
  </r>
  <r>
    <n v="53"/>
    <x v="1"/>
    <x v="1"/>
    <x v="1"/>
    <n v="142"/>
    <n v="226"/>
    <n v="0"/>
    <x v="0"/>
    <n v="111"/>
    <n v="1"/>
    <n v="0"/>
    <n v="2"/>
    <n v="3"/>
    <x v="0"/>
  </r>
  <r>
    <n v="44"/>
    <x v="2"/>
    <x v="1"/>
    <x v="0"/>
    <n v="120"/>
    <n v="226"/>
    <n v="0"/>
    <x v="1"/>
    <n v="169"/>
    <n v="0"/>
    <n v="0"/>
    <n v="2"/>
    <n v="2"/>
    <x v="0"/>
  </r>
  <r>
    <n v="66"/>
    <x v="0"/>
    <x v="0"/>
    <x v="3"/>
    <n v="150"/>
    <n v="226"/>
    <n v="0"/>
    <x v="1"/>
    <n v="114"/>
    <n v="0"/>
    <n v="2.6"/>
    <n v="0"/>
    <n v="2"/>
    <x v="0"/>
  </r>
  <r>
    <n v="58"/>
    <x v="1"/>
    <x v="0"/>
    <x v="1"/>
    <n v="170"/>
    <n v="225"/>
    <n v="1"/>
    <x v="0"/>
    <n v="146"/>
    <n v="1"/>
    <n v="2.8"/>
    <n v="1"/>
    <n v="1"/>
    <x v="1"/>
  </r>
  <r>
    <n v="65"/>
    <x v="0"/>
    <x v="0"/>
    <x v="1"/>
    <n v="150"/>
    <n v="225"/>
    <n v="0"/>
    <x v="0"/>
    <n v="114"/>
    <n v="0"/>
    <n v="1"/>
    <n v="1"/>
    <n v="3"/>
    <x v="1"/>
  </r>
  <r>
    <n v="58"/>
    <x v="1"/>
    <x v="1"/>
    <x v="0"/>
    <n v="132"/>
    <n v="224"/>
    <n v="0"/>
    <x v="0"/>
    <n v="173"/>
    <n v="0"/>
    <n v="3.2"/>
    <n v="2"/>
    <n v="3"/>
    <x v="1"/>
  </r>
  <r>
    <n v="67"/>
    <x v="0"/>
    <x v="0"/>
    <x v="1"/>
    <n v="106"/>
    <n v="223"/>
    <n v="0"/>
    <x v="1"/>
    <n v="142"/>
    <n v="0"/>
    <n v="0.3"/>
    <n v="2"/>
    <n v="2"/>
    <x v="0"/>
  </r>
  <r>
    <n v="40"/>
    <x v="2"/>
    <x v="1"/>
    <x v="1"/>
    <n v="152"/>
    <n v="223"/>
    <n v="0"/>
    <x v="1"/>
    <n v="181"/>
    <n v="0"/>
    <n v="0"/>
    <n v="2"/>
    <n v="3"/>
    <x v="1"/>
  </r>
  <r>
    <n v="52"/>
    <x v="1"/>
    <x v="1"/>
    <x v="0"/>
    <n v="138"/>
    <n v="223"/>
    <n v="0"/>
    <x v="1"/>
    <n v="169"/>
    <n v="0"/>
    <n v="0"/>
    <n v="2"/>
    <n v="2"/>
    <x v="0"/>
  </r>
  <r>
    <n v="51"/>
    <x v="1"/>
    <x v="1"/>
    <x v="0"/>
    <n v="100"/>
    <n v="222"/>
    <n v="0"/>
    <x v="1"/>
    <n v="143"/>
    <n v="1"/>
    <n v="1.2"/>
    <n v="1"/>
    <n v="2"/>
    <x v="0"/>
  </r>
  <r>
    <n v="48"/>
    <x v="2"/>
    <x v="1"/>
    <x v="1"/>
    <n v="122"/>
    <n v="222"/>
    <n v="0"/>
    <x v="0"/>
    <n v="186"/>
    <n v="0"/>
    <n v="0"/>
    <n v="2"/>
    <n v="2"/>
    <x v="0"/>
  </r>
  <r>
    <n v="59"/>
    <x v="1"/>
    <x v="1"/>
    <x v="2"/>
    <n v="140"/>
    <n v="221"/>
    <n v="0"/>
    <x v="1"/>
    <n v="164"/>
    <n v="1"/>
    <n v="0"/>
    <n v="2"/>
    <n v="2"/>
    <x v="0"/>
  </r>
  <r>
    <n v="56"/>
    <x v="1"/>
    <x v="1"/>
    <x v="2"/>
    <n v="130"/>
    <n v="221"/>
    <n v="0"/>
    <x v="0"/>
    <n v="163"/>
    <n v="0"/>
    <n v="0"/>
    <n v="2"/>
    <n v="3"/>
    <x v="0"/>
  </r>
  <r>
    <n v="44"/>
    <x v="2"/>
    <x v="1"/>
    <x v="2"/>
    <n v="120"/>
    <n v="220"/>
    <n v="0"/>
    <x v="1"/>
    <n v="170"/>
    <n v="0"/>
    <n v="0"/>
    <n v="2"/>
    <n v="2"/>
    <x v="0"/>
  </r>
  <r>
    <n v="39"/>
    <x v="4"/>
    <x v="0"/>
    <x v="0"/>
    <n v="138"/>
    <n v="220"/>
    <n v="0"/>
    <x v="1"/>
    <n v="152"/>
    <n v="0"/>
    <n v="0"/>
    <n v="1"/>
    <n v="2"/>
    <x v="0"/>
  </r>
  <r>
    <n v="58"/>
    <x v="1"/>
    <x v="1"/>
    <x v="2"/>
    <n v="125"/>
    <n v="220"/>
    <n v="0"/>
    <x v="1"/>
    <n v="144"/>
    <n v="0"/>
    <n v="0.4"/>
    <n v="1"/>
    <n v="3"/>
    <x v="0"/>
  </r>
  <r>
    <n v="44"/>
    <x v="2"/>
    <x v="1"/>
    <x v="2"/>
    <n v="130"/>
    <n v="219"/>
    <n v="0"/>
    <x v="0"/>
    <n v="188"/>
    <n v="0"/>
    <n v="0"/>
    <n v="2"/>
    <n v="2"/>
    <x v="0"/>
  </r>
  <r>
    <n v="50"/>
    <x v="1"/>
    <x v="0"/>
    <x v="0"/>
    <n v="120"/>
    <n v="219"/>
    <n v="0"/>
    <x v="1"/>
    <n v="158"/>
    <n v="0"/>
    <n v="1.6"/>
    <n v="1"/>
    <n v="2"/>
    <x v="0"/>
  </r>
  <r>
    <n v="39"/>
    <x v="4"/>
    <x v="1"/>
    <x v="1"/>
    <n v="118"/>
    <n v="219"/>
    <n v="0"/>
    <x v="1"/>
    <n v="140"/>
    <n v="0"/>
    <n v="1.2"/>
    <n v="1"/>
    <n v="3"/>
    <x v="1"/>
  </r>
  <r>
    <n v="59"/>
    <x v="1"/>
    <x v="1"/>
    <x v="0"/>
    <n v="126"/>
    <n v="218"/>
    <n v="1"/>
    <x v="1"/>
    <n v="134"/>
    <n v="0"/>
    <n v="2.2000000000000002"/>
    <n v="1"/>
    <n v="1"/>
    <x v="1"/>
  </r>
  <r>
    <n v="58"/>
    <x v="1"/>
    <x v="1"/>
    <x v="1"/>
    <n v="146"/>
    <n v="218"/>
    <n v="0"/>
    <x v="1"/>
    <n v="105"/>
    <n v="0"/>
    <n v="2"/>
    <n v="1"/>
    <n v="3"/>
    <x v="1"/>
  </r>
  <r>
    <n v="55"/>
    <x v="1"/>
    <x v="1"/>
    <x v="1"/>
    <n v="140"/>
    <n v="217"/>
    <n v="0"/>
    <x v="1"/>
    <n v="111"/>
    <n v="1"/>
    <n v="5.6"/>
    <n v="0"/>
    <n v="3"/>
    <x v="1"/>
  </r>
  <r>
    <n v="58"/>
    <x v="1"/>
    <x v="1"/>
    <x v="1"/>
    <n v="128"/>
    <n v="216"/>
    <n v="0"/>
    <x v="0"/>
    <n v="131"/>
    <n v="1"/>
    <n v="2.2000000000000002"/>
    <n v="1"/>
    <n v="3"/>
    <x v="1"/>
  </r>
  <r>
    <n v="53"/>
    <x v="1"/>
    <x v="0"/>
    <x v="0"/>
    <n v="128"/>
    <n v="216"/>
    <n v="0"/>
    <x v="0"/>
    <n v="115"/>
    <n v="0"/>
    <n v="0"/>
    <n v="2"/>
    <n v="0"/>
    <x v="0"/>
  </r>
  <r>
    <n v="37"/>
    <x v="4"/>
    <x v="0"/>
    <x v="0"/>
    <n v="120"/>
    <n v="215"/>
    <n v="0"/>
    <x v="1"/>
    <n v="170"/>
    <n v="0"/>
    <n v="0"/>
    <n v="2"/>
    <n v="2"/>
    <x v="0"/>
  </r>
  <r>
    <n v="54"/>
    <x v="1"/>
    <x v="0"/>
    <x v="0"/>
    <n v="110"/>
    <n v="214"/>
    <n v="0"/>
    <x v="1"/>
    <n v="158"/>
    <n v="0"/>
    <n v="1.6"/>
    <n v="1"/>
    <n v="2"/>
    <x v="0"/>
  </r>
  <r>
    <n v="41"/>
    <x v="2"/>
    <x v="1"/>
    <x v="0"/>
    <n v="130"/>
    <n v="214"/>
    <n v="0"/>
    <x v="0"/>
    <n v="168"/>
    <n v="0"/>
    <n v="2"/>
    <n v="1"/>
    <n v="2"/>
    <x v="0"/>
  </r>
  <r>
    <n v="51"/>
    <x v="1"/>
    <x v="1"/>
    <x v="3"/>
    <n v="125"/>
    <n v="213"/>
    <n v="0"/>
    <x v="0"/>
    <n v="125"/>
    <n v="1"/>
    <n v="1.4"/>
    <n v="2"/>
    <n v="2"/>
    <x v="0"/>
  </r>
  <r>
    <n v="43"/>
    <x v="2"/>
    <x v="0"/>
    <x v="0"/>
    <n v="122"/>
    <n v="213"/>
    <n v="0"/>
    <x v="1"/>
    <n v="165"/>
    <n v="0"/>
    <n v="0.2"/>
    <n v="1"/>
    <n v="2"/>
    <x v="0"/>
  </r>
  <r>
    <n v="52"/>
    <x v="1"/>
    <x v="1"/>
    <x v="1"/>
    <n v="125"/>
    <n v="212"/>
    <n v="0"/>
    <x v="1"/>
    <n v="168"/>
    <n v="0"/>
    <n v="1"/>
    <n v="2"/>
    <n v="3"/>
    <x v="1"/>
  </r>
  <r>
    <n v="67"/>
    <x v="0"/>
    <x v="1"/>
    <x v="0"/>
    <n v="152"/>
    <n v="212"/>
    <n v="0"/>
    <x v="0"/>
    <n v="150"/>
    <n v="0"/>
    <n v="0.8"/>
    <n v="1"/>
    <n v="3"/>
    <x v="1"/>
  </r>
  <r>
    <n v="59"/>
    <x v="1"/>
    <x v="1"/>
    <x v="0"/>
    <n v="150"/>
    <n v="212"/>
    <n v="1"/>
    <x v="1"/>
    <n v="157"/>
    <n v="0"/>
    <n v="1.6"/>
    <n v="2"/>
    <n v="2"/>
    <x v="0"/>
  </r>
  <r>
    <n v="64"/>
    <x v="0"/>
    <x v="1"/>
    <x v="1"/>
    <n v="145"/>
    <n v="212"/>
    <n v="0"/>
    <x v="0"/>
    <n v="132"/>
    <n v="0"/>
    <n v="2"/>
    <n v="1"/>
    <n v="1"/>
    <x v="1"/>
  </r>
  <r>
    <n v="66"/>
    <x v="0"/>
    <x v="1"/>
    <x v="1"/>
    <n v="112"/>
    <n v="212"/>
    <n v="0"/>
    <x v="0"/>
    <n v="132"/>
    <n v="1"/>
    <n v="0.1"/>
    <n v="2"/>
    <n v="2"/>
    <x v="1"/>
  </r>
  <r>
    <n v="58"/>
    <x v="1"/>
    <x v="1"/>
    <x v="0"/>
    <n v="140"/>
    <n v="211"/>
    <n v="1"/>
    <x v="0"/>
    <n v="165"/>
    <n v="0"/>
    <n v="0"/>
    <n v="2"/>
    <n v="2"/>
    <x v="0"/>
  </r>
  <r>
    <n v="64"/>
    <x v="0"/>
    <x v="1"/>
    <x v="3"/>
    <n v="110"/>
    <n v="211"/>
    <n v="0"/>
    <x v="0"/>
    <n v="144"/>
    <n v="1"/>
    <n v="1.8"/>
    <n v="1"/>
    <n v="2"/>
    <x v="0"/>
  </r>
  <r>
    <n v="43"/>
    <x v="2"/>
    <x v="1"/>
    <x v="1"/>
    <n v="110"/>
    <n v="211"/>
    <n v="0"/>
    <x v="1"/>
    <n v="161"/>
    <n v="0"/>
    <n v="0"/>
    <n v="2"/>
    <n v="3"/>
    <x v="0"/>
  </r>
  <r>
    <n v="68"/>
    <x v="0"/>
    <x v="0"/>
    <x v="0"/>
    <n v="120"/>
    <n v="211"/>
    <n v="0"/>
    <x v="0"/>
    <n v="115"/>
    <n v="0"/>
    <n v="1.5"/>
    <n v="1"/>
    <n v="2"/>
    <x v="0"/>
  </r>
  <r>
    <n v="34"/>
    <x v="4"/>
    <x v="0"/>
    <x v="2"/>
    <n v="118"/>
    <n v="210"/>
    <n v="0"/>
    <x v="1"/>
    <n v="192"/>
    <n v="0"/>
    <n v="0.7"/>
    <n v="2"/>
    <n v="2"/>
    <x v="0"/>
  </r>
  <r>
    <n v="42"/>
    <x v="2"/>
    <x v="0"/>
    <x v="0"/>
    <n v="120"/>
    <n v="209"/>
    <n v="0"/>
    <x v="1"/>
    <n v="173"/>
    <n v="0"/>
    <n v="0"/>
    <n v="1"/>
    <n v="2"/>
    <x v="0"/>
  </r>
  <r>
    <n v="62"/>
    <x v="0"/>
    <x v="0"/>
    <x v="1"/>
    <n v="124"/>
    <n v="209"/>
    <n v="0"/>
    <x v="1"/>
    <n v="163"/>
    <n v="0"/>
    <n v="0"/>
    <n v="2"/>
    <n v="2"/>
    <x v="0"/>
  </r>
  <r>
    <n v="45"/>
    <x v="2"/>
    <x v="1"/>
    <x v="1"/>
    <n v="104"/>
    <n v="208"/>
    <n v="0"/>
    <x v="0"/>
    <n v="148"/>
    <n v="1"/>
    <n v="3"/>
    <n v="1"/>
    <n v="2"/>
    <x v="0"/>
  </r>
  <r>
    <n v="62"/>
    <x v="0"/>
    <x v="1"/>
    <x v="2"/>
    <n v="128"/>
    <n v="208"/>
    <n v="1"/>
    <x v="0"/>
    <n v="140"/>
    <n v="0"/>
    <n v="0"/>
    <n v="2"/>
    <n v="2"/>
    <x v="0"/>
  </r>
  <r>
    <n v="61"/>
    <x v="0"/>
    <x v="1"/>
    <x v="1"/>
    <n v="140"/>
    <n v="207"/>
    <n v="0"/>
    <x v="0"/>
    <n v="138"/>
    <n v="1"/>
    <n v="1.9"/>
    <n v="2"/>
    <n v="3"/>
    <x v="1"/>
  </r>
  <r>
    <n v="57"/>
    <x v="1"/>
    <x v="1"/>
    <x v="1"/>
    <n v="132"/>
    <n v="207"/>
    <n v="0"/>
    <x v="1"/>
    <n v="168"/>
    <n v="1"/>
    <n v="0"/>
    <n v="2"/>
    <n v="3"/>
    <x v="0"/>
  </r>
  <r>
    <n v="54"/>
    <x v="1"/>
    <x v="1"/>
    <x v="1"/>
    <n v="110"/>
    <n v="206"/>
    <n v="0"/>
    <x v="0"/>
    <n v="108"/>
    <n v="1"/>
    <n v="0"/>
    <n v="1"/>
    <n v="2"/>
    <x v="1"/>
  </r>
  <r>
    <n v="60"/>
    <x v="0"/>
    <x v="1"/>
    <x v="1"/>
    <n v="130"/>
    <n v="206"/>
    <n v="0"/>
    <x v="0"/>
    <n v="132"/>
    <n v="1"/>
    <n v="2.4"/>
    <n v="1"/>
    <n v="3"/>
    <x v="1"/>
  </r>
  <r>
    <n v="55"/>
    <x v="1"/>
    <x v="0"/>
    <x v="1"/>
    <n v="128"/>
    <n v="205"/>
    <n v="0"/>
    <x v="2"/>
    <n v="130"/>
    <n v="1"/>
    <n v="2"/>
    <n v="1"/>
    <n v="3"/>
    <x v="1"/>
  </r>
  <r>
    <n v="52"/>
    <x v="1"/>
    <x v="1"/>
    <x v="2"/>
    <n v="128"/>
    <n v="205"/>
    <n v="1"/>
    <x v="1"/>
    <n v="184"/>
    <n v="0"/>
    <n v="0"/>
    <n v="2"/>
    <n v="2"/>
    <x v="0"/>
  </r>
  <r>
    <n v="52"/>
    <x v="1"/>
    <x v="1"/>
    <x v="1"/>
    <n v="128"/>
    <n v="204"/>
    <n v="1"/>
    <x v="1"/>
    <n v="156"/>
    <n v="1"/>
    <n v="1"/>
    <n v="1"/>
    <n v="0"/>
    <x v="1"/>
  </r>
  <r>
    <n v="29"/>
    <x v="5"/>
    <x v="1"/>
    <x v="2"/>
    <n v="130"/>
    <n v="204"/>
    <n v="0"/>
    <x v="0"/>
    <n v="202"/>
    <n v="0"/>
    <n v="0"/>
    <n v="2"/>
    <n v="2"/>
    <x v="0"/>
  </r>
  <r>
    <n v="47"/>
    <x v="2"/>
    <x v="1"/>
    <x v="1"/>
    <n v="112"/>
    <n v="204"/>
    <n v="0"/>
    <x v="1"/>
    <n v="143"/>
    <n v="0"/>
    <n v="0.1"/>
    <n v="2"/>
    <n v="2"/>
    <x v="0"/>
  </r>
  <r>
    <n v="41"/>
    <x v="2"/>
    <x v="0"/>
    <x v="2"/>
    <n v="130"/>
    <n v="204"/>
    <n v="0"/>
    <x v="0"/>
    <n v="172"/>
    <n v="0"/>
    <n v="1.4"/>
    <n v="2"/>
    <n v="2"/>
    <x v="0"/>
  </r>
  <r>
    <n v="46"/>
    <x v="2"/>
    <x v="0"/>
    <x v="2"/>
    <n v="105"/>
    <n v="204"/>
    <n v="0"/>
    <x v="1"/>
    <n v="172"/>
    <n v="0"/>
    <n v="0"/>
    <n v="2"/>
    <n v="2"/>
    <x v="0"/>
  </r>
  <r>
    <n v="59"/>
    <x v="1"/>
    <x v="1"/>
    <x v="3"/>
    <n v="134"/>
    <n v="204"/>
    <n v="0"/>
    <x v="1"/>
    <n v="162"/>
    <n v="0"/>
    <n v="0.8"/>
    <n v="2"/>
    <n v="2"/>
    <x v="1"/>
  </r>
  <r>
    <n v="53"/>
    <x v="1"/>
    <x v="1"/>
    <x v="1"/>
    <n v="140"/>
    <n v="203"/>
    <n v="1"/>
    <x v="0"/>
    <n v="155"/>
    <n v="1"/>
    <n v="3.1"/>
    <n v="0"/>
    <n v="3"/>
    <x v="1"/>
  </r>
  <r>
    <n v="61"/>
    <x v="0"/>
    <x v="1"/>
    <x v="1"/>
    <n v="148"/>
    <n v="203"/>
    <n v="0"/>
    <x v="1"/>
    <n v="161"/>
    <n v="0"/>
    <n v="0"/>
    <n v="2"/>
    <n v="3"/>
    <x v="1"/>
  </r>
  <r>
    <n v="41"/>
    <x v="2"/>
    <x v="1"/>
    <x v="2"/>
    <n v="135"/>
    <n v="203"/>
    <n v="0"/>
    <x v="1"/>
    <n v="132"/>
    <n v="0"/>
    <n v="0"/>
    <n v="1"/>
    <n v="1"/>
    <x v="0"/>
  </r>
  <r>
    <n v="52"/>
    <x v="1"/>
    <x v="1"/>
    <x v="2"/>
    <n v="134"/>
    <n v="201"/>
    <n v="0"/>
    <x v="1"/>
    <n v="158"/>
    <n v="0"/>
    <n v="0.8"/>
    <n v="2"/>
    <n v="2"/>
    <x v="0"/>
  </r>
  <r>
    <n v="57"/>
    <x v="1"/>
    <x v="1"/>
    <x v="1"/>
    <n v="110"/>
    <n v="201"/>
    <n v="0"/>
    <x v="1"/>
    <n v="126"/>
    <n v="1"/>
    <n v="1.5"/>
    <n v="1"/>
    <n v="1"/>
    <x v="0"/>
  </r>
  <r>
    <n v="54"/>
    <x v="1"/>
    <x v="0"/>
    <x v="0"/>
    <n v="160"/>
    <n v="201"/>
    <n v="0"/>
    <x v="1"/>
    <n v="163"/>
    <n v="0"/>
    <n v="0"/>
    <n v="2"/>
    <n v="2"/>
    <x v="0"/>
  </r>
  <r>
    <n v="50"/>
    <x v="1"/>
    <x v="1"/>
    <x v="1"/>
    <n v="144"/>
    <n v="200"/>
    <n v="0"/>
    <x v="0"/>
    <n v="126"/>
    <n v="1"/>
    <n v="0.9"/>
    <n v="1"/>
    <n v="3"/>
    <x v="1"/>
  </r>
  <r>
    <n v="40"/>
    <x v="2"/>
    <x v="1"/>
    <x v="3"/>
    <n v="140"/>
    <n v="199"/>
    <n v="0"/>
    <x v="1"/>
    <n v="178"/>
    <n v="1"/>
    <n v="1.4"/>
    <n v="2"/>
    <n v="3"/>
    <x v="0"/>
  </r>
  <r>
    <n v="39"/>
    <x v="4"/>
    <x v="0"/>
    <x v="0"/>
    <n v="94"/>
    <n v="199"/>
    <n v="0"/>
    <x v="1"/>
    <n v="179"/>
    <n v="0"/>
    <n v="0"/>
    <n v="2"/>
    <n v="2"/>
    <x v="0"/>
  </r>
  <r>
    <n v="52"/>
    <x v="1"/>
    <x v="1"/>
    <x v="0"/>
    <n v="172"/>
    <n v="199"/>
    <n v="1"/>
    <x v="1"/>
    <n v="162"/>
    <n v="0"/>
    <n v="0.5"/>
    <n v="2"/>
    <n v="3"/>
    <x v="0"/>
  </r>
  <r>
    <n v="35"/>
    <x v="4"/>
    <x v="1"/>
    <x v="1"/>
    <n v="120"/>
    <n v="198"/>
    <n v="0"/>
    <x v="1"/>
    <n v="130"/>
    <n v="1"/>
    <n v="1.6"/>
    <n v="1"/>
    <n v="3"/>
    <x v="1"/>
  </r>
  <r>
    <n v="41"/>
    <x v="2"/>
    <x v="0"/>
    <x v="2"/>
    <n v="105"/>
    <n v="198"/>
    <n v="0"/>
    <x v="1"/>
    <n v="168"/>
    <n v="0"/>
    <n v="0"/>
    <n v="2"/>
    <n v="2"/>
    <x v="0"/>
  </r>
  <r>
    <n v="53"/>
    <x v="1"/>
    <x v="1"/>
    <x v="0"/>
    <n v="130"/>
    <n v="197"/>
    <n v="1"/>
    <x v="0"/>
    <n v="152"/>
    <n v="0"/>
    <n v="1.2"/>
    <n v="0"/>
    <n v="2"/>
    <x v="0"/>
  </r>
  <r>
    <n v="76"/>
    <x v="3"/>
    <x v="0"/>
    <x v="0"/>
    <n v="140"/>
    <n v="197"/>
    <n v="0"/>
    <x v="2"/>
    <n v="116"/>
    <n v="0"/>
    <n v="1.1000000000000001"/>
    <n v="1"/>
    <n v="2"/>
    <x v="0"/>
  </r>
  <r>
    <n v="44"/>
    <x v="2"/>
    <x v="1"/>
    <x v="1"/>
    <n v="110"/>
    <n v="197"/>
    <n v="0"/>
    <x v="0"/>
    <n v="177"/>
    <n v="0"/>
    <n v="0"/>
    <n v="2"/>
    <n v="2"/>
    <x v="1"/>
  </r>
  <r>
    <n v="63"/>
    <x v="0"/>
    <x v="0"/>
    <x v="1"/>
    <n v="124"/>
    <n v="197"/>
    <n v="0"/>
    <x v="1"/>
    <n v="136"/>
    <n v="1"/>
    <n v="0"/>
    <n v="1"/>
    <n v="2"/>
    <x v="1"/>
  </r>
  <r>
    <n v="58"/>
    <x v="1"/>
    <x v="0"/>
    <x v="1"/>
    <n v="130"/>
    <n v="197"/>
    <n v="0"/>
    <x v="1"/>
    <n v="131"/>
    <n v="0"/>
    <n v="0.6"/>
    <n v="1"/>
    <n v="2"/>
    <x v="0"/>
  </r>
  <r>
    <n v="46"/>
    <x v="2"/>
    <x v="1"/>
    <x v="2"/>
    <n v="101"/>
    <n v="197"/>
    <n v="1"/>
    <x v="1"/>
    <n v="156"/>
    <n v="0"/>
    <n v="0"/>
    <n v="2"/>
    <n v="3"/>
    <x v="0"/>
  </r>
  <r>
    <n v="50"/>
    <x v="1"/>
    <x v="1"/>
    <x v="0"/>
    <n v="129"/>
    <n v="196"/>
    <n v="0"/>
    <x v="1"/>
    <n v="163"/>
    <n v="0"/>
    <n v="0"/>
    <n v="2"/>
    <n v="2"/>
    <x v="0"/>
  </r>
  <r>
    <n v="52"/>
    <x v="1"/>
    <x v="0"/>
    <x v="0"/>
    <n v="136"/>
    <n v="196"/>
    <n v="0"/>
    <x v="0"/>
    <n v="169"/>
    <n v="0"/>
    <n v="0.1"/>
    <n v="1"/>
    <n v="2"/>
    <x v="0"/>
  </r>
  <r>
    <n v="63"/>
    <x v="0"/>
    <x v="0"/>
    <x v="2"/>
    <n v="140"/>
    <n v="195"/>
    <n v="0"/>
    <x v="1"/>
    <n v="179"/>
    <n v="0"/>
    <n v="0"/>
    <n v="2"/>
    <n v="2"/>
    <x v="0"/>
  </r>
  <r>
    <n v="56"/>
    <x v="1"/>
    <x v="1"/>
    <x v="3"/>
    <n v="120"/>
    <n v="193"/>
    <n v="0"/>
    <x v="0"/>
    <n v="162"/>
    <n v="0"/>
    <n v="1.9"/>
    <n v="1"/>
    <n v="3"/>
    <x v="0"/>
  </r>
  <r>
    <n v="68"/>
    <x v="0"/>
    <x v="1"/>
    <x v="1"/>
    <n v="144"/>
    <n v="193"/>
    <n v="1"/>
    <x v="1"/>
    <n v="141"/>
    <n v="0"/>
    <n v="3.4"/>
    <n v="1"/>
    <n v="3"/>
    <x v="1"/>
  </r>
  <r>
    <n v="57"/>
    <x v="1"/>
    <x v="1"/>
    <x v="1"/>
    <n v="140"/>
    <n v="192"/>
    <n v="0"/>
    <x v="1"/>
    <n v="148"/>
    <n v="0"/>
    <n v="0.4"/>
    <n v="1"/>
    <n v="1"/>
    <x v="0"/>
  </r>
  <r>
    <n v="35"/>
    <x v="4"/>
    <x v="1"/>
    <x v="2"/>
    <n v="122"/>
    <n v="192"/>
    <n v="0"/>
    <x v="1"/>
    <n v="174"/>
    <n v="0"/>
    <n v="0"/>
    <n v="2"/>
    <n v="2"/>
    <x v="0"/>
  </r>
  <r>
    <n v="49"/>
    <x v="2"/>
    <x v="1"/>
    <x v="0"/>
    <n v="120"/>
    <n v="188"/>
    <n v="0"/>
    <x v="1"/>
    <n v="139"/>
    <n v="0"/>
    <n v="2"/>
    <n v="1"/>
    <n v="3"/>
    <x v="1"/>
  </r>
  <r>
    <n v="54"/>
    <x v="1"/>
    <x v="1"/>
    <x v="1"/>
    <n v="120"/>
    <n v="188"/>
    <n v="0"/>
    <x v="1"/>
    <n v="113"/>
    <n v="0"/>
    <n v="1.4"/>
    <n v="1"/>
    <n v="3"/>
    <x v="1"/>
  </r>
  <r>
    <n v="63"/>
    <x v="0"/>
    <x v="1"/>
    <x v="1"/>
    <n v="140"/>
    <n v="187"/>
    <n v="0"/>
    <x v="0"/>
    <n v="144"/>
    <n v="1"/>
    <n v="4"/>
    <n v="2"/>
    <n v="3"/>
    <x v="1"/>
  </r>
  <r>
    <n v="52"/>
    <x v="1"/>
    <x v="1"/>
    <x v="3"/>
    <n v="118"/>
    <n v="186"/>
    <n v="0"/>
    <x v="0"/>
    <n v="190"/>
    <n v="0"/>
    <n v="0"/>
    <n v="1"/>
    <n v="1"/>
    <x v="0"/>
  </r>
  <r>
    <n v="60"/>
    <x v="0"/>
    <x v="1"/>
    <x v="0"/>
    <n v="140"/>
    <n v="185"/>
    <n v="0"/>
    <x v="0"/>
    <n v="155"/>
    <n v="0"/>
    <n v="3"/>
    <n v="1"/>
    <n v="2"/>
    <x v="1"/>
  </r>
  <r>
    <n v="56"/>
    <x v="1"/>
    <x v="1"/>
    <x v="1"/>
    <n v="132"/>
    <n v="184"/>
    <n v="0"/>
    <x v="0"/>
    <n v="105"/>
    <n v="1"/>
    <n v="2.1"/>
    <n v="1"/>
    <n v="1"/>
    <x v="1"/>
  </r>
  <r>
    <n v="35"/>
    <x v="4"/>
    <x v="0"/>
    <x v="1"/>
    <n v="138"/>
    <n v="183"/>
    <n v="0"/>
    <x v="1"/>
    <n v="182"/>
    <n v="0"/>
    <n v="1.4"/>
    <n v="2"/>
    <n v="2"/>
    <x v="0"/>
  </r>
  <r>
    <n v="34"/>
    <x v="4"/>
    <x v="1"/>
    <x v="3"/>
    <n v="118"/>
    <n v="182"/>
    <n v="0"/>
    <x v="0"/>
    <n v="174"/>
    <n v="0"/>
    <n v="0"/>
    <n v="2"/>
    <n v="2"/>
    <x v="0"/>
  </r>
  <r>
    <n v="42"/>
    <x v="2"/>
    <x v="1"/>
    <x v="0"/>
    <n v="130"/>
    <n v="180"/>
    <n v="0"/>
    <x v="1"/>
    <n v="150"/>
    <n v="0"/>
    <n v="0"/>
    <n v="2"/>
    <n v="2"/>
    <x v="0"/>
  </r>
  <r>
    <n v="60"/>
    <x v="0"/>
    <x v="0"/>
    <x v="0"/>
    <n v="120"/>
    <n v="178"/>
    <n v="1"/>
    <x v="1"/>
    <n v="96"/>
    <n v="0"/>
    <n v="0"/>
    <n v="2"/>
    <n v="2"/>
    <x v="0"/>
  </r>
  <r>
    <n v="59"/>
    <x v="1"/>
    <x v="1"/>
    <x v="1"/>
    <n v="140"/>
    <n v="177"/>
    <n v="0"/>
    <x v="1"/>
    <n v="162"/>
    <n v="1"/>
    <n v="0"/>
    <n v="2"/>
    <n v="3"/>
    <x v="1"/>
  </r>
  <r>
    <n v="43"/>
    <x v="2"/>
    <x v="1"/>
    <x v="1"/>
    <n v="120"/>
    <n v="177"/>
    <n v="0"/>
    <x v="0"/>
    <n v="120"/>
    <n v="1"/>
    <n v="2.5"/>
    <n v="1"/>
    <n v="3"/>
    <x v="1"/>
  </r>
  <r>
    <n v="46"/>
    <x v="2"/>
    <x v="0"/>
    <x v="0"/>
    <n v="142"/>
    <n v="177"/>
    <n v="0"/>
    <x v="0"/>
    <n v="160"/>
    <n v="1"/>
    <n v="1.4"/>
    <n v="0"/>
    <n v="2"/>
    <x v="0"/>
  </r>
  <r>
    <n v="65"/>
    <x v="0"/>
    <x v="1"/>
    <x v="1"/>
    <n v="120"/>
    <n v="177"/>
    <n v="0"/>
    <x v="1"/>
    <n v="140"/>
    <n v="0"/>
    <n v="0.4"/>
    <n v="2"/>
    <n v="3"/>
    <x v="0"/>
  </r>
  <r>
    <n v="59"/>
    <x v="1"/>
    <x v="1"/>
    <x v="1"/>
    <n v="164"/>
    <n v="176"/>
    <n v="1"/>
    <x v="0"/>
    <n v="90"/>
    <n v="0"/>
    <n v="1"/>
    <n v="1"/>
    <n v="1"/>
    <x v="1"/>
  </r>
  <r>
    <n v="38"/>
    <x v="4"/>
    <x v="1"/>
    <x v="0"/>
    <n v="138"/>
    <n v="175"/>
    <n v="0"/>
    <x v="1"/>
    <n v="173"/>
    <n v="0"/>
    <n v="0"/>
    <n v="2"/>
    <n v="2"/>
    <x v="0"/>
  </r>
  <r>
    <n v="51"/>
    <x v="1"/>
    <x v="1"/>
    <x v="0"/>
    <n v="110"/>
    <n v="175"/>
    <n v="0"/>
    <x v="1"/>
    <n v="123"/>
    <n v="0"/>
    <n v="0.6"/>
    <n v="2"/>
    <n v="2"/>
    <x v="0"/>
  </r>
  <r>
    <n v="70"/>
    <x v="3"/>
    <x v="1"/>
    <x v="1"/>
    <n v="145"/>
    <n v="174"/>
    <n v="0"/>
    <x v="1"/>
    <n v="125"/>
    <n v="1"/>
    <n v="2.6"/>
    <n v="0"/>
    <n v="3"/>
    <x v="1"/>
  </r>
  <r>
    <n v="41"/>
    <x v="2"/>
    <x v="1"/>
    <x v="1"/>
    <n v="110"/>
    <n v="172"/>
    <n v="0"/>
    <x v="0"/>
    <n v="158"/>
    <n v="0"/>
    <n v="0"/>
    <n v="2"/>
    <n v="3"/>
    <x v="1"/>
  </r>
  <r>
    <n v="44"/>
    <x v="2"/>
    <x v="1"/>
    <x v="1"/>
    <n v="120"/>
    <n v="169"/>
    <n v="0"/>
    <x v="1"/>
    <n v="144"/>
    <n v="1"/>
    <n v="2.8"/>
    <n v="0"/>
    <n v="1"/>
    <x v="1"/>
  </r>
  <r>
    <n v="57"/>
    <x v="1"/>
    <x v="1"/>
    <x v="0"/>
    <n v="150"/>
    <n v="168"/>
    <n v="0"/>
    <x v="1"/>
    <n v="174"/>
    <n v="0"/>
    <n v="1.6"/>
    <n v="2"/>
    <n v="2"/>
    <x v="0"/>
  </r>
  <r>
    <n v="40"/>
    <x v="2"/>
    <x v="1"/>
    <x v="1"/>
    <n v="110"/>
    <n v="167"/>
    <n v="0"/>
    <x v="0"/>
    <n v="114"/>
    <n v="1"/>
    <n v="2"/>
    <n v="1"/>
    <n v="3"/>
    <x v="1"/>
  </r>
  <r>
    <n v="61"/>
    <x v="0"/>
    <x v="1"/>
    <x v="1"/>
    <n v="138"/>
    <n v="166"/>
    <n v="0"/>
    <x v="0"/>
    <n v="125"/>
    <n v="1"/>
    <n v="3.6"/>
    <n v="1"/>
    <n v="2"/>
    <x v="1"/>
  </r>
  <r>
    <n v="62"/>
    <x v="0"/>
    <x v="0"/>
    <x v="1"/>
    <n v="160"/>
    <n v="164"/>
    <n v="0"/>
    <x v="0"/>
    <n v="145"/>
    <n v="0"/>
    <n v="6.2"/>
    <n v="0"/>
    <n v="3"/>
    <x v="1"/>
  </r>
  <r>
    <n v="45"/>
    <x v="2"/>
    <x v="0"/>
    <x v="2"/>
    <n v="112"/>
    <n v="160"/>
    <n v="0"/>
    <x v="1"/>
    <n v="138"/>
    <n v="0"/>
    <n v="0"/>
    <n v="1"/>
    <n v="2"/>
    <x v="0"/>
  </r>
  <r>
    <n v="41"/>
    <x v="2"/>
    <x v="1"/>
    <x v="2"/>
    <n v="120"/>
    <n v="157"/>
    <n v="0"/>
    <x v="1"/>
    <n v="182"/>
    <n v="0"/>
    <n v="0"/>
    <n v="2"/>
    <n v="2"/>
    <x v="0"/>
  </r>
  <r>
    <n v="71"/>
    <x v="3"/>
    <x v="0"/>
    <x v="1"/>
    <n v="112"/>
    <n v="149"/>
    <n v="0"/>
    <x v="1"/>
    <n v="125"/>
    <n v="0"/>
    <n v="1.6"/>
    <n v="1"/>
    <n v="2"/>
    <x v="0"/>
  </r>
  <r>
    <n v="49"/>
    <x v="2"/>
    <x v="1"/>
    <x v="0"/>
    <n v="118"/>
    <n v="149"/>
    <n v="0"/>
    <x v="0"/>
    <n v="126"/>
    <n v="0"/>
    <n v="0.8"/>
    <n v="2"/>
    <n v="2"/>
    <x v="1"/>
  </r>
  <r>
    <n v="44"/>
    <x v="2"/>
    <x v="0"/>
    <x v="0"/>
    <n v="108"/>
    <n v="141"/>
    <n v="0"/>
    <x v="1"/>
    <n v="175"/>
    <n v="0"/>
    <n v="0.6"/>
    <n v="1"/>
    <n v="2"/>
    <x v="0"/>
  </r>
  <r>
    <n v="57"/>
    <x v="1"/>
    <x v="1"/>
    <x v="1"/>
    <n v="130"/>
    <n v="131"/>
    <n v="0"/>
    <x v="1"/>
    <n v="115"/>
    <n v="1"/>
    <n v="1.2"/>
    <n v="1"/>
    <n v="3"/>
    <x v="1"/>
  </r>
  <r>
    <n v="57"/>
    <x v="1"/>
    <x v="1"/>
    <x v="0"/>
    <n v="150"/>
    <n v="126"/>
    <n v="1"/>
    <x v="1"/>
    <n v="173"/>
    <n v="0"/>
    <n v="0.2"/>
    <n v="2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1C3C8-29FE-4604-9D7F-9CCCE9A1F5D2}" name="PivotTable7" cacheId="8" applyNumberFormats="0" applyBorderFormats="0" applyFontFormats="0" applyPatternFormats="0" applyAlignmentFormats="0" applyWidthHeightFormats="1" dataCaption="Values" grandTotalCaption="Total Diseased" updatedVersion="6" minRefreshableVersion="3" useAutoFormatting="1" itemPrintTitles="1" createdVersion="6" indent="0" outline="1" outlineData="1" multipleFieldFilters="0" rowHeaderCaption="Age Group" colHeaderCaption="Sex">
  <location ref="A16:D24" firstHeaderRow="1" firstDataRow="2" firstDataCol="1"/>
  <pivotFields count="14">
    <pivotField showAll="0"/>
    <pivotField axis="axisRow" showAll="0">
      <items count="7">
        <item x="5"/>
        <item x="4"/>
        <item x="2"/>
        <item x="1"/>
        <item x="0"/>
        <item x="3"/>
        <item t="default"/>
      </items>
    </pivotField>
    <pivotField axis="axisCol" showAll="0">
      <items count="3">
        <item n="Diseased Females" x="0"/>
        <item n="Diseased Males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Diseased" fld="13" subtotal="count" showDataAs="percentOfCol" baseField="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8C6E-4993-4F84-BAC7-51222EE337E3}" name="PivotTable3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Has disease?">
  <location ref="A11:C14" firstHeaderRow="0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n="No" x="1"/>
        <item n="Yes"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No. of Patients" fld="13" subtotal="count" baseField="13" baseItem="0"/>
    <dataField name="% of total" fld="13" subtotal="count" showDataAs="percentOfTotal" baseField="13" baseItem="1" numFmtId="10"/>
  </dataFields>
  <formats count="3">
    <format dxfId="62">
      <pivotArea collapsedLevelsAreSubtotals="1" fieldPosition="0">
        <references count="1">
          <reference field="13" count="0"/>
        </references>
      </pivotArea>
    </format>
    <format dxfId="61">
      <pivotArea collapsedLevelsAreSubtotals="1" fieldPosition="0">
        <references count="2">
          <reference field="4294967294" count="1" selected="0">
            <x v="0"/>
          </reference>
          <reference field="13" count="1">
            <x v="0"/>
          </reference>
        </references>
      </pivotArea>
    </format>
    <format dxfId="60">
      <pivotArea collapsedLevelsAreSubtotals="1" fieldPosition="0">
        <references count="2">
          <reference field="4294967294" count="1" selected="0">
            <x v="0"/>
          </reference>
          <reference field="13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CD42C4-CCF3-4A55-8EA8-C66D1927001A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6:E9" firstHeaderRow="0" firstDataRow="1" firstDataCol="1" rowPageCount="3" colPageCount="1"/>
  <pivotFields count="14">
    <pivotField dataField="1" showAll="0"/>
    <pivotField showAll="0"/>
    <pivotField axis="axisRow" showAll="0">
      <items count="3">
        <item n="Female" x="0"/>
        <item n="Male" x="1"/>
        <item t="default"/>
      </items>
    </pivotField>
    <pivotField axis="axisPage" multipleItemSelectionAllowed="1" showAll="0">
      <items count="5">
        <item x="1"/>
        <item x="2"/>
        <item x="0"/>
        <item x="3"/>
        <item t="default"/>
      </items>
    </pivotField>
    <pivotField dataField="1" showAll="0"/>
    <pivotField dataField="1" showAll="0"/>
    <pivotField showAll="0"/>
    <pivotField axis="axisPage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3" hier="-1"/>
    <pageField fld="13" hier="-1"/>
    <pageField fld="7" hier="-1"/>
  </pageFields>
  <dataFields count="4">
    <dataField name="Average chol" fld="5" subtotal="average" baseField="1" baseItem="0"/>
    <dataField name="Average maxhr" fld="8" subtotal="average" baseField="1" baseItem="0"/>
    <dataField name="Average restbps" fld="4" subtotal="average" baseField="1" baseItem="0"/>
    <dataField name="Average age" fld="0" subtotal="average" baseField="1" baseItem="0"/>
  </dataFields>
  <formats count="3">
    <format dxfId="65">
      <pivotArea collapsedLevelsAreSubtotals="1" fieldPosition="0">
        <references count="1">
          <reference field="2" count="0"/>
        </references>
      </pivotArea>
    </format>
    <format dxfId="64">
      <pivotArea field="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303" totalsRowShown="0" headerRowDxfId="59" headerRowBorderDxfId="58" tableBorderDxfId="57">
  <autoFilter ref="A1:N303" xr:uid="{00000000-0009-0000-0100-000001000000}"/>
  <sortState xmlns:xlrd2="http://schemas.microsoft.com/office/spreadsheetml/2017/richdata2" ref="A2:N303">
    <sortCondition descending="1" ref="F1:F1026"/>
  </sortState>
  <tableColumns count="14">
    <tableColumn id="2" xr3:uid="{00000000-0010-0000-0000-000002000000}" name="age"/>
    <tableColumn id="1" xr3:uid="{3B65B5AB-0225-40D7-8009-BA2898118751}" name="agegroup" dataDxfId="56">
      <calculatedColumnFormula>IF(A2&lt;30,"20-29",IF(A2&lt;40,"30-39",IF(A2&lt;50,"40-49",IF(A2&lt;60,"50-59",IF(A2&lt;70,"60-69",IF(A2&lt;80,"70+"))))))</calculatedColumnFormula>
    </tableColumn>
    <tableColumn id="3" xr3:uid="{00000000-0010-0000-0000-000003000000}" name="sex"/>
    <tableColumn id="4" xr3:uid="{00000000-0010-0000-0000-000004000000}" name="cpt"/>
    <tableColumn id="5" xr3:uid="{00000000-0010-0000-0000-000005000000}" name="restbps"/>
    <tableColumn id="6" xr3:uid="{00000000-0010-0000-0000-000006000000}" name="chol"/>
    <tableColumn id="7" xr3:uid="{00000000-0010-0000-0000-000007000000}" name="fbs"/>
    <tableColumn id="8" xr3:uid="{00000000-0010-0000-0000-000008000000}" name="restecg"/>
    <tableColumn id="9" xr3:uid="{00000000-0010-0000-0000-000009000000}" name="maxhr"/>
    <tableColumn id="10" xr3:uid="{00000000-0010-0000-0000-00000A000000}" name="exang"/>
    <tableColumn id="11" xr3:uid="{00000000-0010-0000-0000-00000B000000}" name="oldpeak"/>
    <tableColumn id="12" xr3:uid="{00000000-0010-0000-0000-00000C000000}" name="slope"/>
    <tableColumn id="14" xr3:uid="{00000000-0010-0000-0000-00000E000000}" name="thal"/>
    <tableColumn id="15" xr3:uid="{00000000-0010-0000-0000-00000F000000}" name="targ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L165" totalsRowShown="0" headerRowDxfId="55" dataDxfId="53" headerRowBorderDxfId="54" tableBorderDxfId="52" totalsRowBorderDxfId="51">
  <sortState xmlns:xlrd2="http://schemas.microsoft.com/office/spreadsheetml/2017/richdata2" ref="A2:L527">
    <sortCondition descending="1" ref="D2:D527"/>
  </sortState>
  <tableColumns count="12">
    <tableColumn id="2" xr3:uid="{00000000-0010-0000-0100-000002000000}" name="age" dataDxfId="50"/>
    <tableColumn id="3" xr3:uid="{00000000-0010-0000-0100-000003000000}" name="sex" dataDxfId="49"/>
    <tableColumn id="4" xr3:uid="{00000000-0010-0000-0100-000004000000}" name="cpt" dataDxfId="48"/>
    <tableColumn id="5" xr3:uid="{00000000-0010-0000-0100-000005000000}" name="restbps" dataDxfId="47"/>
    <tableColumn id="6" xr3:uid="{00000000-0010-0000-0100-000006000000}" name="chol" dataDxfId="46"/>
    <tableColumn id="7" xr3:uid="{00000000-0010-0000-0100-000007000000}" name="fbs" dataDxfId="45"/>
    <tableColumn id="8" xr3:uid="{00000000-0010-0000-0100-000008000000}" name="restecg" dataDxfId="44"/>
    <tableColumn id="9" xr3:uid="{00000000-0010-0000-0100-000009000000}" name="maxhr" dataDxfId="43"/>
    <tableColumn id="10" xr3:uid="{00000000-0010-0000-0100-00000A000000}" name="exang" dataDxfId="42"/>
    <tableColumn id="11" xr3:uid="{00000000-0010-0000-0100-00000B000000}" name="oldpeak" dataDxfId="41"/>
    <tableColumn id="12" xr3:uid="{00000000-0010-0000-0100-00000C000000}" name="slope" dataDxfId="40"/>
    <tableColumn id="14" xr3:uid="{00000000-0010-0000-0100-00000E000000}" name="thal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K93" totalsRowShown="0" headerRowDxfId="38" dataDxfId="36" headerRowBorderDxfId="37" tableBorderDxfId="35" totalsRowBorderDxfId="34">
  <autoFilter ref="A1:K93" xr:uid="{00000000-0009-0000-0100-000002000000}"/>
  <tableColumns count="11">
    <tableColumn id="2" xr3:uid="{00000000-0010-0000-0200-000002000000}" name="age" dataDxfId="33"/>
    <tableColumn id="3" xr3:uid="{00000000-0010-0000-0200-000003000000}" name="cpt" dataDxfId="32"/>
    <tableColumn id="4" xr3:uid="{00000000-0010-0000-0200-000004000000}" name="restbps" dataDxfId="31"/>
    <tableColumn id="5" xr3:uid="{00000000-0010-0000-0200-000005000000}" name="chol" dataDxfId="30"/>
    <tableColumn id="6" xr3:uid="{00000000-0010-0000-0200-000006000000}" name="fbs" dataDxfId="29"/>
    <tableColumn id="7" xr3:uid="{00000000-0010-0000-0200-000007000000}" name="restecg" dataDxfId="28"/>
    <tableColumn id="8" xr3:uid="{00000000-0010-0000-0200-000008000000}" name="maxhr" dataDxfId="27"/>
    <tableColumn id="9" xr3:uid="{00000000-0010-0000-0200-000009000000}" name="exang" dataDxfId="26"/>
    <tableColumn id="10" xr3:uid="{00000000-0010-0000-0200-00000A000000}" name="oldpeak" dataDxfId="25"/>
    <tableColumn id="11" xr3:uid="{00000000-0010-0000-0200-00000B000000}" name="slope" dataDxfId="24"/>
    <tableColumn id="13" xr3:uid="{00000000-0010-0000-0200-00000D000000}" name="thal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1:K73" totalsRowShown="0" headerRowDxfId="22" dataDxfId="20" headerRowBorderDxfId="21" tableBorderDxfId="19" totalsRowBorderDxfId="18">
  <autoFilter ref="A1:K73" xr:uid="{00000000-0009-0000-0100-000003000000}"/>
  <tableColumns count="11">
    <tableColumn id="2" xr3:uid="{00000000-0010-0000-0300-000002000000}" name="age" dataDxfId="17"/>
    <tableColumn id="3" xr3:uid="{00000000-0010-0000-0300-000003000000}" name="cpt" dataDxfId="16"/>
    <tableColumn id="4" xr3:uid="{00000000-0010-0000-0300-000004000000}" name="restbps" dataDxfId="15"/>
    <tableColumn id="5" xr3:uid="{00000000-0010-0000-0300-000005000000}" name="chol" dataDxfId="14"/>
    <tableColumn id="6" xr3:uid="{00000000-0010-0000-0300-000006000000}" name="fbs" dataDxfId="13"/>
    <tableColumn id="7" xr3:uid="{00000000-0010-0000-0300-000007000000}" name="restecg" dataDxfId="12"/>
    <tableColumn id="8" xr3:uid="{00000000-0010-0000-0300-000008000000}" name="maxhr" dataDxfId="11"/>
    <tableColumn id="9" xr3:uid="{00000000-0010-0000-0300-000009000000}" name="exang" dataDxfId="10"/>
    <tableColumn id="10" xr3:uid="{00000000-0010-0000-0300-00000A000000}" name="oldpeak" dataDxfId="9"/>
    <tableColumn id="11" xr3:uid="{00000000-0010-0000-0300-00000B000000}" name="slope" dataDxfId="8"/>
    <tableColumn id="13" xr3:uid="{00000000-0010-0000-0300-00000D000000}" name="thal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="120" zoomScaleNormal="120" workbookViewId="0">
      <selection activeCell="B33" sqref="B33"/>
    </sheetView>
  </sheetViews>
  <sheetFormatPr defaultRowHeight="15" x14ac:dyDescent="0.25"/>
  <cols>
    <col min="1" max="1" width="48.28515625" bestFit="1" customWidth="1"/>
    <col min="2" max="2" width="21.7109375" bestFit="1" customWidth="1"/>
    <col min="5" max="5" width="15.7109375" bestFit="1" customWidth="1"/>
    <col min="6" max="6" width="10.5703125" customWidth="1"/>
    <col min="7" max="7" width="10.85546875" bestFit="1" customWidth="1"/>
    <col min="8" max="8" width="10.42578125" bestFit="1" customWidth="1"/>
  </cols>
  <sheetData>
    <row r="1" spans="1:8" x14ac:dyDescent="0.25">
      <c r="A1" s="2" t="s">
        <v>21</v>
      </c>
      <c r="B1" s="2" t="s">
        <v>22</v>
      </c>
      <c r="D1" s="21" t="s">
        <v>47</v>
      </c>
      <c r="E1" s="2" t="s">
        <v>24</v>
      </c>
      <c r="F1" s="2" t="s">
        <v>39</v>
      </c>
      <c r="G1" s="2" t="s">
        <v>48</v>
      </c>
      <c r="H1" s="2" t="s">
        <v>40</v>
      </c>
    </row>
    <row r="2" spans="1:8" x14ac:dyDescent="0.25">
      <c r="A2" s="13" t="s">
        <v>23</v>
      </c>
      <c r="B2" s="1">
        <f>SUM(B3+B4)</f>
        <v>0</v>
      </c>
      <c r="D2" s="33" t="s">
        <v>45</v>
      </c>
      <c r="E2" s="13" t="s">
        <v>41</v>
      </c>
      <c r="F2" s="14">
        <f>'diseased-males'!N22</f>
        <v>51.043478260869563</v>
      </c>
      <c r="G2" s="14">
        <f>'non-diseased_males'!N3</f>
        <v>56.087719298245617</v>
      </c>
      <c r="H2" s="14">
        <f>F2-G2</f>
        <v>-5.0442410373760538</v>
      </c>
    </row>
    <row r="3" spans="1:8" x14ac:dyDescent="0.25">
      <c r="A3" s="13" t="s">
        <v>13</v>
      </c>
      <c r="B3" s="1">
        <f>COUNTIF(all_patients!O:O, "1")</f>
        <v>0</v>
      </c>
      <c r="D3" s="33"/>
      <c r="E3" s="13" t="s">
        <v>43</v>
      </c>
      <c r="F3" s="14">
        <f>'diseased-males'!N23</f>
        <v>129.65217391304347</v>
      </c>
      <c r="G3" s="14">
        <f>'non-diseased_males'!N4</f>
        <v>131.92982456140351</v>
      </c>
      <c r="H3" s="14">
        <f t="shared" ref="H3:H9" si="0">F3-G3</f>
        <v>-2.2776506483600372</v>
      </c>
    </row>
    <row r="4" spans="1:8" x14ac:dyDescent="0.25">
      <c r="A4" s="13" t="s">
        <v>14</v>
      </c>
      <c r="B4" s="1">
        <f>COUNTIF(all_patients!O:O, "0")</f>
        <v>0</v>
      </c>
      <c r="D4" s="33"/>
      <c r="E4" s="13" t="s">
        <v>42</v>
      </c>
      <c r="F4" s="14">
        <f>'diseased-males'!N24</f>
        <v>231.59782608695653</v>
      </c>
      <c r="G4" s="14">
        <f>'non-diseased_males'!N5</f>
        <v>246.06140350877192</v>
      </c>
      <c r="H4" s="14">
        <f t="shared" si="0"/>
        <v>-14.463577421815387</v>
      </c>
    </row>
    <row r="5" spans="1:8" x14ac:dyDescent="0.25">
      <c r="A5" s="13" t="s">
        <v>15</v>
      </c>
      <c r="B5" s="1">
        <f>COUNTIF(all_patients!C:C, "1")</f>
        <v>206</v>
      </c>
      <c r="D5" s="33"/>
      <c r="E5" s="13" t="s">
        <v>44</v>
      </c>
      <c r="F5" s="14">
        <f>'diseased-males'!N25</f>
        <v>161.78260869565219</v>
      </c>
      <c r="G5" s="14">
        <f>'non-diseased_males'!N6</f>
        <v>138.40350877192984</v>
      </c>
      <c r="H5" s="14">
        <f t="shared" si="0"/>
        <v>23.37909992372235</v>
      </c>
    </row>
    <row r="6" spans="1:8" x14ac:dyDescent="0.25">
      <c r="A6" s="13" t="s">
        <v>16</v>
      </c>
      <c r="B6" s="19">
        <f>B2-B5</f>
        <v>-206</v>
      </c>
      <c r="D6" s="33" t="s">
        <v>46</v>
      </c>
      <c r="E6" s="13" t="s">
        <v>41</v>
      </c>
      <c r="F6" s="14">
        <f>'diseased-females'!N22</f>
        <v>54.555555555555557</v>
      </c>
      <c r="G6" s="14">
        <f>'non-diseased_females'!N3</f>
        <v>59.041666666666664</v>
      </c>
      <c r="H6" s="14">
        <f t="shared" si="0"/>
        <v>-4.4861111111111072</v>
      </c>
    </row>
    <row r="7" spans="1:8" x14ac:dyDescent="0.25">
      <c r="A7" s="13" t="s">
        <v>17</v>
      </c>
      <c r="B7" s="1">
        <f>diseased_patients!O2</f>
        <v>92</v>
      </c>
      <c r="D7" s="33"/>
      <c r="E7" s="13" t="s">
        <v>43</v>
      </c>
      <c r="F7" s="14">
        <f>'diseased-females'!N23</f>
        <v>128.73611111111111</v>
      </c>
      <c r="G7" s="14">
        <f>'non-diseased_females'!N4</f>
        <v>146.125</v>
      </c>
      <c r="H7" s="14">
        <f t="shared" si="0"/>
        <v>-17.388888888888886</v>
      </c>
    </row>
    <row r="8" spans="1:8" x14ac:dyDescent="0.25">
      <c r="A8" s="13" t="s">
        <v>18</v>
      </c>
      <c r="B8" s="1">
        <f>diseased_patients!N2</f>
        <v>72</v>
      </c>
      <c r="D8" s="33"/>
      <c r="E8" s="13" t="s">
        <v>42</v>
      </c>
      <c r="F8" s="14">
        <f>'diseased-females'!N24</f>
        <v>256.75</v>
      </c>
      <c r="G8" s="14">
        <f>'non-diseased_females'!N5</f>
        <v>274.95833333333331</v>
      </c>
      <c r="H8" s="14">
        <f t="shared" si="0"/>
        <v>-18.208333333333314</v>
      </c>
    </row>
    <row r="9" spans="1:8" x14ac:dyDescent="0.25">
      <c r="A9" s="13" t="s">
        <v>19</v>
      </c>
      <c r="B9" s="20">
        <f>B7/B5</f>
        <v>0.44660194174757284</v>
      </c>
      <c r="D9" s="33"/>
      <c r="E9" s="13" t="s">
        <v>44</v>
      </c>
      <c r="F9" s="14">
        <f>'diseased-females'!N25</f>
        <v>154.02777777777777</v>
      </c>
      <c r="G9" s="14">
        <f>'non-diseased_females'!N6</f>
        <v>142.41666666666666</v>
      </c>
      <c r="H9" s="14">
        <f t="shared" si="0"/>
        <v>11.611111111111114</v>
      </c>
    </row>
    <row r="10" spans="1:8" x14ac:dyDescent="0.25">
      <c r="A10" s="13" t="s">
        <v>20</v>
      </c>
      <c r="B10" s="20">
        <f>B8/B6</f>
        <v>-0.34951456310679613</v>
      </c>
    </row>
    <row r="11" spans="1:8" x14ac:dyDescent="0.25">
      <c r="A11" s="13" t="s">
        <v>33</v>
      </c>
      <c r="B11" s="1">
        <f>B5-B7</f>
        <v>114</v>
      </c>
    </row>
    <row r="12" spans="1:8" x14ac:dyDescent="0.25">
      <c r="A12" s="13" t="s">
        <v>34</v>
      </c>
      <c r="B12" s="1">
        <f>B6-B8</f>
        <v>-278</v>
      </c>
    </row>
    <row r="13" spans="1:8" x14ac:dyDescent="0.25">
      <c r="A13" s="13" t="s">
        <v>35</v>
      </c>
      <c r="B13" s="20">
        <f>1-B9</f>
        <v>0.55339805825242716</v>
      </c>
    </row>
    <row r="14" spans="1:8" x14ac:dyDescent="0.25">
      <c r="A14" s="13" t="s">
        <v>36</v>
      </c>
      <c r="B14" s="20">
        <f>1-B10</f>
        <v>1.3495145631067962</v>
      </c>
    </row>
    <row r="16" spans="1:8" x14ac:dyDescent="0.25">
      <c r="A16" s="2" t="s">
        <v>92</v>
      </c>
      <c r="B16" s="2" t="s">
        <v>94</v>
      </c>
    </row>
    <row r="17" spans="1:2" x14ac:dyDescent="0.25">
      <c r="A17" s="13" t="s">
        <v>93</v>
      </c>
      <c r="B17" s="24">
        <f>CORREL(all_patients!A:A, all_patients!I:I)</f>
        <v>-0.39523518755348019</v>
      </c>
    </row>
    <row r="18" spans="1:2" x14ac:dyDescent="0.25">
      <c r="A18" s="13" t="s">
        <v>95</v>
      </c>
      <c r="B18" s="24">
        <f>CORREL(all_patients!A:A, all_patients!F:F)</f>
        <v>0.20721550565611757</v>
      </c>
    </row>
    <row r="19" spans="1:2" x14ac:dyDescent="0.25">
      <c r="A19" s="13" t="s">
        <v>96</v>
      </c>
      <c r="B19" s="24">
        <f>CORREL(all_patients!A:A, all_patients!E:E)</f>
        <v>0.28312067898080417</v>
      </c>
    </row>
    <row r="20" spans="1:2" x14ac:dyDescent="0.25">
      <c r="A20" s="13" t="s">
        <v>97</v>
      </c>
      <c r="B20" s="24">
        <f>CORREL(all_patients!E:E, all_patients!F:F)</f>
        <v>0.12525628555536725</v>
      </c>
    </row>
  </sheetData>
  <mergeCells count="2">
    <mergeCell ref="D6:D9"/>
    <mergeCell ref="D2:D5"/>
  </mergeCells>
  <conditionalFormatting sqref="H1:H1048576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5CD61-A3DE-453E-81F8-62B5492E452D}">
  <dimension ref="A2:W24"/>
  <sheetViews>
    <sheetView zoomScale="180" zoomScaleNormal="180" workbookViewId="0">
      <selection activeCell="G14" sqref="G14"/>
    </sheetView>
  </sheetViews>
  <sheetFormatPr defaultRowHeight="15" x14ac:dyDescent="0.25"/>
  <cols>
    <col min="1" max="1" width="13.140625" bestFit="1" customWidth="1"/>
    <col min="2" max="2" width="17.7109375" customWidth="1"/>
    <col min="3" max="3" width="14.42578125" bestFit="1" customWidth="1"/>
    <col min="4" max="4" width="15.42578125" bestFit="1" customWidth="1"/>
    <col min="5" max="5" width="11.85546875" bestFit="1" customWidth="1"/>
    <col min="6" max="6" width="3.85546875" customWidth="1"/>
    <col min="7" max="8" width="3" bestFit="1" customWidth="1"/>
    <col min="9" max="92" width="4" bestFit="1" customWidth="1"/>
    <col min="93" max="93" width="11.28515625" bestFit="1" customWidth="1"/>
  </cols>
  <sheetData>
    <row r="2" spans="1:23" x14ac:dyDescent="0.25">
      <c r="A2" s="26" t="s">
        <v>11</v>
      </c>
      <c r="B2" t="s">
        <v>100</v>
      </c>
    </row>
    <row r="3" spans="1:23" x14ac:dyDescent="0.25">
      <c r="A3" s="26" t="s">
        <v>9</v>
      </c>
      <c r="B3" t="s">
        <v>100</v>
      </c>
    </row>
    <row r="4" spans="1:23" x14ac:dyDescent="0.25">
      <c r="A4" s="26" t="s">
        <v>4</v>
      </c>
      <c r="B4" t="s">
        <v>100</v>
      </c>
    </row>
    <row r="6" spans="1:23" x14ac:dyDescent="0.25">
      <c r="A6" s="26" t="s">
        <v>98</v>
      </c>
      <c r="B6" t="s">
        <v>104</v>
      </c>
      <c r="C6" t="s">
        <v>105</v>
      </c>
      <c r="D6" t="s">
        <v>106</v>
      </c>
      <c r="E6" t="s">
        <v>107</v>
      </c>
    </row>
    <row r="7" spans="1:23" x14ac:dyDescent="0.25">
      <c r="A7" s="27" t="s">
        <v>46</v>
      </c>
      <c r="B7" s="3">
        <v>261.30208333333331</v>
      </c>
      <c r="C7" s="3">
        <v>151.125</v>
      </c>
      <c r="D7" s="3">
        <v>133.08333333333334</v>
      </c>
      <c r="E7" s="3">
        <v>55.677083333333336</v>
      </c>
    </row>
    <row r="8" spans="1:23" x14ac:dyDescent="0.25">
      <c r="A8" s="27" t="s">
        <v>45</v>
      </c>
      <c r="B8" s="3">
        <v>239.60194174757282</v>
      </c>
      <c r="C8" s="3">
        <v>148.84466019417476</v>
      </c>
      <c r="D8" s="3">
        <v>130.91262135922329</v>
      </c>
      <c r="E8" s="3">
        <v>53.834951456310677</v>
      </c>
    </row>
    <row r="9" spans="1:23" x14ac:dyDescent="0.25">
      <c r="A9" s="27" t="s">
        <v>99</v>
      </c>
      <c r="B9" s="3">
        <v>246.5</v>
      </c>
      <c r="C9" s="3">
        <v>149.56953642384107</v>
      </c>
      <c r="D9" s="3">
        <v>131.60264900662253</v>
      </c>
      <c r="E9" s="3">
        <v>54.420529801324506</v>
      </c>
    </row>
    <row r="11" spans="1:23" x14ac:dyDescent="0.25">
      <c r="A11" s="26" t="s">
        <v>103</v>
      </c>
      <c r="B11" t="s">
        <v>101</v>
      </c>
      <c r="C11" t="s">
        <v>102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</row>
    <row r="12" spans="1:23" x14ac:dyDescent="0.25">
      <c r="A12" s="27" t="s">
        <v>79</v>
      </c>
      <c r="B12" s="28">
        <v>138</v>
      </c>
      <c r="C12" s="30">
        <v>0.45695364238410596</v>
      </c>
    </row>
    <row r="13" spans="1:23" x14ac:dyDescent="0.25">
      <c r="A13" s="27" t="s">
        <v>78</v>
      </c>
      <c r="B13" s="28">
        <v>164</v>
      </c>
      <c r="C13" s="30">
        <v>0.54304635761589404</v>
      </c>
    </row>
    <row r="14" spans="1:23" x14ac:dyDescent="0.25">
      <c r="A14" s="27" t="s">
        <v>99</v>
      </c>
      <c r="B14" s="28">
        <v>302</v>
      </c>
      <c r="C14" s="29">
        <v>1</v>
      </c>
    </row>
    <row r="16" spans="1:23" x14ac:dyDescent="0.25">
      <c r="A16" s="26" t="s">
        <v>112</v>
      </c>
      <c r="B16" s="26" t="s">
        <v>47</v>
      </c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</row>
    <row r="17" spans="1:4" x14ac:dyDescent="0.25">
      <c r="A17" s="26" t="s">
        <v>50</v>
      </c>
      <c r="B17" t="s">
        <v>110</v>
      </c>
      <c r="C17" t="s">
        <v>111</v>
      </c>
      <c r="D17" t="s">
        <v>109</v>
      </c>
    </row>
    <row r="18" spans="1:4" x14ac:dyDescent="0.25">
      <c r="A18" s="27" t="s">
        <v>52</v>
      </c>
      <c r="B18" s="29">
        <v>0</v>
      </c>
      <c r="C18" s="29">
        <v>4.8543689320388345E-3</v>
      </c>
      <c r="D18" s="29">
        <v>3.3112582781456954E-3</v>
      </c>
    </row>
    <row r="19" spans="1:4" x14ac:dyDescent="0.25">
      <c r="A19" s="27" t="s">
        <v>53</v>
      </c>
      <c r="B19" s="29">
        <v>5.2083333333333336E-2</v>
      </c>
      <c r="C19" s="29">
        <v>4.3689320388349516E-2</v>
      </c>
      <c r="D19" s="29">
        <v>4.6357615894039736E-2</v>
      </c>
    </row>
    <row r="20" spans="1:4" x14ac:dyDescent="0.25">
      <c r="A20" s="27" t="s">
        <v>54</v>
      </c>
      <c r="B20" s="29">
        <v>0.19791666666666666</v>
      </c>
      <c r="C20" s="29">
        <v>0.25728155339805825</v>
      </c>
      <c r="D20" s="29">
        <v>0.23841059602649006</v>
      </c>
    </row>
    <row r="21" spans="1:4" x14ac:dyDescent="0.25">
      <c r="A21" s="27" t="s">
        <v>55</v>
      </c>
      <c r="B21" s="29">
        <v>0.35416666666666669</v>
      </c>
      <c r="C21" s="29">
        <v>0.44174757281553401</v>
      </c>
      <c r="D21" s="29">
        <v>0.41390728476821192</v>
      </c>
    </row>
    <row r="22" spans="1:4" x14ac:dyDescent="0.25">
      <c r="A22" s="27" t="s">
        <v>56</v>
      </c>
      <c r="B22" s="29">
        <v>0.34375</v>
      </c>
      <c r="C22" s="29">
        <v>0.22815533980582525</v>
      </c>
      <c r="D22" s="29">
        <v>0.26490066225165565</v>
      </c>
    </row>
    <row r="23" spans="1:4" x14ac:dyDescent="0.25">
      <c r="A23" s="27" t="s">
        <v>57</v>
      </c>
      <c r="B23" s="29">
        <v>5.2083333333333336E-2</v>
      </c>
      <c r="C23" s="29">
        <v>2.4271844660194174E-2</v>
      </c>
      <c r="D23" s="29">
        <v>3.3112582781456956E-2</v>
      </c>
    </row>
    <row r="24" spans="1:4" x14ac:dyDescent="0.25">
      <c r="A24" s="27" t="s">
        <v>109</v>
      </c>
      <c r="B24" s="29">
        <v>1</v>
      </c>
      <c r="C24" s="29">
        <v>1</v>
      </c>
      <c r="D24" s="2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F5C9-5B69-4641-AB50-63FF0C23C702}">
  <dimension ref="A1:L88"/>
  <sheetViews>
    <sheetView tabSelected="1" topLeftCell="A55" zoomScale="150" zoomScaleNormal="150" workbookViewId="0">
      <selection activeCell="B62" sqref="B62"/>
    </sheetView>
  </sheetViews>
  <sheetFormatPr defaultRowHeight="15" x14ac:dyDescent="0.25"/>
  <cols>
    <col min="1" max="1" width="25.5703125" customWidth="1"/>
    <col min="2" max="2" width="14.140625" customWidth="1"/>
    <col min="3" max="3" width="16.140625" customWidth="1"/>
    <col min="4" max="4" width="10.7109375" bestFit="1" customWidth="1"/>
  </cols>
  <sheetData>
    <row r="1" spans="1:4" x14ac:dyDescent="0.25">
      <c r="A1" s="38" t="s">
        <v>72</v>
      </c>
      <c r="B1" s="39"/>
    </row>
    <row r="2" spans="1:4" x14ac:dyDescent="0.25">
      <c r="A2" s="2" t="s">
        <v>47</v>
      </c>
      <c r="B2" s="2" t="s">
        <v>51</v>
      </c>
      <c r="C2" s="2" t="s">
        <v>58</v>
      </c>
      <c r="D2" s="2" t="s">
        <v>49</v>
      </c>
    </row>
    <row r="3" spans="1:4" x14ac:dyDescent="0.25">
      <c r="A3" s="13" t="s">
        <v>45</v>
      </c>
      <c r="B3" s="1">
        <f>COUNTIF(all_patients!C:C,"1")</f>
        <v>206</v>
      </c>
      <c r="C3" s="1">
        <f>COUNTIF(diseased_patients!B:B,"1")</f>
        <v>92</v>
      </c>
      <c r="D3" s="22">
        <f>C3/B3</f>
        <v>0.44660194174757284</v>
      </c>
    </row>
    <row r="4" spans="1:4" x14ac:dyDescent="0.25">
      <c r="A4" s="13" t="s">
        <v>46</v>
      </c>
      <c r="B4" s="1">
        <f>COUNTIF(all_patients!C:C,"0")</f>
        <v>96</v>
      </c>
      <c r="C4" s="1">
        <f>COUNTIF(diseased_patients!B:B,"0")</f>
        <v>72</v>
      </c>
      <c r="D4" s="22">
        <f>C4/B4</f>
        <v>0.75</v>
      </c>
    </row>
    <row r="12" spans="1:4" x14ac:dyDescent="0.25">
      <c r="A12" s="34" t="s">
        <v>73</v>
      </c>
      <c r="B12" s="34"/>
    </row>
    <row r="13" spans="1:4" x14ac:dyDescent="0.25">
      <c r="A13" s="2" t="s">
        <v>50</v>
      </c>
      <c r="B13" s="2" t="s">
        <v>51</v>
      </c>
      <c r="C13" s="2" t="s">
        <v>58</v>
      </c>
      <c r="D13" s="2" t="s">
        <v>49</v>
      </c>
    </row>
    <row r="14" spans="1:4" x14ac:dyDescent="0.25">
      <c r="A14" s="13" t="s">
        <v>52</v>
      </c>
      <c r="B14" s="1">
        <f>COUNTIF(all_patients!A:A, "&lt;30")</f>
        <v>1</v>
      </c>
      <c r="C14" s="1">
        <f>COUNTIF(diseased_patients!A:A, "&lt;30")</f>
        <v>1</v>
      </c>
      <c r="D14" s="22">
        <f>C14/B14</f>
        <v>1</v>
      </c>
    </row>
    <row r="15" spans="1:4" x14ac:dyDescent="0.25">
      <c r="A15" s="13" t="s">
        <v>53</v>
      </c>
      <c r="B15" s="1">
        <f>COUNTIFS(all_patients!A:A,"&gt;=30",all_patients!A:A,"&lt;40")</f>
        <v>14</v>
      </c>
      <c r="C15" s="1">
        <f>COUNTIFS(diseased_patients!A:A,"&gt;=30",diseased_patients!A:A,"&lt;40")</f>
        <v>10</v>
      </c>
      <c r="D15" s="22">
        <f t="shared" ref="D15:D19" si="0">C15/B15</f>
        <v>0.7142857142857143</v>
      </c>
    </row>
    <row r="16" spans="1:4" x14ac:dyDescent="0.25">
      <c r="A16" s="13" t="s">
        <v>54</v>
      </c>
      <c r="B16" s="1">
        <f>COUNTIFS(all_patients!A:A,"&gt;=40",all_patients!A:A,"&lt;50")</f>
        <v>72</v>
      </c>
      <c r="C16" s="1">
        <f>COUNTIFS(diseased_patients!A:A,"&gt;=40",diseased_patients!A:A,"&lt;50")</f>
        <v>50</v>
      </c>
      <c r="D16" s="22">
        <f t="shared" si="0"/>
        <v>0.69444444444444442</v>
      </c>
    </row>
    <row r="17" spans="1:4" x14ac:dyDescent="0.25">
      <c r="A17" s="13" t="s">
        <v>55</v>
      </c>
      <c r="B17" s="1">
        <f>COUNTIFS(all_patients!A:A,"&gt;=50",all_patients!A:A,"&lt;60")</f>
        <v>125</v>
      </c>
      <c r="C17" s="1">
        <f>COUNTIFS(diseased_patients!A:A,"&gt;=50",diseased_patients!A:A,"&lt;60")</f>
        <v>65</v>
      </c>
      <c r="D17" s="22">
        <f t="shared" si="0"/>
        <v>0.52</v>
      </c>
    </row>
    <row r="18" spans="1:4" x14ac:dyDescent="0.25">
      <c r="A18" s="13" t="s">
        <v>56</v>
      </c>
      <c r="B18" s="1">
        <f>COUNTIFS(all_patients!A:A,"&gt;=60",all_patients!A:A,"&lt;70")</f>
        <v>80</v>
      </c>
      <c r="C18" s="1">
        <f>COUNTIFS(diseased_patients!A:A,"&gt;=60",diseased_patients!A:A,"&lt;70")</f>
        <v>32</v>
      </c>
      <c r="D18" s="22">
        <f t="shared" si="0"/>
        <v>0.4</v>
      </c>
    </row>
    <row r="19" spans="1:4" x14ac:dyDescent="0.25">
      <c r="A19" s="13" t="s">
        <v>57</v>
      </c>
      <c r="B19" s="1">
        <f>COUNTIF(all_patients!A:A,"&gt;=70")</f>
        <v>10</v>
      </c>
      <c r="C19" s="1">
        <f>COUNTIF(diseased_patients!A:A, "&gt;=70")</f>
        <v>6</v>
      </c>
      <c r="D19" s="22">
        <f t="shared" si="0"/>
        <v>0.6</v>
      </c>
    </row>
    <row r="23" spans="1:4" x14ac:dyDescent="0.25">
      <c r="A23" s="35" t="s">
        <v>74</v>
      </c>
      <c r="B23" s="36"/>
      <c r="C23" s="37"/>
      <c r="D23" s="23"/>
    </row>
    <row r="24" spans="1:4" x14ac:dyDescent="0.25">
      <c r="A24" s="2" t="s">
        <v>59</v>
      </c>
      <c r="B24" s="2" t="s">
        <v>64</v>
      </c>
      <c r="C24" s="2" t="s">
        <v>58</v>
      </c>
      <c r="D24" s="2" t="s">
        <v>49</v>
      </c>
    </row>
    <row r="25" spans="1:4" x14ac:dyDescent="0.25">
      <c r="A25" s="13" t="s">
        <v>60</v>
      </c>
      <c r="B25" s="1">
        <f>COUNTIF(all_patients!D:D, "0")</f>
        <v>143</v>
      </c>
      <c r="C25" s="1">
        <f>COUNTIF(diseased_patients!C:C, "0")</f>
        <v>39</v>
      </c>
      <c r="D25" s="22">
        <f>C25/B25</f>
        <v>0.27272727272727271</v>
      </c>
    </row>
    <row r="26" spans="1:4" x14ac:dyDescent="0.25">
      <c r="A26" s="13" t="s">
        <v>61</v>
      </c>
      <c r="B26" s="1">
        <f>COUNTIF(all_patients!D:D, "1")</f>
        <v>50</v>
      </c>
      <c r="C26" s="1">
        <f>COUNTIF(diseased_patients!C:C, "1")</f>
        <v>41</v>
      </c>
      <c r="D26" s="22">
        <f t="shared" ref="D26:D28" si="1">C26/B26</f>
        <v>0.82</v>
      </c>
    </row>
    <row r="27" spans="1:4" x14ac:dyDescent="0.25">
      <c r="A27" s="13" t="s">
        <v>62</v>
      </c>
      <c r="B27" s="1">
        <f>COUNTIF(all_patients!D:D, "2")</f>
        <v>86</v>
      </c>
      <c r="C27" s="1">
        <f>COUNTIF(diseased_patients!C:C, "2")</f>
        <v>68</v>
      </c>
      <c r="D27" s="22">
        <f t="shared" si="1"/>
        <v>0.79069767441860461</v>
      </c>
    </row>
    <row r="28" spans="1:4" x14ac:dyDescent="0.25">
      <c r="A28" s="13" t="s">
        <v>63</v>
      </c>
      <c r="B28" s="1">
        <f>COUNTIF(all_patients!D:D, "3")</f>
        <v>23</v>
      </c>
      <c r="C28" s="1">
        <f>COUNTIF(diseased_patients!C:C, "3")</f>
        <v>16</v>
      </c>
      <c r="D28" s="22">
        <f t="shared" si="1"/>
        <v>0.69565217391304346</v>
      </c>
    </row>
    <row r="36" spans="1:4" x14ac:dyDescent="0.25">
      <c r="A36" s="35" t="s">
        <v>75</v>
      </c>
      <c r="B36" s="36"/>
      <c r="C36" s="37"/>
      <c r="D36" s="23"/>
    </row>
    <row r="37" spans="1:4" x14ac:dyDescent="0.25">
      <c r="A37" s="2" t="s">
        <v>67</v>
      </c>
      <c r="B37" s="2" t="s">
        <v>64</v>
      </c>
      <c r="C37" s="2" t="s">
        <v>58</v>
      </c>
      <c r="D37" s="2" t="s">
        <v>49</v>
      </c>
    </row>
    <row r="38" spans="1:4" x14ac:dyDescent="0.25">
      <c r="A38" s="13" t="s">
        <v>65</v>
      </c>
      <c r="B38" s="1">
        <f>COUNTIF(all_patients!G:G, "1")</f>
        <v>45</v>
      </c>
      <c r="C38" s="1">
        <f>COUNTIF(diseased_patients!F:F, "1")</f>
        <v>23</v>
      </c>
      <c r="D38" s="22">
        <f>C38/B38</f>
        <v>0.51111111111111107</v>
      </c>
    </row>
    <row r="39" spans="1:4" x14ac:dyDescent="0.25">
      <c r="A39" s="13" t="s">
        <v>66</v>
      </c>
      <c r="B39" s="1">
        <f>COUNTIF(all_patients!D:D, "0")</f>
        <v>143</v>
      </c>
      <c r="C39" s="1">
        <f>COUNTIF(diseased_patients!F:F, "0")</f>
        <v>141</v>
      </c>
      <c r="D39" s="22">
        <f>C39/B39</f>
        <v>0.98601398601398604</v>
      </c>
    </row>
    <row r="48" spans="1:4" x14ac:dyDescent="0.25">
      <c r="A48" s="34" t="s">
        <v>76</v>
      </c>
      <c r="B48" s="34"/>
    </row>
    <row r="49" spans="1:12" x14ac:dyDescent="0.25">
      <c r="A49" s="2" t="s">
        <v>71</v>
      </c>
      <c r="B49" s="2" t="s">
        <v>64</v>
      </c>
      <c r="C49" s="2" t="s">
        <v>58</v>
      </c>
      <c r="D49" s="2" t="s">
        <v>49</v>
      </c>
    </row>
    <row r="50" spans="1:12" x14ac:dyDescent="0.25">
      <c r="A50" s="13" t="s">
        <v>68</v>
      </c>
      <c r="B50" s="1">
        <f>COUNTIF(all_patients!H:H,"0")</f>
        <v>147</v>
      </c>
      <c r="C50" s="1">
        <f>COUNTIF(diseased_patients!G:G,"0")</f>
        <v>68</v>
      </c>
      <c r="D50" s="22">
        <f>C50/B50</f>
        <v>0.46258503401360546</v>
      </c>
    </row>
    <row r="51" spans="1:12" x14ac:dyDescent="0.25">
      <c r="A51" s="13" t="s">
        <v>69</v>
      </c>
      <c r="B51" s="1">
        <f>COUNTIF(all_patients!H:H,"1")</f>
        <v>151</v>
      </c>
      <c r="C51" s="1">
        <f>COUNTIF(diseased_patients!G:G,"1")</f>
        <v>95</v>
      </c>
      <c r="D51" s="22">
        <f t="shared" ref="D51:D52" si="2">C51/B51</f>
        <v>0.62913907284768211</v>
      </c>
    </row>
    <row r="52" spans="1:12" x14ac:dyDescent="0.25">
      <c r="A52" s="13" t="s">
        <v>70</v>
      </c>
      <c r="B52" s="1">
        <f>COUNTIF(all_patients!H:H,"2")</f>
        <v>4</v>
      </c>
      <c r="C52" s="1">
        <f>COUNTIF(diseased_patients!G:G,"2")</f>
        <v>1</v>
      </c>
      <c r="D52" s="22">
        <f t="shared" si="2"/>
        <v>0.25</v>
      </c>
    </row>
    <row r="60" spans="1:12" x14ac:dyDescent="0.25">
      <c r="A60" s="34" t="s">
        <v>77</v>
      </c>
      <c r="B60" s="34"/>
      <c r="C60" s="34"/>
      <c r="L60" t="s">
        <v>82</v>
      </c>
    </row>
    <row r="61" spans="1:12" x14ac:dyDescent="0.25">
      <c r="A61" s="2" t="s">
        <v>80</v>
      </c>
      <c r="B61" s="2" t="s">
        <v>64</v>
      </c>
      <c r="C61" s="2" t="s">
        <v>58</v>
      </c>
      <c r="D61" s="2" t="s">
        <v>49</v>
      </c>
      <c r="L61" t="s">
        <v>81</v>
      </c>
    </row>
    <row r="62" spans="1:12" x14ac:dyDescent="0.25">
      <c r="A62" s="13" t="s">
        <v>78</v>
      </c>
      <c r="B62" s="1">
        <f>COUNTIF(all_patients!J:J,"1")</f>
        <v>99</v>
      </c>
      <c r="C62" s="1">
        <f>COUNTIF(diseased_patients!I:I,"1")</f>
        <v>23</v>
      </c>
      <c r="D62" s="22">
        <f>C62/B62</f>
        <v>0.23232323232323232</v>
      </c>
    </row>
    <row r="63" spans="1:12" x14ac:dyDescent="0.25">
      <c r="A63" s="13" t="s">
        <v>79</v>
      </c>
      <c r="B63" s="1">
        <f>COUNTIF(all_patients!J:J,"0")</f>
        <v>203</v>
      </c>
      <c r="C63" s="1">
        <f>COUNTIF(diseased_patients!I:I,"0")</f>
        <v>141</v>
      </c>
      <c r="D63" s="22">
        <f>C63/B63</f>
        <v>0.69458128078817738</v>
      </c>
    </row>
    <row r="71" spans="1:4" x14ac:dyDescent="0.25">
      <c r="A71" s="34" t="s">
        <v>91</v>
      </c>
      <c r="B71" s="34"/>
    </row>
    <row r="72" spans="1:4" x14ac:dyDescent="0.25">
      <c r="A72" s="2" t="s">
        <v>83</v>
      </c>
      <c r="B72" s="2" t="s">
        <v>64</v>
      </c>
      <c r="C72" s="2" t="s">
        <v>58</v>
      </c>
      <c r="D72" s="2" t="s">
        <v>49</v>
      </c>
    </row>
    <row r="73" spans="1:4" x14ac:dyDescent="0.25">
      <c r="A73" s="13" t="s">
        <v>84</v>
      </c>
      <c r="B73" s="1">
        <f>COUNTIF(all_patients!L:L,"0")</f>
        <v>21</v>
      </c>
      <c r="C73" s="1">
        <f>COUNTIF(diseased_patients!K:K,"0")</f>
        <v>9</v>
      </c>
      <c r="D73" s="22">
        <f>C73/B73</f>
        <v>0.42857142857142855</v>
      </c>
    </row>
    <row r="74" spans="1:4" x14ac:dyDescent="0.25">
      <c r="A74" s="13" t="s">
        <v>85</v>
      </c>
      <c r="B74" s="1">
        <f>COUNTIF(all_patients!L:L,"1")</f>
        <v>140</v>
      </c>
      <c r="C74" s="1">
        <f>COUNTIF(diseased_patients!K:K,"1")</f>
        <v>49</v>
      </c>
      <c r="D74" s="22">
        <f t="shared" ref="D74:D75" si="3">C74/B74</f>
        <v>0.35</v>
      </c>
    </row>
    <row r="75" spans="1:4" x14ac:dyDescent="0.25">
      <c r="A75" s="13" t="s">
        <v>86</v>
      </c>
      <c r="B75" s="1">
        <f>COUNTIF(all_patients!L:L,"2")</f>
        <v>141</v>
      </c>
      <c r="C75" s="1">
        <f>COUNTIF(diseased_patients!K:K,"2")</f>
        <v>106</v>
      </c>
      <c r="D75" s="22">
        <f t="shared" si="3"/>
        <v>0.75177304964539005</v>
      </c>
    </row>
    <row r="84" spans="1:4" x14ac:dyDescent="0.25">
      <c r="A84" s="34" t="s">
        <v>90</v>
      </c>
      <c r="B84" s="34"/>
    </row>
    <row r="85" spans="1:4" x14ac:dyDescent="0.25">
      <c r="A85" s="2" t="s">
        <v>87</v>
      </c>
      <c r="B85" s="2" t="s">
        <v>64</v>
      </c>
      <c r="C85" s="2" t="s">
        <v>58</v>
      </c>
      <c r="D85" s="2" t="s">
        <v>49</v>
      </c>
    </row>
    <row r="86" spans="1:4" x14ac:dyDescent="0.25">
      <c r="A86" s="13" t="s">
        <v>68</v>
      </c>
      <c r="B86" s="1">
        <f>COUNTIF(all_patients!M:M,"1")</f>
        <v>18</v>
      </c>
      <c r="C86" s="1">
        <f>COUNTIF(diseased_patients!L:L,"1")</f>
        <v>6</v>
      </c>
      <c r="D86" s="22">
        <f>C86/B86</f>
        <v>0.33333333333333331</v>
      </c>
    </row>
    <row r="87" spans="1:4" x14ac:dyDescent="0.25">
      <c r="A87" s="13" t="s">
        <v>88</v>
      </c>
      <c r="B87" s="1">
        <f>COUNTIF(all_patients!M:M,"2")</f>
        <v>165</v>
      </c>
      <c r="C87" s="1">
        <f>COUNTIF(diseased_patients!L:L,"2")</f>
        <v>129</v>
      </c>
      <c r="D87" s="22">
        <f t="shared" ref="D87:D88" si="4">C87/B87</f>
        <v>0.78181818181818186</v>
      </c>
    </row>
    <row r="88" spans="1:4" x14ac:dyDescent="0.25">
      <c r="A88" s="13" t="s">
        <v>89</v>
      </c>
      <c r="B88" s="1">
        <f>COUNTIF(all_patients!M:M,"3")</f>
        <v>117</v>
      </c>
      <c r="C88" s="1">
        <f>COUNTIF(diseased_patients!L:L,"3")</f>
        <v>28</v>
      </c>
      <c r="D88" s="22">
        <f t="shared" si="4"/>
        <v>0.23931623931623933</v>
      </c>
    </row>
  </sheetData>
  <mergeCells count="8">
    <mergeCell ref="A84:B84"/>
    <mergeCell ref="A23:C23"/>
    <mergeCell ref="A48:B48"/>
    <mergeCell ref="A12:B12"/>
    <mergeCell ref="A36:C36"/>
    <mergeCell ref="A1:B1"/>
    <mergeCell ref="A60:C60"/>
    <mergeCell ref="A71:B7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26"/>
  <sheetViews>
    <sheetView zoomScale="150" zoomScaleNormal="150" workbookViewId="0">
      <selection activeCell="P7" sqref="P7"/>
    </sheetView>
  </sheetViews>
  <sheetFormatPr defaultRowHeight="15" x14ac:dyDescent="0.25"/>
  <cols>
    <col min="2" max="2" width="11.5703125" style="32" bestFit="1" customWidth="1"/>
    <col min="11" max="11" width="9.85546875" customWidth="1"/>
    <col min="18" max="18" width="33" customWidth="1"/>
  </cols>
  <sheetData>
    <row r="1" spans="1:14" x14ac:dyDescent="0.25">
      <c r="A1" s="25" t="s">
        <v>0</v>
      </c>
      <c r="B1" s="31" t="s">
        <v>108</v>
      </c>
      <c r="C1" s="25" t="s">
        <v>1</v>
      </c>
      <c r="D1" s="25" t="s">
        <v>11</v>
      </c>
      <c r="E1" s="25" t="s">
        <v>10</v>
      </c>
      <c r="F1" s="25" t="s">
        <v>2</v>
      </c>
      <c r="G1" s="25" t="s">
        <v>3</v>
      </c>
      <c r="H1" s="25" t="s">
        <v>4</v>
      </c>
      <c r="I1" s="25" t="s">
        <v>12</v>
      </c>
      <c r="J1" s="25" t="s">
        <v>5</v>
      </c>
      <c r="K1" s="25" t="s">
        <v>6</v>
      </c>
      <c r="L1" s="25" t="s">
        <v>7</v>
      </c>
      <c r="M1" s="25" t="s">
        <v>8</v>
      </c>
      <c r="N1" s="25" t="s">
        <v>9</v>
      </c>
    </row>
    <row r="2" spans="1:14" x14ac:dyDescent="0.25">
      <c r="A2">
        <v>67</v>
      </c>
      <c r="B2" s="32" t="str">
        <f>IF(A2&lt;30,"20-29",IF(A2&lt;40,"30-39",IF(A2&lt;50,"40-49",IF(A2&lt;60,"50-59",IF(A2&lt;70,"60-69",IF(A2&lt;80,"70+"))))))</f>
        <v>60-69</v>
      </c>
      <c r="C2">
        <v>0</v>
      </c>
      <c r="D2">
        <v>2</v>
      </c>
      <c r="E2">
        <v>115</v>
      </c>
      <c r="F2">
        <v>564</v>
      </c>
      <c r="G2">
        <v>0</v>
      </c>
      <c r="H2">
        <v>0</v>
      </c>
      <c r="I2">
        <v>160</v>
      </c>
      <c r="J2">
        <v>0</v>
      </c>
      <c r="K2">
        <v>1.6</v>
      </c>
      <c r="L2">
        <v>1</v>
      </c>
      <c r="M2">
        <v>3</v>
      </c>
      <c r="N2">
        <v>1</v>
      </c>
    </row>
    <row r="3" spans="1:14" x14ac:dyDescent="0.25">
      <c r="A3">
        <v>65</v>
      </c>
      <c r="B3" s="32" t="str">
        <f>IF(A3&lt;30,"20-29",IF(A3&lt;40,"30-39",IF(A3&lt;50,"40-49",IF(A3&lt;60,"50-59",IF(A3&lt;70,"60-69",IF(A3&lt;80,"70+"))))))</f>
        <v>60-69</v>
      </c>
      <c r="C3">
        <v>0</v>
      </c>
      <c r="D3">
        <v>2</v>
      </c>
      <c r="E3">
        <v>140</v>
      </c>
      <c r="F3">
        <v>417</v>
      </c>
      <c r="G3">
        <v>1</v>
      </c>
      <c r="H3">
        <v>0</v>
      </c>
      <c r="I3">
        <v>157</v>
      </c>
      <c r="J3">
        <v>0</v>
      </c>
      <c r="K3">
        <v>0.8</v>
      </c>
      <c r="L3">
        <v>2</v>
      </c>
      <c r="M3">
        <v>2</v>
      </c>
      <c r="N3">
        <v>1</v>
      </c>
    </row>
    <row r="4" spans="1:14" x14ac:dyDescent="0.25">
      <c r="A4">
        <v>56</v>
      </c>
      <c r="B4" s="32" t="str">
        <f>IF(A4&lt;30,"20-29",IF(A4&lt;40,"30-39",IF(A4&lt;50,"40-49",IF(A4&lt;60,"50-59",IF(A4&lt;70,"60-69",IF(A4&lt;80,"70+"))))))</f>
        <v>50-59</v>
      </c>
      <c r="C4">
        <v>0</v>
      </c>
      <c r="D4">
        <v>0</v>
      </c>
      <c r="E4">
        <v>134</v>
      </c>
      <c r="F4">
        <v>409</v>
      </c>
      <c r="G4">
        <v>0</v>
      </c>
      <c r="H4">
        <v>0</v>
      </c>
      <c r="I4">
        <v>150</v>
      </c>
      <c r="J4">
        <v>1</v>
      </c>
      <c r="K4">
        <v>1.9</v>
      </c>
      <c r="L4">
        <v>1</v>
      </c>
      <c r="M4">
        <v>3</v>
      </c>
      <c r="N4">
        <v>0</v>
      </c>
    </row>
    <row r="5" spans="1:14" x14ac:dyDescent="0.25">
      <c r="A5">
        <v>63</v>
      </c>
      <c r="B5" s="32" t="str">
        <f>IF(A5&lt;30,"20-29",IF(A5&lt;40,"30-39",IF(A5&lt;50,"40-49",IF(A5&lt;60,"50-59",IF(A5&lt;70,"60-69",IF(A5&lt;80,"70+"))))))</f>
        <v>60-69</v>
      </c>
      <c r="C5">
        <v>0</v>
      </c>
      <c r="D5">
        <v>0</v>
      </c>
      <c r="E5">
        <v>150</v>
      </c>
      <c r="F5">
        <v>407</v>
      </c>
      <c r="G5">
        <v>0</v>
      </c>
      <c r="H5">
        <v>0</v>
      </c>
      <c r="I5">
        <v>154</v>
      </c>
      <c r="J5">
        <v>0</v>
      </c>
      <c r="K5">
        <v>4</v>
      </c>
      <c r="L5">
        <v>1</v>
      </c>
      <c r="M5">
        <v>3</v>
      </c>
      <c r="N5">
        <v>0</v>
      </c>
    </row>
    <row r="6" spans="1:14" x14ac:dyDescent="0.25">
      <c r="A6">
        <v>62</v>
      </c>
      <c r="B6" s="32" t="str">
        <f>IF(A6&lt;30,"20-29",IF(A6&lt;40,"30-39",IF(A6&lt;50,"40-49",IF(A6&lt;60,"50-59",IF(A6&lt;70,"60-69",IF(A6&lt;80,"70+"))))))</f>
        <v>60-69</v>
      </c>
      <c r="C6">
        <v>0</v>
      </c>
      <c r="D6">
        <v>0</v>
      </c>
      <c r="E6">
        <v>140</v>
      </c>
      <c r="F6">
        <v>394</v>
      </c>
      <c r="G6">
        <v>0</v>
      </c>
      <c r="H6">
        <v>0</v>
      </c>
      <c r="I6">
        <v>157</v>
      </c>
      <c r="J6">
        <v>0</v>
      </c>
      <c r="K6">
        <v>1.2</v>
      </c>
      <c r="L6">
        <v>1</v>
      </c>
      <c r="M6">
        <v>2</v>
      </c>
      <c r="N6">
        <v>1</v>
      </c>
    </row>
    <row r="7" spans="1:14" x14ac:dyDescent="0.25">
      <c r="A7">
        <v>65</v>
      </c>
      <c r="B7" s="32" t="str">
        <f>IF(A7&lt;30,"20-29",IF(A7&lt;40,"30-39",IF(A7&lt;50,"40-49",IF(A7&lt;60,"50-59",IF(A7&lt;70,"60-69",IF(A7&lt;80,"70+"))))))</f>
        <v>60-69</v>
      </c>
      <c r="C7">
        <v>0</v>
      </c>
      <c r="D7">
        <v>2</v>
      </c>
      <c r="E7">
        <v>160</v>
      </c>
      <c r="F7">
        <v>360</v>
      </c>
      <c r="G7">
        <v>0</v>
      </c>
      <c r="H7">
        <v>0</v>
      </c>
      <c r="I7">
        <v>151</v>
      </c>
      <c r="J7">
        <v>0</v>
      </c>
      <c r="K7">
        <v>0.8</v>
      </c>
      <c r="L7">
        <v>2</v>
      </c>
      <c r="M7">
        <v>2</v>
      </c>
      <c r="N7">
        <v>1</v>
      </c>
    </row>
    <row r="8" spans="1:14" x14ac:dyDescent="0.25">
      <c r="A8">
        <v>57</v>
      </c>
      <c r="B8" s="32" t="str">
        <f>IF(A8&lt;30,"20-29",IF(A8&lt;40,"30-39",IF(A8&lt;50,"40-49",IF(A8&lt;60,"50-59",IF(A8&lt;70,"60-69",IF(A8&lt;80,"70+"))))))</f>
        <v>50-59</v>
      </c>
      <c r="C8">
        <v>0</v>
      </c>
      <c r="D8">
        <v>0</v>
      </c>
      <c r="E8">
        <v>120</v>
      </c>
      <c r="F8">
        <v>354</v>
      </c>
      <c r="G8">
        <v>0</v>
      </c>
      <c r="H8">
        <v>1</v>
      </c>
      <c r="I8">
        <v>163</v>
      </c>
      <c r="J8">
        <v>1</v>
      </c>
      <c r="K8">
        <v>0.6</v>
      </c>
      <c r="L8">
        <v>2</v>
      </c>
      <c r="M8">
        <v>2</v>
      </c>
      <c r="N8">
        <v>1</v>
      </c>
    </row>
    <row r="9" spans="1:14" x14ac:dyDescent="0.25">
      <c r="A9">
        <v>55</v>
      </c>
      <c r="B9" s="32" t="str">
        <f>IF(A9&lt;30,"20-29",IF(A9&lt;40,"30-39",IF(A9&lt;50,"40-49",IF(A9&lt;60,"50-59",IF(A9&lt;70,"60-69",IF(A9&lt;80,"70+"))))))</f>
        <v>50-59</v>
      </c>
      <c r="C9">
        <v>1</v>
      </c>
      <c r="D9">
        <v>0</v>
      </c>
      <c r="E9">
        <v>132</v>
      </c>
      <c r="F9">
        <v>353</v>
      </c>
      <c r="G9">
        <v>0</v>
      </c>
      <c r="H9">
        <v>1</v>
      </c>
      <c r="I9">
        <v>132</v>
      </c>
      <c r="J9">
        <v>1</v>
      </c>
      <c r="K9">
        <v>1.2</v>
      </c>
      <c r="L9">
        <v>1</v>
      </c>
      <c r="M9">
        <v>3</v>
      </c>
      <c r="N9">
        <v>0</v>
      </c>
    </row>
    <row r="10" spans="1:14" x14ac:dyDescent="0.25">
      <c r="A10">
        <v>55</v>
      </c>
      <c r="B10" s="32" t="str">
        <f>IF(A10&lt;30,"20-29",IF(A10&lt;40,"30-39",IF(A10&lt;50,"40-49",IF(A10&lt;60,"50-59",IF(A10&lt;70,"60-69",IF(A10&lt;80,"70+"))))))</f>
        <v>50-59</v>
      </c>
      <c r="C10">
        <v>0</v>
      </c>
      <c r="D10">
        <v>1</v>
      </c>
      <c r="E10">
        <v>132</v>
      </c>
      <c r="F10">
        <v>342</v>
      </c>
      <c r="G10">
        <v>0</v>
      </c>
      <c r="H10">
        <v>1</v>
      </c>
      <c r="I10">
        <v>166</v>
      </c>
      <c r="J10">
        <v>0</v>
      </c>
      <c r="K10">
        <v>1.2</v>
      </c>
      <c r="L10">
        <v>2</v>
      </c>
      <c r="M10">
        <v>2</v>
      </c>
      <c r="N10">
        <v>1</v>
      </c>
    </row>
    <row r="11" spans="1:14" x14ac:dyDescent="0.25">
      <c r="A11">
        <v>43</v>
      </c>
      <c r="B11" s="32" t="str">
        <f>IF(A11&lt;30,"20-29",IF(A11&lt;40,"30-39",IF(A11&lt;50,"40-49",IF(A11&lt;60,"50-59",IF(A11&lt;70,"60-69",IF(A11&lt;80,"70+"))))))</f>
        <v>40-49</v>
      </c>
      <c r="C11">
        <v>0</v>
      </c>
      <c r="D11">
        <v>0</v>
      </c>
      <c r="E11">
        <v>132</v>
      </c>
      <c r="F11">
        <v>341</v>
      </c>
      <c r="G11">
        <v>1</v>
      </c>
      <c r="H11">
        <v>0</v>
      </c>
      <c r="I11">
        <v>136</v>
      </c>
      <c r="J11">
        <v>1</v>
      </c>
      <c r="K11">
        <v>3</v>
      </c>
      <c r="L11">
        <v>1</v>
      </c>
      <c r="M11">
        <v>3</v>
      </c>
      <c r="N11">
        <v>0</v>
      </c>
    </row>
    <row r="12" spans="1:14" x14ac:dyDescent="0.25">
      <c r="A12">
        <v>58</v>
      </c>
      <c r="B12" s="32" t="str">
        <f>IF(A12&lt;30,"20-29",IF(A12&lt;40,"30-39",IF(A12&lt;50,"40-49",IF(A12&lt;60,"50-59",IF(A12&lt;70,"60-69",IF(A12&lt;80,"70+"))))))</f>
        <v>50-59</v>
      </c>
      <c r="C12">
        <v>0</v>
      </c>
      <c r="D12">
        <v>2</v>
      </c>
      <c r="E12">
        <v>120</v>
      </c>
      <c r="F12">
        <v>340</v>
      </c>
      <c r="G12">
        <v>0</v>
      </c>
      <c r="H12">
        <v>1</v>
      </c>
      <c r="I12">
        <v>172</v>
      </c>
      <c r="J12">
        <v>0</v>
      </c>
      <c r="K12">
        <v>0</v>
      </c>
      <c r="L12">
        <v>2</v>
      </c>
      <c r="M12">
        <v>2</v>
      </c>
      <c r="N12">
        <v>1</v>
      </c>
    </row>
    <row r="13" spans="1:14" x14ac:dyDescent="0.25">
      <c r="A13">
        <v>57</v>
      </c>
      <c r="B13" s="32" t="str">
        <f>IF(A13&lt;30,"20-29",IF(A13&lt;40,"30-39",IF(A13&lt;50,"40-49",IF(A13&lt;60,"50-59",IF(A13&lt;70,"60-69",IF(A13&lt;80,"70+"))))))</f>
        <v>50-59</v>
      </c>
      <c r="C13">
        <v>1</v>
      </c>
      <c r="D13">
        <v>0</v>
      </c>
      <c r="E13">
        <v>110</v>
      </c>
      <c r="F13">
        <v>335</v>
      </c>
      <c r="G13">
        <v>0</v>
      </c>
      <c r="H13">
        <v>1</v>
      </c>
      <c r="I13">
        <v>143</v>
      </c>
      <c r="J13">
        <v>1</v>
      </c>
      <c r="K13">
        <v>3</v>
      </c>
      <c r="L13">
        <v>1</v>
      </c>
      <c r="M13">
        <v>3</v>
      </c>
      <c r="N13">
        <v>0</v>
      </c>
    </row>
    <row r="14" spans="1:14" x14ac:dyDescent="0.25">
      <c r="A14">
        <v>64</v>
      </c>
      <c r="B14" s="32" t="str">
        <f>IF(A14&lt;30,"20-29",IF(A14&lt;40,"30-39",IF(A14&lt;50,"40-49",IF(A14&lt;60,"50-59",IF(A14&lt;70,"60-69",IF(A14&lt;80,"70+"))))))</f>
        <v>60-69</v>
      </c>
      <c r="C14">
        <v>1</v>
      </c>
      <c r="D14">
        <v>2</v>
      </c>
      <c r="E14">
        <v>140</v>
      </c>
      <c r="F14">
        <v>335</v>
      </c>
      <c r="G14">
        <v>0</v>
      </c>
      <c r="H14">
        <v>1</v>
      </c>
      <c r="I14">
        <v>158</v>
      </c>
      <c r="J14">
        <v>0</v>
      </c>
      <c r="K14">
        <v>0</v>
      </c>
      <c r="L14">
        <v>2</v>
      </c>
      <c r="M14">
        <v>2</v>
      </c>
      <c r="N14">
        <v>0</v>
      </c>
    </row>
    <row r="15" spans="1:14" x14ac:dyDescent="0.25">
      <c r="A15">
        <v>61</v>
      </c>
      <c r="B15" s="32" t="str">
        <f>IF(A15&lt;30,"20-29",IF(A15&lt;40,"30-39",IF(A15&lt;50,"40-49",IF(A15&lt;60,"50-59",IF(A15&lt;70,"60-69",IF(A15&lt;80,"70+"))))))</f>
        <v>60-69</v>
      </c>
      <c r="C15">
        <v>0</v>
      </c>
      <c r="D15">
        <v>0</v>
      </c>
      <c r="E15">
        <v>130</v>
      </c>
      <c r="F15">
        <v>330</v>
      </c>
      <c r="G15">
        <v>0</v>
      </c>
      <c r="H15">
        <v>0</v>
      </c>
      <c r="I15">
        <v>169</v>
      </c>
      <c r="J15">
        <v>0</v>
      </c>
      <c r="K15">
        <v>0</v>
      </c>
      <c r="L15">
        <v>2</v>
      </c>
      <c r="M15">
        <v>2</v>
      </c>
      <c r="N15">
        <v>0</v>
      </c>
    </row>
    <row r="16" spans="1:14" x14ac:dyDescent="0.25">
      <c r="A16">
        <v>63</v>
      </c>
      <c r="B16" s="32" t="str">
        <f>IF(A16&lt;30,"20-29",IF(A16&lt;40,"30-39",IF(A16&lt;50,"40-49",IF(A16&lt;60,"50-59",IF(A16&lt;70,"60-69",IF(A16&lt;80,"70+"))))))</f>
        <v>60-69</v>
      </c>
      <c r="C16">
        <v>1</v>
      </c>
      <c r="D16">
        <v>0</v>
      </c>
      <c r="E16">
        <v>130</v>
      </c>
      <c r="F16">
        <v>330</v>
      </c>
      <c r="G16">
        <v>1</v>
      </c>
      <c r="H16">
        <v>0</v>
      </c>
      <c r="I16">
        <v>132</v>
      </c>
      <c r="J16">
        <v>1</v>
      </c>
      <c r="K16">
        <v>1.8</v>
      </c>
      <c r="L16">
        <v>2</v>
      </c>
      <c r="M16">
        <v>3</v>
      </c>
      <c r="N16">
        <v>0</v>
      </c>
    </row>
    <row r="17" spans="1:14" x14ac:dyDescent="0.25">
      <c r="A17">
        <v>55</v>
      </c>
      <c r="B17" s="32" t="str">
        <f>IF(A17&lt;30,"20-29",IF(A17&lt;40,"30-39",IF(A17&lt;50,"40-49",IF(A17&lt;60,"50-59",IF(A17&lt;70,"60-69",IF(A17&lt;80,"70+"))))))</f>
        <v>50-59</v>
      </c>
      <c r="C17">
        <v>0</v>
      </c>
      <c r="D17">
        <v>0</v>
      </c>
      <c r="E17">
        <v>180</v>
      </c>
      <c r="F17">
        <v>327</v>
      </c>
      <c r="G17">
        <v>0</v>
      </c>
      <c r="H17">
        <v>2</v>
      </c>
      <c r="I17">
        <v>117</v>
      </c>
      <c r="J17">
        <v>1</v>
      </c>
      <c r="K17">
        <v>3.4</v>
      </c>
      <c r="L17">
        <v>1</v>
      </c>
      <c r="M17">
        <v>2</v>
      </c>
      <c r="N17">
        <v>0</v>
      </c>
    </row>
    <row r="18" spans="1:14" x14ac:dyDescent="0.25">
      <c r="A18">
        <v>59</v>
      </c>
      <c r="B18" s="32" t="str">
        <f>IF(A18&lt;30,"20-29",IF(A18&lt;40,"30-39",IF(A18&lt;50,"40-49",IF(A18&lt;60,"50-59",IF(A18&lt;70,"60-69",IF(A18&lt;80,"70+"))))))</f>
        <v>50-59</v>
      </c>
      <c r="C18">
        <v>1</v>
      </c>
      <c r="D18">
        <v>0</v>
      </c>
      <c r="E18">
        <v>170</v>
      </c>
      <c r="F18">
        <v>326</v>
      </c>
      <c r="G18">
        <v>0</v>
      </c>
      <c r="H18">
        <v>0</v>
      </c>
      <c r="I18">
        <v>140</v>
      </c>
      <c r="J18">
        <v>1</v>
      </c>
      <c r="K18">
        <v>3.4</v>
      </c>
      <c r="L18">
        <v>0</v>
      </c>
      <c r="M18">
        <v>3</v>
      </c>
      <c r="N18">
        <v>0</v>
      </c>
    </row>
    <row r="19" spans="1:14" x14ac:dyDescent="0.25">
      <c r="A19">
        <v>64</v>
      </c>
      <c r="B19" s="32" t="str">
        <f>IF(A19&lt;30,"20-29",IF(A19&lt;40,"30-39",IF(A19&lt;50,"40-49",IF(A19&lt;60,"50-59",IF(A19&lt;70,"60-69",IF(A19&lt;80,"70+"))))))</f>
        <v>60-69</v>
      </c>
      <c r="C19">
        <v>0</v>
      </c>
      <c r="D19">
        <v>0</v>
      </c>
      <c r="E19">
        <v>180</v>
      </c>
      <c r="F19">
        <v>325</v>
      </c>
      <c r="G19">
        <v>0</v>
      </c>
      <c r="H19">
        <v>1</v>
      </c>
      <c r="I19">
        <v>154</v>
      </c>
      <c r="J19">
        <v>1</v>
      </c>
      <c r="K19">
        <v>0</v>
      </c>
      <c r="L19">
        <v>2</v>
      </c>
      <c r="M19">
        <v>2</v>
      </c>
      <c r="N19">
        <v>1</v>
      </c>
    </row>
    <row r="20" spans="1:14" x14ac:dyDescent="0.25">
      <c r="A20">
        <v>52</v>
      </c>
      <c r="B20" s="32" t="str">
        <f>IF(A20&lt;30,"20-29",IF(A20&lt;40,"30-39",IF(A20&lt;50,"40-49",IF(A20&lt;60,"50-59",IF(A20&lt;70,"60-69",IF(A20&lt;80,"70+"))))))</f>
        <v>50-59</v>
      </c>
      <c r="C20">
        <v>1</v>
      </c>
      <c r="D20">
        <v>1</v>
      </c>
      <c r="E20">
        <v>120</v>
      </c>
      <c r="F20">
        <v>325</v>
      </c>
      <c r="G20">
        <v>0</v>
      </c>
      <c r="H20">
        <v>1</v>
      </c>
      <c r="I20">
        <v>172</v>
      </c>
      <c r="J20">
        <v>0</v>
      </c>
      <c r="K20">
        <v>0.2</v>
      </c>
      <c r="L20">
        <v>2</v>
      </c>
      <c r="M20">
        <v>2</v>
      </c>
      <c r="N20">
        <v>1</v>
      </c>
    </row>
    <row r="21" spans="1:14" x14ac:dyDescent="0.25">
      <c r="A21">
        <v>70</v>
      </c>
      <c r="B21" s="32" t="str">
        <f>IF(A21&lt;30,"20-29",IF(A21&lt;40,"30-39",IF(A21&lt;50,"40-49",IF(A21&lt;60,"50-59",IF(A21&lt;70,"60-69",IF(A21&lt;80,"70+"))))))</f>
        <v>70+</v>
      </c>
      <c r="C21">
        <v>1</v>
      </c>
      <c r="D21">
        <v>0</v>
      </c>
      <c r="E21">
        <v>130</v>
      </c>
      <c r="F21">
        <v>322</v>
      </c>
      <c r="G21">
        <v>0</v>
      </c>
      <c r="H21">
        <v>0</v>
      </c>
      <c r="I21">
        <v>109</v>
      </c>
      <c r="J21">
        <v>0</v>
      </c>
      <c r="K21">
        <v>2.4</v>
      </c>
      <c r="L21">
        <v>1</v>
      </c>
      <c r="M21">
        <v>2</v>
      </c>
      <c r="N21">
        <v>0</v>
      </c>
    </row>
    <row r="22" spans="1:14" x14ac:dyDescent="0.25">
      <c r="A22">
        <v>39</v>
      </c>
      <c r="B22" s="32" t="str">
        <f>IF(A22&lt;30,"20-29",IF(A22&lt;40,"30-39",IF(A22&lt;50,"40-49",IF(A22&lt;60,"50-59",IF(A22&lt;70,"60-69",IF(A22&lt;80,"70+"))))))</f>
        <v>30-39</v>
      </c>
      <c r="C22">
        <v>1</v>
      </c>
      <c r="D22">
        <v>2</v>
      </c>
      <c r="E22">
        <v>140</v>
      </c>
      <c r="F22">
        <v>321</v>
      </c>
      <c r="G22">
        <v>0</v>
      </c>
      <c r="H22">
        <v>0</v>
      </c>
      <c r="I22">
        <v>182</v>
      </c>
      <c r="J22">
        <v>0</v>
      </c>
      <c r="K22">
        <v>0</v>
      </c>
      <c r="L22">
        <v>2</v>
      </c>
      <c r="M22">
        <v>2</v>
      </c>
      <c r="N22">
        <v>1</v>
      </c>
    </row>
    <row r="23" spans="1:14" x14ac:dyDescent="0.25">
      <c r="A23">
        <v>58</v>
      </c>
      <c r="B23" s="32" t="str">
        <f>IF(A23&lt;30,"20-29",IF(A23&lt;40,"30-39",IF(A23&lt;50,"40-49",IF(A23&lt;60,"50-59",IF(A23&lt;70,"60-69",IF(A23&lt;80,"70+"))))))</f>
        <v>50-59</v>
      </c>
      <c r="C23">
        <v>0</v>
      </c>
      <c r="D23">
        <v>1</v>
      </c>
      <c r="E23">
        <v>136</v>
      </c>
      <c r="F23">
        <v>319</v>
      </c>
      <c r="G23">
        <v>1</v>
      </c>
      <c r="H23">
        <v>0</v>
      </c>
      <c r="I23">
        <v>152</v>
      </c>
      <c r="J23">
        <v>0</v>
      </c>
      <c r="K23">
        <v>0</v>
      </c>
      <c r="L23">
        <v>2</v>
      </c>
      <c r="M23">
        <v>2</v>
      </c>
      <c r="N23">
        <v>0</v>
      </c>
    </row>
    <row r="24" spans="1:14" x14ac:dyDescent="0.25">
      <c r="A24">
        <v>58</v>
      </c>
      <c r="B24" s="32" t="str">
        <f>IF(A24&lt;30,"20-29",IF(A24&lt;40,"30-39",IF(A24&lt;50,"40-49",IF(A24&lt;60,"50-59",IF(A24&lt;70,"60-69",IF(A24&lt;80,"70+"))))))</f>
        <v>50-59</v>
      </c>
      <c r="C24">
        <v>1</v>
      </c>
      <c r="D24">
        <v>0</v>
      </c>
      <c r="E24">
        <v>114</v>
      </c>
      <c r="F24">
        <v>318</v>
      </c>
      <c r="G24">
        <v>0</v>
      </c>
      <c r="H24">
        <v>2</v>
      </c>
      <c r="I24">
        <v>140</v>
      </c>
      <c r="J24">
        <v>0</v>
      </c>
      <c r="K24">
        <v>4.4000000000000004</v>
      </c>
      <c r="L24">
        <v>0</v>
      </c>
      <c r="M24">
        <v>1</v>
      </c>
      <c r="N24">
        <v>0</v>
      </c>
    </row>
    <row r="25" spans="1:14" x14ac:dyDescent="0.25">
      <c r="A25">
        <v>60</v>
      </c>
      <c r="B25" s="32" t="str">
        <f>IF(A25&lt;30,"20-29",IF(A25&lt;40,"30-39",IF(A25&lt;50,"40-49",IF(A25&lt;60,"50-59",IF(A25&lt;70,"60-69",IF(A25&lt;80,"70+"))))))</f>
        <v>60-69</v>
      </c>
      <c r="C25">
        <v>0</v>
      </c>
      <c r="D25">
        <v>2</v>
      </c>
      <c r="E25">
        <v>102</v>
      </c>
      <c r="F25">
        <v>318</v>
      </c>
      <c r="G25">
        <v>0</v>
      </c>
      <c r="H25">
        <v>1</v>
      </c>
      <c r="I25">
        <v>160</v>
      </c>
      <c r="J25">
        <v>0</v>
      </c>
      <c r="K25">
        <v>0</v>
      </c>
      <c r="L25">
        <v>2</v>
      </c>
      <c r="M25">
        <v>2</v>
      </c>
      <c r="N25">
        <v>1</v>
      </c>
    </row>
    <row r="26" spans="1:14" x14ac:dyDescent="0.25">
      <c r="A26">
        <v>42</v>
      </c>
      <c r="B26" s="32" t="str">
        <f>IF(A26&lt;30,"20-29",IF(A26&lt;40,"30-39",IF(A26&lt;50,"40-49",IF(A26&lt;60,"50-59",IF(A26&lt;70,"60-69",IF(A26&lt;80,"70+"))))))</f>
        <v>40-49</v>
      </c>
      <c r="C26">
        <v>1</v>
      </c>
      <c r="D26">
        <v>0</v>
      </c>
      <c r="E26">
        <v>136</v>
      </c>
      <c r="F26">
        <v>315</v>
      </c>
      <c r="G26">
        <v>0</v>
      </c>
      <c r="H26">
        <v>1</v>
      </c>
      <c r="I26">
        <v>125</v>
      </c>
      <c r="J26">
        <v>1</v>
      </c>
      <c r="K26">
        <v>1.8</v>
      </c>
      <c r="L26">
        <v>1</v>
      </c>
      <c r="M26">
        <v>1</v>
      </c>
      <c r="N26">
        <v>0</v>
      </c>
    </row>
    <row r="27" spans="1:14" x14ac:dyDescent="0.25">
      <c r="A27">
        <v>43</v>
      </c>
      <c r="B27" s="32" t="str">
        <f>IF(A27&lt;30,"20-29",IF(A27&lt;40,"30-39",IF(A27&lt;50,"40-49",IF(A27&lt;60,"50-59",IF(A27&lt;70,"60-69",IF(A27&lt;80,"70+"))))))</f>
        <v>40-49</v>
      </c>
      <c r="C27">
        <v>1</v>
      </c>
      <c r="D27">
        <v>2</v>
      </c>
      <c r="E27">
        <v>130</v>
      </c>
      <c r="F27">
        <v>315</v>
      </c>
      <c r="G27">
        <v>0</v>
      </c>
      <c r="H27">
        <v>1</v>
      </c>
      <c r="I27">
        <v>162</v>
      </c>
      <c r="J27">
        <v>0</v>
      </c>
      <c r="K27">
        <v>1.9</v>
      </c>
      <c r="L27">
        <v>2</v>
      </c>
      <c r="M27">
        <v>2</v>
      </c>
      <c r="N27">
        <v>1</v>
      </c>
    </row>
    <row r="28" spans="1:14" x14ac:dyDescent="0.25">
      <c r="A28">
        <v>64</v>
      </c>
      <c r="B28" s="32" t="str">
        <f>IF(A28&lt;30,"20-29",IF(A28&lt;40,"30-39",IF(A28&lt;50,"40-49",IF(A28&lt;60,"50-59",IF(A28&lt;70,"60-69",IF(A28&lt;80,"70+"))))))</f>
        <v>60-69</v>
      </c>
      <c r="C28">
        <v>0</v>
      </c>
      <c r="D28">
        <v>2</v>
      </c>
      <c r="E28">
        <v>140</v>
      </c>
      <c r="F28">
        <v>313</v>
      </c>
      <c r="G28">
        <v>0</v>
      </c>
      <c r="H28">
        <v>1</v>
      </c>
      <c r="I28">
        <v>133</v>
      </c>
      <c r="J28">
        <v>0</v>
      </c>
      <c r="K28">
        <v>0.2</v>
      </c>
      <c r="L28">
        <v>2</v>
      </c>
      <c r="M28">
        <v>3</v>
      </c>
      <c r="N28">
        <v>1</v>
      </c>
    </row>
    <row r="29" spans="1:14" x14ac:dyDescent="0.25">
      <c r="A29">
        <v>46</v>
      </c>
      <c r="B29" s="32" t="str">
        <f>IF(A29&lt;30,"20-29",IF(A29&lt;40,"30-39",IF(A29&lt;50,"40-49",IF(A29&lt;60,"50-59",IF(A29&lt;70,"60-69",IF(A29&lt;80,"70+"))))))</f>
        <v>40-49</v>
      </c>
      <c r="C29">
        <v>1</v>
      </c>
      <c r="D29">
        <v>0</v>
      </c>
      <c r="E29">
        <v>140</v>
      </c>
      <c r="F29">
        <v>311</v>
      </c>
      <c r="G29">
        <v>0</v>
      </c>
      <c r="H29">
        <v>1</v>
      </c>
      <c r="I29">
        <v>120</v>
      </c>
      <c r="J29">
        <v>1</v>
      </c>
      <c r="K29">
        <v>1.8</v>
      </c>
      <c r="L29">
        <v>1</v>
      </c>
      <c r="M29">
        <v>3</v>
      </c>
      <c r="N29">
        <v>0</v>
      </c>
    </row>
    <row r="30" spans="1:14" x14ac:dyDescent="0.25">
      <c r="A30">
        <v>54</v>
      </c>
      <c r="B30" s="32" t="str">
        <f>IF(A30&lt;30,"20-29",IF(A30&lt;40,"30-39",IF(A30&lt;50,"40-49",IF(A30&lt;60,"50-59",IF(A30&lt;70,"60-69",IF(A30&lt;80,"70+"))))))</f>
        <v>50-59</v>
      </c>
      <c r="C30">
        <v>1</v>
      </c>
      <c r="D30">
        <v>1</v>
      </c>
      <c r="E30">
        <v>108</v>
      </c>
      <c r="F30">
        <v>309</v>
      </c>
      <c r="G30">
        <v>0</v>
      </c>
      <c r="H30">
        <v>1</v>
      </c>
      <c r="I30">
        <v>156</v>
      </c>
      <c r="J30">
        <v>0</v>
      </c>
      <c r="K30">
        <v>0</v>
      </c>
      <c r="L30">
        <v>2</v>
      </c>
      <c r="M30">
        <v>3</v>
      </c>
      <c r="N30">
        <v>1</v>
      </c>
    </row>
    <row r="31" spans="1:14" x14ac:dyDescent="0.25">
      <c r="A31">
        <v>64</v>
      </c>
      <c r="B31" s="32" t="str">
        <f>IF(A31&lt;30,"20-29",IF(A31&lt;40,"30-39",IF(A31&lt;50,"40-49",IF(A31&lt;60,"50-59",IF(A31&lt;70,"60-69",IF(A31&lt;80,"70+"))))))</f>
        <v>60-69</v>
      </c>
      <c r="C31">
        <v>1</v>
      </c>
      <c r="D31">
        <v>2</v>
      </c>
      <c r="E31">
        <v>125</v>
      </c>
      <c r="F31">
        <v>309</v>
      </c>
      <c r="G31">
        <v>0</v>
      </c>
      <c r="H31">
        <v>1</v>
      </c>
      <c r="I31">
        <v>131</v>
      </c>
      <c r="J31">
        <v>1</v>
      </c>
      <c r="K31">
        <v>1.8</v>
      </c>
      <c r="L31">
        <v>1</v>
      </c>
      <c r="M31">
        <v>3</v>
      </c>
      <c r="N31">
        <v>0</v>
      </c>
    </row>
    <row r="32" spans="1:14" x14ac:dyDescent="0.25">
      <c r="A32">
        <v>45</v>
      </c>
      <c r="B32" s="32" t="str">
        <f>IF(A32&lt;30,"20-29",IF(A32&lt;40,"30-39",IF(A32&lt;50,"40-49",IF(A32&lt;60,"50-59",IF(A32&lt;70,"60-69",IF(A32&lt;80,"70+"))))))</f>
        <v>40-49</v>
      </c>
      <c r="C32">
        <v>1</v>
      </c>
      <c r="D32">
        <v>0</v>
      </c>
      <c r="E32">
        <v>142</v>
      </c>
      <c r="F32">
        <v>309</v>
      </c>
      <c r="G32">
        <v>0</v>
      </c>
      <c r="H32">
        <v>0</v>
      </c>
      <c r="I32">
        <v>147</v>
      </c>
      <c r="J32">
        <v>1</v>
      </c>
      <c r="K32">
        <v>0</v>
      </c>
      <c r="L32">
        <v>1</v>
      </c>
      <c r="M32">
        <v>3</v>
      </c>
      <c r="N32">
        <v>0</v>
      </c>
    </row>
    <row r="33" spans="1:14" x14ac:dyDescent="0.25">
      <c r="A33">
        <v>51</v>
      </c>
      <c r="B33" s="32" t="str">
        <f>IF(A33&lt;30,"20-29",IF(A33&lt;40,"30-39",IF(A33&lt;50,"40-49",IF(A33&lt;60,"50-59",IF(A33&lt;70,"60-69",IF(A33&lt;80,"70+"))))))</f>
        <v>50-59</v>
      </c>
      <c r="C33">
        <v>0</v>
      </c>
      <c r="D33">
        <v>2</v>
      </c>
      <c r="E33">
        <v>140</v>
      </c>
      <c r="F33">
        <v>308</v>
      </c>
      <c r="G33">
        <v>0</v>
      </c>
      <c r="H33">
        <v>0</v>
      </c>
      <c r="I33">
        <v>142</v>
      </c>
      <c r="J33">
        <v>0</v>
      </c>
      <c r="K33">
        <v>1.5</v>
      </c>
      <c r="L33">
        <v>2</v>
      </c>
      <c r="M33">
        <v>2</v>
      </c>
      <c r="N33">
        <v>1</v>
      </c>
    </row>
    <row r="34" spans="1:14" x14ac:dyDescent="0.25">
      <c r="A34">
        <v>45</v>
      </c>
      <c r="B34" s="32" t="str">
        <f>IF(A34&lt;30,"20-29",IF(A34&lt;40,"30-39",IF(A34&lt;50,"40-49",IF(A34&lt;60,"50-59",IF(A34&lt;70,"60-69",IF(A34&lt;80,"70+"))))))</f>
        <v>40-49</v>
      </c>
      <c r="C34">
        <v>1</v>
      </c>
      <c r="D34">
        <v>1</v>
      </c>
      <c r="E34">
        <v>128</v>
      </c>
      <c r="F34">
        <v>308</v>
      </c>
      <c r="G34">
        <v>0</v>
      </c>
      <c r="H34">
        <v>0</v>
      </c>
      <c r="I34">
        <v>170</v>
      </c>
      <c r="J34">
        <v>0</v>
      </c>
      <c r="K34">
        <v>0</v>
      </c>
      <c r="L34">
        <v>2</v>
      </c>
      <c r="M34">
        <v>2</v>
      </c>
      <c r="N34">
        <v>1</v>
      </c>
    </row>
    <row r="35" spans="1:14" x14ac:dyDescent="0.25">
      <c r="A35">
        <v>61</v>
      </c>
      <c r="B35" s="32" t="str">
        <f>IF(A35&lt;30,"20-29",IF(A35&lt;40,"30-39",IF(A35&lt;50,"40-49",IF(A35&lt;60,"50-59",IF(A35&lt;70,"60-69",IF(A35&lt;80,"70+"))))))</f>
        <v>60-69</v>
      </c>
      <c r="C35">
        <v>0</v>
      </c>
      <c r="D35">
        <v>0</v>
      </c>
      <c r="E35">
        <v>145</v>
      </c>
      <c r="F35">
        <v>307</v>
      </c>
      <c r="G35">
        <v>0</v>
      </c>
      <c r="H35">
        <v>0</v>
      </c>
      <c r="I35">
        <v>146</v>
      </c>
      <c r="J35">
        <v>1</v>
      </c>
      <c r="K35">
        <v>1</v>
      </c>
      <c r="L35">
        <v>1</v>
      </c>
      <c r="M35">
        <v>3</v>
      </c>
      <c r="N35">
        <v>0</v>
      </c>
    </row>
    <row r="36" spans="1:14" x14ac:dyDescent="0.25">
      <c r="A36">
        <v>41</v>
      </c>
      <c r="B36" s="32" t="str">
        <f>IF(A36&lt;30,"20-29",IF(A36&lt;40,"30-39",IF(A36&lt;50,"40-49",IF(A36&lt;60,"50-59",IF(A36&lt;70,"60-69",IF(A36&lt;80,"70+"))))))</f>
        <v>40-49</v>
      </c>
      <c r="C36">
        <v>0</v>
      </c>
      <c r="D36">
        <v>1</v>
      </c>
      <c r="E36">
        <v>126</v>
      </c>
      <c r="F36">
        <v>306</v>
      </c>
      <c r="G36">
        <v>0</v>
      </c>
      <c r="H36">
        <v>1</v>
      </c>
      <c r="I36">
        <v>163</v>
      </c>
      <c r="J36">
        <v>0</v>
      </c>
      <c r="K36">
        <v>0</v>
      </c>
      <c r="L36">
        <v>2</v>
      </c>
      <c r="M36">
        <v>2</v>
      </c>
      <c r="N36">
        <v>1</v>
      </c>
    </row>
    <row r="37" spans="1:14" x14ac:dyDescent="0.25">
      <c r="A37">
        <v>51</v>
      </c>
      <c r="B37" s="32" t="str">
        <f>IF(A37&lt;30,"20-29",IF(A37&lt;40,"30-39",IF(A37&lt;50,"40-49",IF(A37&lt;60,"50-59",IF(A37&lt;70,"60-69",IF(A37&lt;80,"70+"))))))</f>
        <v>50-59</v>
      </c>
      <c r="C37">
        <v>0</v>
      </c>
      <c r="D37">
        <v>0</v>
      </c>
      <c r="E37">
        <v>130</v>
      </c>
      <c r="F37">
        <v>305</v>
      </c>
      <c r="G37">
        <v>0</v>
      </c>
      <c r="H37">
        <v>1</v>
      </c>
      <c r="I37">
        <v>142</v>
      </c>
      <c r="J37">
        <v>1</v>
      </c>
      <c r="K37">
        <v>1.2</v>
      </c>
      <c r="L37">
        <v>1</v>
      </c>
      <c r="M37">
        <v>3</v>
      </c>
      <c r="N37">
        <v>0</v>
      </c>
    </row>
    <row r="38" spans="1:14" x14ac:dyDescent="0.25">
      <c r="A38">
        <v>77</v>
      </c>
      <c r="B38" s="32" t="str">
        <f>IF(A38&lt;30,"20-29",IF(A38&lt;40,"30-39",IF(A38&lt;50,"40-49",IF(A38&lt;60,"50-59",IF(A38&lt;70,"60-69",IF(A38&lt;80,"70+"))))))</f>
        <v>70+</v>
      </c>
      <c r="C38">
        <v>1</v>
      </c>
      <c r="D38">
        <v>0</v>
      </c>
      <c r="E38">
        <v>125</v>
      </c>
      <c r="F38">
        <v>304</v>
      </c>
      <c r="G38">
        <v>0</v>
      </c>
      <c r="H38">
        <v>0</v>
      </c>
      <c r="I38">
        <v>162</v>
      </c>
      <c r="J38">
        <v>1</v>
      </c>
      <c r="K38">
        <v>0</v>
      </c>
      <c r="L38">
        <v>2</v>
      </c>
      <c r="M38">
        <v>2</v>
      </c>
      <c r="N38">
        <v>0</v>
      </c>
    </row>
    <row r="39" spans="1:14" x14ac:dyDescent="0.25">
      <c r="A39">
        <v>54</v>
      </c>
      <c r="B39" s="32" t="str">
        <f>IF(A39&lt;30,"20-29",IF(A39&lt;40,"30-39",IF(A39&lt;50,"40-49",IF(A39&lt;60,"50-59",IF(A39&lt;70,"60-69",IF(A39&lt;80,"70+"))))))</f>
        <v>50-59</v>
      </c>
      <c r="C39">
        <v>0</v>
      </c>
      <c r="D39">
        <v>2</v>
      </c>
      <c r="E39">
        <v>135</v>
      </c>
      <c r="F39">
        <v>304</v>
      </c>
      <c r="G39">
        <v>1</v>
      </c>
      <c r="H39">
        <v>1</v>
      </c>
      <c r="I39">
        <v>170</v>
      </c>
      <c r="J39">
        <v>0</v>
      </c>
      <c r="K39">
        <v>0</v>
      </c>
      <c r="L39">
        <v>2</v>
      </c>
      <c r="M39">
        <v>2</v>
      </c>
      <c r="N39">
        <v>1</v>
      </c>
    </row>
    <row r="40" spans="1:14" x14ac:dyDescent="0.25">
      <c r="A40">
        <v>57</v>
      </c>
      <c r="B40" s="32" t="str">
        <f>IF(A40&lt;30,"20-29",IF(A40&lt;40,"30-39",IF(A40&lt;50,"40-49",IF(A40&lt;60,"50-59",IF(A40&lt;70,"60-69",IF(A40&lt;80,"70+"))))))</f>
        <v>50-59</v>
      </c>
      <c r="C40">
        <v>0</v>
      </c>
      <c r="D40">
        <v>0</v>
      </c>
      <c r="E40">
        <v>128</v>
      </c>
      <c r="F40">
        <v>303</v>
      </c>
      <c r="G40">
        <v>0</v>
      </c>
      <c r="H40">
        <v>0</v>
      </c>
      <c r="I40">
        <v>159</v>
      </c>
      <c r="J40">
        <v>0</v>
      </c>
      <c r="K40">
        <v>0</v>
      </c>
      <c r="L40">
        <v>2</v>
      </c>
      <c r="M40">
        <v>2</v>
      </c>
      <c r="N40">
        <v>1</v>
      </c>
    </row>
    <row r="41" spans="1:14" x14ac:dyDescent="0.25">
      <c r="A41">
        <v>64</v>
      </c>
      <c r="B41" s="32" t="str">
        <f>IF(A41&lt;30,"20-29",IF(A41&lt;40,"30-39",IF(A41&lt;50,"40-49",IF(A41&lt;60,"50-59",IF(A41&lt;70,"60-69",IF(A41&lt;80,"70+"))))))</f>
        <v>60-69</v>
      </c>
      <c r="C41">
        <v>0</v>
      </c>
      <c r="D41">
        <v>0</v>
      </c>
      <c r="E41">
        <v>130</v>
      </c>
      <c r="F41">
        <v>303</v>
      </c>
      <c r="G41">
        <v>0</v>
      </c>
      <c r="H41">
        <v>1</v>
      </c>
      <c r="I41">
        <v>122</v>
      </c>
      <c r="J41">
        <v>0</v>
      </c>
      <c r="K41">
        <v>2</v>
      </c>
      <c r="L41">
        <v>1</v>
      </c>
      <c r="M41">
        <v>2</v>
      </c>
      <c r="N41">
        <v>1</v>
      </c>
    </row>
    <row r="42" spans="1:14" x14ac:dyDescent="0.25">
      <c r="A42">
        <v>43</v>
      </c>
      <c r="B42" s="32" t="str">
        <f>IF(A42&lt;30,"20-29",IF(A42&lt;40,"30-39",IF(A42&lt;50,"40-49",IF(A42&lt;60,"50-59",IF(A42&lt;70,"60-69",IF(A42&lt;80,"70+"))))))</f>
        <v>40-49</v>
      </c>
      <c r="C42">
        <v>1</v>
      </c>
      <c r="D42">
        <v>0</v>
      </c>
      <c r="E42">
        <v>115</v>
      </c>
      <c r="F42">
        <v>303</v>
      </c>
      <c r="G42">
        <v>0</v>
      </c>
      <c r="H42">
        <v>1</v>
      </c>
      <c r="I42">
        <v>181</v>
      </c>
      <c r="J42">
        <v>0</v>
      </c>
      <c r="K42">
        <v>1.2</v>
      </c>
      <c r="L42">
        <v>1</v>
      </c>
      <c r="M42">
        <v>2</v>
      </c>
      <c r="N42">
        <v>1</v>
      </c>
    </row>
    <row r="43" spans="1:14" x14ac:dyDescent="0.25">
      <c r="A43">
        <v>71</v>
      </c>
      <c r="B43" s="32" t="str">
        <f>IF(A43&lt;30,"20-29",IF(A43&lt;40,"30-39",IF(A43&lt;50,"40-49",IF(A43&lt;60,"50-59",IF(A43&lt;70,"60-69",IF(A43&lt;80,"70+"))))))</f>
        <v>70+</v>
      </c>
      <c r="C43">
        <v>0</v>
      </c>
      <c r="D43">
        <v>1</v>
      </c>
      <c r="E43">
        <v>160</v>
      </c>
      <c r="F43">
        <v>302</v>
      </c>
      <c r="G43">
        <v>0</v>
      </c>
      <c r="H43">
        <v>1</v>
      </c>
      <c r="I43">
        <v>162</v>
      </c>
      <c r="J43">
        <v>0</v>
      </c>
      <c r="K43">
        <v>0.4</v>
      </c>
      <c r="L43">
        <v>2</v>
      </c>
      <c r="M43">
        <v>2</v>
      </c>
      <c r="N43">
        <v>1</v>
      </c>
    </row>
    <row r="44" spans="1:14" x14ac:dyDescent="0.25">
      <c r="A44">
        <v>66</v>
      </c>
      <c r="B44" s="32" t="str">
        <f>IF(A44&lt;30,"20-29",IF(A44&lt;40,"30-39",IF(A44&lt;50,"40-49",IF(A44&lt;60,"50-59",IF(A44&lt;70,"60-69",IF(A44&lt;80,"70+"))))))</f>
        <v>60-69</v>
      </c>
      <c r="C44">
        <v>1</v>
      </c>
      <c r="D44">
        <v>0</v>
      </c>
      <c r="E44">
        <v>120</v>
      </c>
      <c r="F44">
        <v>302</v>
      </c>
      <c r="G44">
        <v>0</v>
      </c>
      <c r="H44">
        <v>0</v>
      </c>
      <c r="I44">
        <v>151</v>
      </c>
      <c r="J44">
        <v>0</v>
      </c>
      <c r="K44">
        <v>0.4</v>
      </c>
      <c r="L44">
        <v>1</v>
      </c>
      <c r="M44">
        <v>2</v>
      </c>
      <c r="N44">
        <v>1</v>
      </c>
    </row>
    <row r="45" spans="1:14" x14ac:dyDescent="0.25">
      <c r="A45">
        <v>58</v>
      </c>
      <c r="B45" s="32" t="str">
        <f>IF(A45&lt;30,"20-29",IF(A45&lt;40,"30-39",IF(A45&lt;50,"40-49",IF(A45&lt;60,"50-59",IF(A45&lt;70,"60-69",IF(A45&lt;80,"70+"))))))</f>
        <v>50-59</v>
      </c>
      <c r="C45">
        <v>1</v>
      </c>
      <c r="D45">
        <v>0</v>
      </c>
      <c r="E45">
        <v>125</v>
      </c>
      <c r="F45">
        <v>300</v>
      </c>
      <c r="G45">
        <v>0</v>
      </c>
      <c r="H45">
        <v>0</v>
      </c>
      <c r="I45">
        <v>171</v>
      </c>
      <c r="J45">
        <v>0</v>
      </c>
      <c r="K45">
        <v>0</v>
      </c>
      <c r="L45">
        <v>2</v>
      </c>
      <c r="M45">
        <v>3</v>
      </c>
      <c r="N45">
        <v>0</v>
      </c>
    </row>
    <row r="46" spans="1:14" x14ac:dyDescent="0.25">
      <c r="A46">
        <v>67</v>
      </c>
      <c r="B46" s="32" t="str">
        <f>IF(A46&lt;30,"20-29",IF(A46&lt;40,"30-39",IF(A46&lt;50,"40-49",IF(A46&lt;60,"50-59",IF(A46&lt;70,"60-69",IF(A46&lt;80,"70+"))))))</f>
        <v>60-69</v>
      </c>
      <c r="C46">
        <v>1</v>
      </c>
      <c r="D46">
        <v>0</v>
      </c>
      <c r="E46">
        <v>100</v>
      </c>
      <c r="F46">
        <v>299</v>
      </c>
      <c r="G46">
        <v>0</v>
      </c>
      <c r="H46">
        <v>0</v>
      </c>
      <c r="I46">
        <v>125</v>
      </c>
      <c r="J46">
        <v>1</v>
      </c>
      <c r="K46">
        <v>0.9</v>
      </c>
      <c r="L46">
        <v>1</v>
      </c>
      <c r="M46">
        <v>2</v>
      </c>
      <c r="N46">
        <v>0</v>
      </c>
    </row>
    <row r="47" spans="1:14" x14ac:dyDescent="0.25">
      <c r="A47">
        <v>51</v>
      </c>
      <c r="B47" s="32" t="str">
        <f>IF(A47&lt;30,"20-29",IF(A47&lt;40,"30-39",IF(A47&lt;50,"40-49",IF(A47&lt;60,"50-59",IF(A47&lt;70,"60-69",IF(A47&lt;80,"70+"))))))</f>
        <v>50-59</v>
      </c>
      <c r="C47">
        <v>1</v>
      </c>
      <c r="D47">
        <v>0</v>
      </c>
      <c r="E47">
        <v>140</v>
      </c>
      <c r="F47">
        <v>299</v>
      </c>
      <c r="G47">
        <v>0</v>
      </c>
      <c r="H47">
        <v>1</v>
      </c>
      <c r="I47">
        <v>173</v>
      </c>
      <c r="J47">
        <v>1</v>
      </c>
      <c r="K47">
        <v>1.6</v>
      </c>
      <c r="L47">
        <v>2</v>
      </c>
      <c r="M47">
        <v>3</v>
      </c>
      <c r="N47">
        <v>0</v>
      </c>
    </row>
    <row r="48" spans="1:14" x14ac:dyDescent="0.25">
      <c r="A48">
        <v>51</v>
      </c>
      <c r="B48" s="32" t="str">
        <f>IF(A48&lt;30,"20-29",IF(A48&lt;40,"30-39",IF(A48&lt;50,"40-49",IF(A48&lt;60,"50-59",IF(A48&lt;70,"60-69",IF(A48&lt;80,"70+"))))))</f>
        <v>50-59</v>
      </c>
      <c r="C48">
        <v>1</v>
      </c>
      <c r="D48">
        <v>0</v>
      </c>
      <c r="E48">
        <v>140</v>
      </c>
      <c r="F48">
        <v>298</v>
      </c>
      <c r="G48">
        <v>0</v>
      </c>
      <c r="H48">
        <v>1</v>
      </c>
      <c r="I48">
        <v>122</v>
      </c>
      <c r="J48">
        <v>1</v>
      </c>
      <c r="K48">
        <v>4.2</v>
      </c>
      <c r="L48">
        <v>1</v>
      </c>
      <c r="M48">
        <v>3</v>
      </c>
      <c r="N48">
        <v>0</v>
      </c>
    </row>
    <row r="49" spans="1:14" x14ac:dyDescent="0.25">
      <c r="A49">
        <v>52</v>
      </c>
      <c r="B49" s="32" t="str">
        <f>IF(A49&lt;30,"20-29",IF(A49&lt;40,"30-39",IF(A49&lt;50,"40-49",IF(A49&lt;60,"50-59",IF(A49&lt;70,"60-69",IF(A49&lt;80,"70+"))))))</f>
        <v>50-59</v>
      </c>
      <c r="C49">
        <v>1</v>
      </c>
      <c r="D49">
        <v>3</v>
      </c>
      <c r="E49">
        <v>152</v>
      </c>
      <c r="F49">
        <v>298</v>
      </c>
      <c r="G49">
        <v>1</v>
      </c>
      <c r="H49">
        <v>1</v>
      </c>
      <c r="I49">
        <v>178</v>
      </c>
      <c r="J49">
        <v>0</v>
      </c>
      <c r="K49">
        <v>1.2</v>
      </c>
      <c r="L49">
        <v>1</v>
      </c>
      <c r="M49">
        <v>3</v>
      </c>
      <c r="N49">
        <v>1</v>
      </c>
    </row>
    <row r="50" spans="1:14" x14ac:dyDescent="0.25">
      <c r="A50">
        <v>42</v>
      </c>
      <c r="B50" s="32" t="str">
        <f>IF(A50&lt;30,"20-29",IF(A50&lt;40,"30-39",IF(A50&lt;50,"40-49",IF(A50&lt;60,"50-59",IF(A50&lt;70,"60-69",IF(A50&lt;80,"70+"))))))</f>
        <v>40-49</v>
      </c>
      <c r="C50">
        <v>1</v>
      </c>
      <c r="D50">
        <v>1</v>
      </c>
      <c r="E50">
        <v>120</v>
      </c>
      <c r="F50">
        <v>295</v>
      </c>
      <c r="G50">
        <v>0</v>
      </c>
      <c r="H50">
        <v>1</v>
      </c>
      <c r="I50">
        <v>162</v>
      </c>
      <c r="J50">
        <v>0</v>
      </c>
      <c r="K50">
        <v>0</v>
      </c>
      <c r="L50">
        <v>2</v>
      </c>
      <c r="M50">
        <v>2</v>
      </c>
      <c r="N50">
        <v>1</v>
      </c>
    </row>
    <row r="51" spans="1:14" x14ac:dyDescent="0.25">
      <c r="A51">
        <v>51</v>
      </c>
      <c r="B51" s="32" t="str">
        <f>IF(A51&lt;30,"20-29",IF(A51&lt;40,"30-39",IF(A51&lt;50,"40-49",IF(A51&lt;60,"50-59",IF(A51&lt;70,"60-69",IF(A51&lt;80,"70+"))))))</f>
        <v>50-59</v>
      </c>
      <c r="C51">
        <v>0</v>
      </c>
      <c r="D51">
        <v>2</v>
      </c>
      <c r="E51">
        <v>120</v>
      </c>
      <c r="F51">
        <v>295</v>
      </c>
      <c r="G51">
        <v>0</v>
      </c>
      <c r="H51">
        <v>0</v>
      </c>
      <c r="I51">
        <v>157</v>
      </c>
      <c r="J51">
        <v>0</v>
      </c>
      <c r="K51">
        <v>0.6</v>
      </c>
      <c r="L51">
        <v>2</v>
      </c>
      <c r="M51">
        <v>2</v>
      </c>
      <c r="N51">
        <v>1</v>
      </c>
    </row>
    <row r="52" spans="1:14" x14ac:dyDescent="0.25">
      <c r="A52">
        <v>62</v>
      </c>
      <c r="B52" s="32" t="str">
        <f>IF(A52&lt;30,"20-29",IF(A52&lt;40,"30-39",IF(A52&lt;50,"40-49",IF(A52&lt;60,"50-59",IF(A52&lt;70,"60-69",IF(A52&lt;80,"70+"))))))</f>
        <v>60-69</v>
      </c>
      <c r="C52">
        <v>0</v>
      </c>
      <c r="D52">
        <v>0</v>
      </c>
      <c r="E52">
        <v>138</v>
      </c>
      <c r="F52">
        <v>294</v>
      </c>
      <c r="G52">
        <v>1</v>
      </c>
      <c r="H52">
        <v>1</v>
      </c>
      <c r="I52">
        <v>106</v>
      </c>
      <c r="J52">
        <v>0</v>
      </c>
      <c r="K52">
        <v>1.9</v>
      </c>
      <c r="L52">
        <v>1</v>
      </c>
      <c r="M52">
        <v>2</v>
      </c>
      <c r="N52">
        <v>0</v>
      </c>
    </row>
    <row r="53" spans="1:14" x14ac:dyDescent="0.25">
      <c r="A53">
        <v>56</v>
      </c>
      <c r="B53" s="32" t="str">
        <f>IF(A53&lt;30,"20-29",IF(A53&lt;40,"30-39",IF(A53&lt;50,"40-49",IF(A53&lt;60,"50-59",IF(A53&lt;70,"60-69",IF(A53&lt;80,"70+"))))))</f>
        <v>50-59</v>
      </c>
      <c r="C53">
        <v>0</v>
      </c>
      <c r="D53">
        <v>1</v>
      </c>
      <c r="E53">
        <v>140</v>
      </c>
      <c r="F53">
        <v>294</v>
      </c>
      <c r="G53">
        <v>0</v>
      </c>
      <c r="H53">
        <v>0</v>
      </c>
      <c r="I53">
        <v>153</v>
      </c>
      <c r="J53">
        <v>0</v>
      </c>
      <c r="K53">
        <v>1.3</v>
      </c>
      <c r="L53">
        <v>1</v>
      </c>
      <c r="M53">
        <v>2</v>
      </c>
      <c r="N53">
        <v>1</v>
      </c>
    </row>
    <row r="54" spans="1:14" x14ac:dyDescent="0.25">
      <c r="A54">
        <v>60</v>
      </c>
      <c r="B54" s="32" t="str">
        <f>IF(A54&lt;30,"20-29",IF(A54&lt;40,"30-39",IF(A54&lt;50,"40-49",IF(A54&lt;60,"50-59",IF(A54&lt;70,"60-69",IF(A54&lt;80,"70+"))))))</f>
        <v>60-69</v>
      </c>
      <c r="C54">
        <v>1</v>
      </c>
      <c r="D54">
        <v>0</v>
      </c>
      <c r="E54">
        <v>140</v>
      </c>
      <c r="F54">
        <v>293</v>
      </c>
      <c r="G54">
        <v>0</v>
      </c>
      <c r="H54">
        <v>0</v>
      </c>
      <c r="I54">
        <v>170</v>
      </c>
      <c r="J54">
        <v>0</v>
      </c>
      <c r="K54">
        <v>1.2</v>
      </c>
      <c r="L54">
        <v>1</v>
      </c>
      <c r="M54">
        <v>3</v>
      </c>
      <c r="N54">
        <v>0</v>
      </c>
    </row>
    <row r="55" spans="1:14" x14ac:dyDescent="0.25">
      <c r="A55">
        <v>44</v>
      </c>
      <c r="B55" s="32" t="str">
        <f>IF(A55&lt;30,"20-29",IF(A55&lt;40,"30-39",IF(A55&lt;50,"40-49",IF(A55&lt;60,"50-59",IF(A55&lt;70,"60-69",IF(A55&lt;80,"70+"))))))</f>
        <v>40-49</v>
      </c>
      <c r="C55">
        <v>1</v>
      </c>
      <c r="D55">
        <v>0</v>
      </c>
      <c r="E55">
        <v>112</v>
      </c>
      <c r="F55">
        <v>290</v>
      </c>
      <c r="G55">
        <v>0</v>
      </c>
      <c r="H55">
        <v>0</v>
      </c>
      <c r="I55">
        <v>153</v>
      </c>
      <c r="J55">
        <v>0</v>
      </c>
      <c r="K55">
        <v>0</v>
      </c>
      <c r="L55">
        <v>2</v>
      </c>
      <c r="M55">
        <v>2</v>
      </c>
      <c r="N55">
        <v>0</v>
      </c>
    </row>
    <row r="56" spans="1:14" x14ac:dyDescent="0.25">
      <c r="A56">
        <v>55</v>
      </c>
      <c r="B56" s="32" t="str">
        <f>IF(A56&lt;30,"20-29",IF(A56&lt;40,"30-39",IF(A56&lt;50,"40-49",IF(A56&lt;60,"50-59",IF(A56&lt;70,"60-69",IF(A56&lt;80,"70+"))))))</f>
        <v>50-59</v>
      </c>
      <c r="C56">
        <v>1</v>
      </c>
      <c r="D56">
        <v>0</v>
      </c>
      <c r="E56">
        <v>160</v>
      </c>
      <c r="F56">
        <v>289</v>
      </c>
      <c r="G56">
        <v>0</v>
      </c>
      <c r="H56">
        <v>0</v>
      </c>
      <c r="I56">
        <v>145</v>
      </c>
      <c r="J56">
        <v>1</v>
      </c>
      <c r="K56">
        <v>0.8</v>
      </c>
      <c r="L56">
        <v>1</v>
      </c>
      <c r="M56">
        <v>3</v>
      </c>
      <c r="N56">
        <v>0</v>
      </c>
    </row>
    <row r="57" spans="1:14" x14ac:dyDescent="0.25">
      <c r="A57">
        <v>57</v>
      </c>
      <c r="B57" s="32" t="str">
        <f>IF(A57&lt;30,"20-29",IF(A57&lt;40,"30-39",IF(A57&lt;50,"40-49",IF(A57&lt;60,"50-59",IF(A57&lt;70,"60-69",IF(A57&lt;80,"70+"))))))</f>
        <v>50-59</v>
      </c>
      <c r="C57">
        <v>1</v>
      </c>
      <c r="D57">
        <v>0</v>
      </c>
      <c r="E57">
        <v>165</v>
      </c>
      <c r="F57">
        <v>289</v>
      </c>
      <c r="G57">
        <v>1</v>
      </c>
      <c r="H57">
        <v>0</v>
      </c>
      <c r="I57">
        <v>124</v>
      </c>
      <c r="J57">
        <v>0</v>
      </c>
      <c r="K57">
        <v>1</v>
      </c>
      <c r="L57">
        <v>1</v>
      </c>
      <c r="M57">
        <v>3</v>
      </c>
      <c r="N57">
        <v>0</v>
      </c>
    </row>
    <row r="58" spans="1:14" x14ac:dyDescent="0.25">
      <c r="A58">
        <v>59</v>
      </c>
      <c r="B58" s="32" t="str">
        <f>IF(A58&lt;30,"20-29",IF(A58&lt;40,"30-39",IF(A58&lt;50,"40-49",IF(A58&lt;60,"50-59",IF(A58&lt;70,"60-69",IF(A58&lt;80,"70+"))))))</f>
        <v>50-59</v>
      </c>
      <c r="C58">
        <v>1</v>
      </c>
      <c r="D58">
        <v>3</v>
      </c>
      <c r="E58">
        <v>170</v>
      </c>
      <c r="F58">
        <v>288</v>
      </c>
      <c r="G58">
        <v>0</v>
      </c>
      <c r="H58">
        <v>0</v>
      </c>
      <c r="I58">
        <v>159</v>
      </c>
      <c r="J58">
        <v>0</v>
      </c>
      <c r="K58">
        <v>0.2</v>
      </c>
      <c r="L58">
        <v>1</v>
      </c>
      <c r="M58">
        <v>3</v>
      </c>
      <c r="N58">
        <v>0</v>
      </c>
    </row>
    <row r="59" spans="1:14" x14ac:dyDescent="0.25">
      <c r="A59">
        <v>56</v>
      </c>
      <c r="B59" s="32" t="str">
        <f>IF(A59&lt;30,"20-29",IF(A59&lt;40,"30-39",IF(A59&lt;50,"40-49",IF(A59&lt;60,"50-59",IF(A59&lt;70,"60-69",IF(A59&lt;80,"70+"))))))</f>
        <v>50-59</v>
      </c>
      <c r="C59">
        <v>0</v>
      </c>
      <c r="D59">
        <v>0</v>
      </c>
      <c r="E59">
        <v>200</v>
      </c>
      <c r="F59">
        <v>288</v>
      </c>
      <c r="G59">
        <v>1</v>
      </c>
      <c r="H59">
        <v>0</v>
      </c>
      <c r="I59">
        <v>133</v>
      </c>
      <c r="J59">
        <v>1</v>
      </c>
      <c r="K59">
        <v>4</v>
      </c>
      <c r="L59">
        <v>0</v>
      </c>
      <c r="M59">
        <v>3</v>
      </c>
      <c r="N59">
        <v>0</v>
      </c>
    </row>
    <row r="60" spans="1:14" x14ac:dyDescent="0.25">
      <c r="A60">
        <v>54</v>
      </c>
      <c r="B60" s="32" t="str">
        <f>IF(A60&lt;30,"20-29",IF(A60&lt;40,"30-39",IF(A60&lt;50,"40-49",IF(A60&lt;60,"50-59",IF(A60&lt;70,"60-69",IF(A60&lt;80,"70+"))))))</f>
        <v>50-59</v>
      </c>
      <c r="C60">
        <v>0</v>
      </c>
      <c r="D60">
        <v>1</v>
      </c>
      <c r="E60">
        <v>132</v>
      </c>
      <c r="F60">
        <v>288</v>
      </c>
      <c r="G60">
        <v>1</v>
      </c>
      <c r="H60">
        <v>0</v>
      </c>
      <c r="I60">
        <v>159</v>
      </c>
      <c r="J60">
        <v>1</v>
      </c>
      <c r="K60">
        <v>0</v>
      </c>
      <c r="L60">
        <v>2</v>
      </c>
      <c r="M60">
        <v>2</v>
      </c>
      <c r="N60">
        <v>1</v>
      </c>
    </row>
    <row r="61" spans="1:14" x14ac:dyDescent="0.25">
      <c r="A61">
        <v>54</v>
      </c>
      <c r="B61" s="32" t="str">
        <f>IF(A61&lt;30,"20-29",IF(A61&lt;40,"30-39",IF(A61&lt;50,"40-49",IF(A61&lt;60,"50-59",IF(A61&lt;70,"60-69",IF(A61&lt;80,"70+"))))))</f>
        <v>50-59</v>
      </c>
      <c r="C61">
        <v>1</v>
      </c>
      <c r="D61">
        <v>0</v>
      </c>
      <c r="E61">
        <v>122</v>
      </c>
      <c r="F61">
        <v>286</v>
      </c>
      <c r="G61">
        <v>0</v>
      </c>
      <c r="H61">
        <v>0</v>
      </c>
      <c r="I61">
        <v>116</v>
      </c>
      <c r="J61">
        <v>1</v>
      </c>
      <c r="K61">
        <v>3.2</v>
      </c>
      <c r="L61">
        <v>1</v>
      </c>
      <c r="M61">
        <v>2</v>
      </c>
      <c r="N61">
        <v>0</v>
      </c>
    </row>
    <row r="62" spans="1:14" x14ac:dyDescent="0.25">
      <c r="A62">
        <v>67</v>
      </c>
      <c r="B62" s="32" t="str">
        <f>IF(A62&lt;30,"20-29",IF(A62&lt;40,"30-39",IF(A62&lt;50,"40-49",IF(A62&lt;60,"50-59",IF(A62&lt;70,"60-69",IF(A62&lt;80,"70+"))))))</f>
        <v>60-69</v>
      </c>
      <c r="C62">
        <v>1</v>
      </c>
      <c r="D62">
        <v>0</v>
      </c>
      <c r="E62">
        <v>160</v>
      </c>
      <c r="F62">
        <v>286</v>
      </c>
      <c r="G62">
        <v>0</v>
      </c>
      <c r="H62">
        <v>0</v>
      </c>
      <c r="I62">
        <v>108</v>
      </c>
      <c r="J62">
        <v>1</v>
      </c>
      <c r="K62">
        <v>1.5</v>
      </c>
      <c r="L62">
        <v>1</v>
      </c>
      <c r="M62">
        <v>2</v>
      </c>
      <c r="N62">
        <v>0</v>
      </c>
    </row>
    <row r="63" spans="1:14" x14ac:dyDescent="0.25">
      <c r="A63">
        <v>58</v>
      </c>
      <c r="B63" s="32" t="str">
        <f>IF(A63&lt;30,"20-29",IF(A63&lt;40,"30-39",IF(A63&lt;50,"40-49",IF(A63&lt;60,"50-59",IF(A63&lt;70,"60-69",IF(A63&lt;80,"70+"))))))</f>
        <v>50-59</v>
      </c>
      <c r="C63">
        <v>1</v>
      </c>
      <c r="D63">
        <v>1</v>
      </c>
      <c r="E63">
        <v>120</v>
      </c>
      <c r="F63">
        <v>284</v>
      </c>
      <c r="G63">
        <v>0</v>
      </c>
      <c r="H63">
        <v>0</v>
      </c>
      <c r="I63">
        <v>160</v>
      </c>
      <c r="J63">
        <v>0</v>
      </c>
      <c r="K63">
        <v>1.8</v>
      </c>
      <c r="L63">
        <v>1</v>
      </c>
      <c r="M63">
        <v>2</v>
      </c>
      <c r="N63">
        <v>0</v>
      </c>
    </row>
    <row r="64" spans="1:14" x14ac:dyDescent="0.25">
      <c r="A64">
        <v>58</v>
      </c>
      <c r="B64" s="32" t="str">
        <f>IF(A64&lt;30,"20-29",IF(A64&lt;40,"30-39",IF(A64&lt;50,"40-49",IF(A64&lt;60,"50-59",IF(A64&lt;70,"60-69",IF(A64&lt;80,"70+"))))))</f>
        <v>50-59</v>
      </c>
      <c r="C64">
        <v>0</v>
      </c>
      <c r="D64">
        <v>3</v>
      </c>
      <c r="E64">
        <v>150</v>
      </c>
      <c r="F64">
        <v>283</v>
      </c>
      <c r="G64">
        <v>1</v>
      </c>
      <c r="H64">
        <v>0</v>
      </c>
      <c r="I64">
        <v>162</v>
      </c>
      <c r="J64">
        <v>0</v>
      </c>
      <c r="K64">
        <v>1</v>
      </c>
      <c r="L64">
        <v>2</v>
      </c>
      <c r="M64">
        <v>2</v>
      </c>
      <c r="N64">
        <v>1</v>
      </c>
    </row>
    <row r="65" spans="1:14" x14ac:dyDescent="0.25">
      <c r="A65">
        <v>54</v>
      </c>
      <c r="B65" s="32" t="str">
        <f>IF(A65&lt;30,"20-29",IF(A65&lt;40,"30-39",IF(A65&lt;50,"40-49",IF(A65&lt;60,"50-59",IF(A65&lt;70,"60-69",IF(A65&lt;80,"70+"))))))</f>
        <v>50-59</v>
      </c>
      <c r="C65">
        <v>1</v>
      </c>
      <c r="D65">
        <v>1</v>
      </c>
      <c r="E65">
        <v>192</v>
      </c>
      <c r="F65">
        <v>283</v>
      </c>
      <c r="G65">
        <v>0</v>
      </c>
      <c r="H65">
        <v>0</v>
      </c>
      <c r="I65">
        <v>195</v>
      </c>
      <c r="J65">
        <v>0</v>
      </c>
      <c r="K65">
        <v>0</v>
      </c>
      <c r="L65">
        <v>2</v>
      </c>
      <c r="M65">
        <v>3</v>
      </c>
      <c r="N65">
        <v>0</v>
      </c>
    </row>
    <row r="66" spans="1:14" x14ac:dyDescent="0.25">
      <c r="A66">
        <v>56</v>
      </c>
      <c r="B66" s="32" t="str">
        <f>IF(A66&lt;30,"20-29",IF(A66&lt;40,"30-39",IF(A66&lt;50,"40-49",IF(A66&lt;60,"50-59",IF(A66&lt;70,"60-69",IF(A66&lt;80,"70+"))))))</f>
        <v>50-59</v>
      </c>
      <c r="C66">
        <v>1</v>
      </c>
      <c r="D66">
        <v>0</v>
      </c>
      <c r="E66">
        <v>130</v>
      </c>
      <c r="F66">
        <v>283</v>
      </c>
      <c r="G66">
        <v>1</v>
      </c>
      <c r="H66">
        <v>0</v>
      </c>
      <c r="I66">
        <v>103</v>
      </c>
      <c r="J66">
        <v>1</v>
      </c>
      <c r="K66">
        <v>1.6</v>
      </c>
      <c r="L66">
        <v>0</v>
      </c>
      <c r="M66">
        <v>3</v>
      </c>
      <c r="N66">
        <v>0</v>
      </c>
    </row>
    <row r="67" spans="1:14" x14ac:dyDescent="0.25">
      <c r="A67">
        <v>53</v>
      </c>
      <c r="B67" s="32" t="str">
        <f>IF(A67&lt;30,"20-29",IF(A67&lt;40,"30-39",IF(A67&lt;50,"40-49",IF(A67&lt;60,"50-59",IF(A67&lt;70,"60-69",IF(A67&lt;80,"70+"))))))</f>
        <v>50-59</v>
      </c>
      <c r="C67">
        <v>1</v>
      </c>
      <c r="D67">
        <v>0</v>
      </c>
      <c r="E67">
        <v>123</v>
      </c>
      <c r="F67">
        <v>282</v>
      </c>
      <c r="G67">
        <v>0</v>
      </c>
      <c r="H67">
        <v>1</v>
      </c>
      <c r="I67">
        <v>95</v>
      </c>
      <c r="J67">
        <v>1</v>
      </c>
      <c r="K67">
        <v>2</v>
      </c>
      <c r="L67">
        <v>1</v>
      </c>
      <c r="M67">
        <v>3</v>
      </c>
      <c r="N67">
        <v>0</v>
      </c>
    </row>
    <row r="68" spans="1:14" x14ac:dyDescent="0.25">
      <c r="A68">
        <v>65</v>
      </c>
      <c r="B68" s="32" t="str">
        <f>IF(A68&lt;30,"20-29",IF(A68&lt;40,"30-39",IF(A68&lt;50,"40-49",IF(A68&lt;60,"50-59",IF(A68&lt;70,"60-69",IF(A68&lt;80,"70+"))))))</f>
        <v>60-69</v>
      </c>
      <c r="C68">
        <v>1</v>
      </c>
      <c r="D68">
        <v>3</v>
      </c>
      <c r="E68">
        <v>138</v>
      </c>
      <c r="F68">
        <v>282</v>
      </c>
      <c r="G68">
        <v>1</v>
      </c>
      <c r="H68">
        <v>0</v>
      </c>
      <c r="I68">
        <v>174</v>
      </c>
      <c r="J68">
        <v>0</v>
      </c>
      <c r="K68">
        <v>1.4</v>
      </c>
      <c r="L68">
        <v>1</v>
      </c>
      <c r="M68">
        <v>2</v>
      </c>
      <c r="N68">
        <v>0</v>
      </c>
    </row>
    <row r="69" spans="1:14" x14ac:dyDescent="0.25">
      <c r="A69">
        <v>60</v>
      </c>
      <c r="B69" s="32" t="str">
        <f>IF(A69&lt;30,"20-29",IF(A69&lt;40,"30-39",IF(A69&lt;50,"40-49",IF(A69&lt;60,"50-59",IF(A69&lt;70,"60-69",IF(A69&lt;80,"70+"))))))</f>
        <v>60-69</v>
      </c>
      <c r="C69">
        <v>1</v>
      </c>
      <c r="D69">
        <v>0</v>
      </c>
      <c r="E69">
        <v>145</v>
      </c>
      <c r="F69">
        <v>282</v>
      </c>
      <c r="G69">
        <v>0</v>
      </c>
      <c r="H69">
        <v>0</v>
      </c>
      <c r="I69">
        <v>142</v>
      </c>
      <c r="J69">
        <v>1</v>
      </c>
      <c r="K69">
        <v>2.8</v>
      </c>
      <c r="L69">
        <v>1</v>
      </c>
      <c r="M69">
        <v>3</v>
      </c>
      <c r="N69">
        <v>0</v>
      </c>
    </row>
    <row r="70" spans="1:14" x14ac:dyDescent="0.25">
      <c r="A70">
        <v>35</v>
      </c>
      <c r="B70" s="32" t="str">
        <f>IF(A70&lt;30,"20-29",IF(A70&lt;40,"30-39",IF(A70&lt;50,"40-49",IF(A70&lt;60,"50-59",IF(A70&lt;70,"60-69",IF(A70&lt;80,"70+"))))))</f>
        <v>30-39</v>
      </c>
      <c r="C70">
        <v>1</v>
      </c>
      <c r="D70">
        <v>0</v>
      </c>
      <c r="E70">
        <v>126</v>
      </c>
      <c r="F70">
        <v>282</v>
      </c>
      <c r="G70">
        <v>0</v>
      </c>
      <c r="H70">
        <v>0</v>
      </c>
      <c r="I70">
        <v>156</v>
      </c>
      <c r="J70">
        <v>1</v>
      </c>
      <c r="K70">
        <v>0</v>
      </c>
      <c r="L70">
        <v>2</v>
      </c>
      <c r="M70">
        <v>3</v>
      </c>
      <c r="N70">
        <v>0</v>
      </c>
    </row>
    <row r="71" spans="1:14" x14ac:dyDescent="0.25">
      <c r="A71">
        <v>62</v>
      </c>
      <c r="B71" s="32" t="str">
        <f>IF(A71&lt;30,"20-29",IF(A71&lt;40,"30-39",IF(A71&lt;50,"40-49",IF(A71&lt;60,"50-59",IF(A71&lt;70,"60-69",IF(A71&lt;80,"70+"))))))</f>
        <v>60-69</v>
      </c>
      <c r="C71">
        <v>1</v>
      </c>
      <c r="D71">
        <v>1</v>
      </c>
      <c r="E71">
        <v>120</v>
      </c>
      <c r="F71">
        <v>281</v>
      </c>
      <c r="G71">
        <v>0</v>
      </c>
      <c r="H71">
        <v>0</v>
      </c>
      <c r="I71">
        <v>103</v>
      </c>
      <c r="J71">
        <v>0</v>
      </c>
      <c r="K71">
        <v>1.4</v>
      </c>
      <c r="L71">
        <v>1</v>
      </c>
      <c r="M71">
        <v>3</v>
      </c>
      <c r="N71">
        <v>0</v>
      </c>
    </row>
    <row r="72" spans="1:14" x14ac:dyDescent="0.25">
      <c r="A72">
        <v>66</v>
      </c>
      <c r="B72" s="32" t="str">
        <f>IF(A72&lt;30,"20-29",IF(A72&lt;40,"30-39",IF(A72&lt;50,"40-49",IF(A72&lt;60,"50-59",IF(A72&lt;70,"60-69",IF(A72&lt;80,"70+"))))))</f>
        <v>60-69</v>
      </c>
      <c r="C72">
        <v>0</v>
      </c>
      <c r="D72">
        <v>2</v>
      </c>
      <c r="E72">
        <v>146</v>
      </c>
      <c r="F72">
        <v>278</v>
      </c>
      <c r="G72">
        <v>0</v>
      </c>
      <c r="H72">
        <v>0</v>
      </c>
      <c r="I72">
        <v>152</v>
      </c>
      <c r="J72">
        <v>0</v>
      </c>
      <c r="K72">
        <v>0</v>
      </c>
      <c r="L72">
        <v>1</v>
      </c>
      <c r="M72">
        <v>2</v>
      </c>
      <c r="N72">
        <v>1</v>
      </c>
    </row>
    <row r="73" spans="1:14" x14ac:dyDescent="0.25">
      <c r="A73">
        <v>67</v>
      </c>
      <c r="B73" s="32" t="str">
        <f>IF(A73&lt;30,"20-29",IF(A73&lt;40,"30-39",IF(A73&lt;50,"40-49",IF(A73&lt;60,"50-59",IF(A73&lt;70,"60-69",IF(A73&lt;80,"70+"))))))</f>
        <v>60-69</v>
      </c>
      <c r="C73">
        <v>0</v>
      </c>
      <c r="D73">
        <v>2</v>
      </c>
      <c r="E73">
        <v>152</v>
      </c>
      <c r="F73">
        <v>277</v>
      </c>
      <c r="G73">
        <v>0</v>
      </c>
      <c r="H73">
        <v>1</v>
      </c>
      <c r="I73">
        <v>172</v>
      </c>
      <c r="J73">
        <v>0</v>
      </c>
      <c r="K73">
        <v>0</v>
      </c>
      <c r="L73">
        <v>2</v>
      </c>
      <c r="M73">
        <v>2</v>
      </c>
      <c r="N73">
        <v>1</v>
      </c>
    </row>
    <row r="74" spans="1:14" x14ac:dyDescent="0.25">
      <c r="A74">
        <v>68</v>
      </c>
      <c r="B74" s="32" t="str">
        <f>IF(A74&lt;30,"20-29",IF(A74&lt;40,"30-39",IF(A74&lt;50,"40-49",IF(A74&lt;60,"50-59",IF(A74&lt;70,"60-69",IF(A74&lt;80,"70+"))))))</f>
        <v>60-69</v>
      </c>
      <c r="C74">
        <v>1</v>
      </c>
      <c r="D74">
        <v>2</v>
      </c>
      <c r="E74">
        <v>118</v>
      </c>
      <c r="F74">
        <v>277</v>
      </c>
      <c r="G74">
        <v>0</v>
      </c>
      <c r="H74">
        <v>1</v>
      </c>
      <c r="I74">
        <v>151</v>
      </c>
      <c r="J74">
        <v>0</v>
      </c>
      <c r="K74">
        <v>1</v>
      </c>
      <c r="L74">
        <v>2</v>
      </c>
      <c r="M74">
        <v>3</v>
      </c>
      <c r="N74">
        <v>1</v>
      </c>
    </row>
    <row r="75" spans="1:14" x14ac:dyDescent="0.25">
      <c r="A75">
        <v>57</v>
      </c>
      <c r="B75" s="32" t="str">
        <f>IF(A75&lt;30,"20-29",IF(A75&lt;40,"30-39",IF(A75&lt;50,"40-49",IF(A75&lt;60,"50-59",IF(A75&lt;70,"60-69",IF(A75&lt;80,"70+"))))))</f>
        <v>50-59</v>
      </c>
      <c r="C75">
        <v>1</v>
      </c>
      <c r="D75">
        <v>0</v>
      </c>
      <c r="E75">
        <v>150</v>
      </c>
      <c r="F75">
        <v>276</v>
      </c>
      <c r="G75">
        <v>0</v>
      </c>
      <c r="H75">
        <v>0</v>
      </c>
      <c r="I75">
        <v>112</v>
      </c>
      <c r="J75">
        <v>1</v>
      </c>
      <c r="K75">
        <v>0.6</v>
      </c>
      <c r="L75">
        <v>1</v>
      </c>
      <c r="M75">
        <v>1</v>
      </c>
      <c r="N75">
        <v>0</v>
      </c>
    </row>
    <row r="76" spans="1:14" x14ac:dyDescent="0.25">
      <c r="A76">
        <v>47</v>
      </c>
      <c r="B76" s="32" t="str">
        <f>IF(A76&lt;30,"20-29",IF(A76&lt;40,"30-39",IF(A76&lt;50,"40-49",IF(A76&lt;60,"50-59",IF(A76&lt;70,"60-69",IF(A76&lt;80,"70+"))))))</f>
        <v>40-49</v>
      </c>
      <c r="C76">
        <v>1</v>
      </c>
      <c r="D76">
        <v>0</v>
      </c>
      <c r="E76">
        <v>110</v>
      </c>
      <c r="F76">
        <v>275</v>
      </c>
      <c r="G76">
        <v>0</v>
      </c>
      <c r="H76">
        <v>0</v>
      </c>
      <c r="I76">
        <v>118</v>
      </c>
      <c r="J76">
        <v>1</v>
      </c>
      <c r="K76">
        <v>1</v>
      </c>
      <c r="L76">
        <v>1</v>
      </c>
      <c r="M76">
        <v>2</v>
      </c>
      <c r="N76">
        <v>0</v>
      </c>
    </row>
    <row r="77" spans="1:14" x14ac:dyDescent="0.25">
      <c r="A77">
        <v>48</v>
      </c>
      <c r="B77" s="32" t="str">
        <f>IF(A77&lt;30,"20-29",IF(A77&lt;40,"30-39",IF(A77&lt;50,"40-49",IF(A77&lt;60,"50-59",IF(A77&lt;70,"60-69",IF(A77&lt;80,"70+"))))))</f>
        <v>40-49</v>
      </c>
      <c r="C77">
        <v>0</v>
      </c>
      <c r="D77">
        <v>2</v>
      </c>
      <c r="E77">
        <v>130</v>
      </c>
      <c r="F77">
        <v>275</v>
      </c>
      <c r="G77">
        <v>0</v>
      </c>
      <c r="H77">
        <v>1</v>
      </c>
      <c r="I77">
        <v>139</v>
      </c>
      <c r="J77">
        <v>0</v>
      </c>
      <c r="K77">
        <v>0.2</v>
      </c>
      <c r="L77">
        <v>2</v>
      </c>
      <c r="M77">
        <v>2</v>
      </c>
      <c r="N77">
        <v>1</v>
      </c>
    </row>
    <row r="78" spans="1:14" x14ac:dyDescent="0.25">
      <c r="A78">
        <v>57</v>
      </c>
      <c r="B78" s="32" t="str">
        <f>IF(A78&lt;30,"20-29",IF(A78&lt;40,"30-39",IF(A78&lt;50,"40-49",IF(A78&lt;60,"50-59",IF(A78&lt;70,"60-69",IF(A78&lt;80,"70+"))))))</f>
        <v>50-59</v>
      </c>
      <c r="C78">
        <v>1</v>
      </c>
      <c r="D78">
        <v>0</v>
      </c>
      <c r="E78">
        <v>152</v>
      </c>
      <c r="F78">
        <v>274</v>
      </c>
      <c r="G78">
        <v>0</v>
      </c>
      <c r="H78">
        <v>1</v>
      </c>
      <c r="I78">
        <v>88</v>
      </c>
      <c r="J78">
        <v>1</v>
      </c>
      <c r="K78">
        <v>1.2</v>
      </c>
      <c r="L78">
        <v>1</v>
      </c>
      <c r="M78">
        <v>3</v>
      </c>
      <c r="N78">
        <v>0</v>
      </c>
    </row>
    <row r="79" spans="1:14" x14ac:dyDescent="0.25">
      <c r="A79">
        <v>48</v>
      </c>
      <c r="B79" s="32" t="str">
        <f>IF(A79&lt;30,"20-29",IF(A79&lt;40,"30-39",IF(A79&lt;50,"40-49",IF(A79&lt;60,"50-59",IF(A79&lt;70,"60-69",IF(A79&lt;80,"70+"))))))</f>
        <v>40-49</v>
      </c>
      <c r="C79">
        <v>1</v>
      </c>
      <c r="D79">
        <v>0</v>
      </c>
      <c r="E79">
        <v>124</v>
      </c>
      <c r="F79">
        <v>274</v>
      </c>
      <c r="G79">
        <v>0</v>
      </c>
      <c r="H79">
        <v>0</v>
      </c>
      <c r="I79">
        <v>166</v>
      </c>
      <c r="J79">
        <v>0</v>
      </c>
      <c r="K79">
        <v>0.5</v>
      </c>
      <c r="L79">
        <v>1</v>
      </c>
      <c r="M79">
        <v>3</v>
      </c>
      <c r="N79">
        <v>0</v>
      </c>
    </row>
    <row r="80" spans="1:14" x14ac:dyDescent="0.25">
      <c r="A80">
        <v>68</v>
      </c>
      <c r="B80" s="32" t="str">
        <f>IF(A80&lt;30,"20-29",IF(A80&lt;40,"30-39",IF(A80&lt;50,"40-49",IF(A80&lt;60,"50-59",IF(A80&lt;70,"60-69",IF(A80&lt;80,"70+"))))))</f>
        <v>60-69</v>
      </c>
      <c r="C80">
        <v>1</v>
      </c>
      <c r="D80">
        <v>2</v>
      </c>
      <c r="E80">
        <v>180</v>
      </c>
      <c r="F80">
        <v>274</v>
      </c>
      <c r="G80">
        <v>1</v>
      </c>
      <c r="H80">
        <v>0</v>
      </c>
      <c r="I80">
        <v>150</v>
      </c>
      <c r="J80">
        <v>1</v>
      </c>
      <c r="K80">
        <v>1.6</v>
      </c>
      <c r="L80">
        <v>1</v>
      </c>
      <c r="M80">
        <v>3</v>
      </c>
      <c r="N80">
        <v>0</v>
      </c>
    </row>
    <row r="81" spans="1:14" x14ac:dyDescent="0.25">
      <c r="A81">
        <v>54</v>
      </c>
      <c r="B81" s="32" t="str">
        <f>IF(A81&lt;30,"20-29",IF(A81&lt;40,"30-39",IF(A81&lt;50,"40-49",IF(A81&lt;60,"50-59",IF(A81&lt;70,"60-69",IF(A81&lt;80,"70+"))))))</f>
        <v>50-59</v>
      </c>
      <c r="C81">
        <v>1</v>
      </c>
      <c r="D81">
        <v>2</v>
      </c>
      <c r="E81">
        <v>125</v>
      </c>
      <c r="F81">
        <v>273</v>
      </c>
      <c r="G81">
        <v>0</v>
      </c>
      <c r="H81">
        <v>0</v>
      </c>
      <c r="I81">
        <v>152</v>
      </c>
      <c r="J81">
        <v>0</v>
      </c>
      <c r="K81">
        <v>0.5</v>
      </c>
      <c r="L81">
        <v>0</v>
      </c>
      <c r="M81">
        <v>2</v>
      </c>
      <c r="N81">
        <v>1</v>
      </c>
    </row>
    <row r="82" spans="1:14" x14ac:dyDescent="0.25">
      <c r="A82">
        <v>59</v>
      </c>
      <c r="B82" s="32" t="str">
        <f>IF(A82&lt;30,"20-29",IF(A82&lt;40,"30-39",IF(A82&lt;50,"40-49",IF(A82&lt;60,"50-59",IF(A82&lt;70,"60-69",IF(A82&lt;80,"70+"))))))</f>
        <v>50-59</v>
      </c>
      <c r="C82">
        <v>1</v>
      </c>
      <c r="D82">
        <v>3</v>
      </c>
      <c r="E82">
        <v>160</v>
      </c>
      <c r="F82">
        <v>273</v>
      </c>
      <c r="G82">
        <v>0</v>
      </c>
      <c r="H82">
        <v>0</v>
      </c>
      <c r="I82">
        <v>125</v>
      </c>
      <c r="J82">
        <v>0</v>
      </c>
      <c r="K82">
        <v>0</v>
      </c>
      <c r="L82">
        <v>2</v>
      </c>
      <c r="M82">
        <v>2</v>
      </c>
      <c r="N82">
        <v>0</v>
      </c>
    </row>
    <row r="83" spans="1:14" x14ac:dyDescent="0.25">
      <c r="A83">
        <v>59</v>
      </c>
      <c r="B83" s="32" t="str">
        <f>IF(A83&lt;30,"20-29",IF(A83&lt;40,"30-39",IF(A83&lt;50,"40-49",IF(A83&lt;60,"50-59",IF(A83&lt;70,"60-69",IF(A83&lt;80,"70+"))))))</f>
        <v>50-59</v>
      </c>
      <c r="C83">
        <v>1</v>
      </c>
      <c r="D83">
        <v>0</v>
      </c>
      <c r="E83">
        <v>138</v>
      </c>
      <c r="F83">
        <v>271</v>
      </c>
      <c r="G83">
        <v>0</v>
      </c>
      <c r="H83">
        <v>0</v>
      </c>
      <c r="I83">
        <v>182</v>
      </c>
      <c r="J83">
        <v>0</v>
      </c>
      <c r="K83">
        <v>0</v>
      </c>
      <c r="L83">
        <v>2</v>
      </c>
      <c r="M83">
        <v>2</v>
      </c>
      <c r="N83">
        <v>1</v>
      </c>
    </row>
    <row r="84" spans="1:14" x14ac:dyDescent="0.25">
      <c r="A84">
        <v>49</v>
      </c>
      <c r="B84" s="32" t="str">
        <f>IF(A84&lt;30,"20-29",IF(A84&lt;40,"30-39",IF(A84&lt;50,"40-49",IF(A84&lt;60,"50-59",IF(A84&lt;70,"60-69",IF(A84&lt;80,"70+"))))))</f>
        <v>40-49</v>
      </c>
      <c r="C84">
        <v>0</v>
      </c>
      <c r="D84">
        <v>1</v>
      </c>
      <c r="E84">
        <v>134</v>
      </c>
      <c r="F84">
        <v>271</v>
      </c>
      <c r="G84">
        <v>0</v>
      </c>
      <c r="H84">
        <v>1</v>
      </c>
      <c r="I84">
        <v>162</v>
      </c>
      <c r="J84">
        <v>0</v>
      </c>
      <c r="K84">
        <v>0</v>
      </c>
      <c r="L84">
        <v>1</v>
      </c>
      <c r="M84">
        <v>2</v>
      </c>
      <c r="N84">
        <v>1</v>
      </c>
    </row>
    <row r="85" spans="1:14" x14ac:dyDescent="0.25">
      <c r="A85">
        <v>58</v>
      </c>
      <c r="B85" s="32" t="str">
        <f>IF(A85&lt;30,"20-29",IF(A85&lt;40,"30-39",IF(A85&lt;50,"40-49",IF(A85&lt;60,"50-59",IF(A85&lt;70,"60-69",IF(A85&lt;80,"70+"))))))</f>
        <v>50-59</v>
      </c>
      <c r="C85">
        <v>1</v>
      </c>
      <c r="D85">
        <v>0</v>
      </c>
      <c r="E85">
        <v>150</v>
      </c>
      <c r="F85">
        <v>270</v>
      </c>
      <c r="G85">
        <v>0</v>
      </c>
      <c r="H85">
        <v>0</v>
      </c>
      <c r="I85">
        <v>111</v>
      </c>
      <c r="J85">
        <v>1</v>
      </c>
      <c r="K85">
        <v>0.8</v>
      </c>
      <c r="L85">
        <v>2</v>
      </c>
      <c r="M85">
        <v>3</v>
      </c>
      <c r="N85">
        <v>0</v>
      </c>
    </row>
    <row r="86" spans="1:14" x14ac:dyDescent="0.25">
      <c r="A86">
        <v>59</v>
      </c>
      <c r="B86" s="32" t="str">
        <f>IF(A86&lt;30,"20-29",IF(A86&lt;40,"30-39",IF(A86&lt;50,"40-49",IF(A86&lt;60,"50-59",IF(A86&lt;70,"60-69",IF(A86&lt;80,"70+"))))))</f>
        <v>50-59</v>
      </c>
      <c r="C86">
        <v>1</v>
      </c>
      <c r="D86">
        <v>3</v>
      </c>
      <c r="E86">
        <v>178</v>
      </c>
      <c r="F86">
        <v>270</v>
      </c>
      <c r="G86">
        <v>0</v>
      </c>
      <c r="H86">
        <v>0</v>
      </c>
      <c r="I86">
        <v>145</v>
      </c>
      <c r="J86">
        <v>0</v>
      </c>
      <c r="K86">
        <v>4.2</v>
      </c>
      <c r="L86">
        <v>0</v>
      </c>
      <c r="M86">
        <v>3</v>
      </c>
      <c r="N86">
        <v>1</v>
      </c>
    </row>
    <row r="87" spans="1:14" x14ac:dyDescent="0.25">
      <c r="A87">
        <v>70</v>
      </c>
      <c r="B87" s="32" t="str">
        <f>IF(A87&lt;30,"20-29",IF(A87&lt;40,"30-39",IF(A87&lt;50,"40-49",IF(A87&lt;60,"50-59",IF(A87&lt;70,"60-69",IF(A87&lt;80,"70+"))))))</f>
        <v>70+</v>
      </c>
      <c r="C87">
        <v>1</v>
      </c>
      <c r="D87">
        <v>2</v>
      </c>
      <c r="E87">
        <v>160</v>
      </c>
      <c r="F87">
        <v>269</v>
      </c>
      <c r="G87">
        <v>0</v>
      </c>
      <c r="H87">
        <v>1</v>
      </c>
      <c r="I87">
        <v>112</v>
      </c>
      <c r="J87">
        <v>1</v>
      </c>
      <c r="K87">
        <v>2.9</v>
      </c>
      <c r="L87">
        <v>1</v>
      </c>
      <c r="M87">
        <v>3</v>
      </c>
      <c r="N87">
        <v>0</v>
      </c>
    </row>
    <row r="88" spans="1:14" x14ac:dyDescent="0.25">
      <c r="A88">
        <v>49</v>
      </c>
      <c r="B88" s="32" t="str">
        <f>IF(A88&lt;30,"20-29",IF(A88&lt;40,"30-39",IF(A88&lt;50,"40-49",IF(A88&lt;60,"50-59",IF(A88&lt;70,"60-69",IF(A88&lt;80,"70+"))))))</f>
        <v>40-49</v>
      </c>
      <c r="C88">
        <v>0</v>
      </c>
      <c r="D88">
        <v>0</v>
      </c>
      <c r="E88">
        <v>130</v>
      </c>
      <c r="F88">
        <v>269</v>
      </c>
      <c r="G88">
        <v>0</v>
      </c>
      <c r="H88">
        <v>1</v>
      </c>
      <c r="I88">
        <v>163</v>
      </c>
      <c r="J88">
        <v>0</v>
      </c>
      <c r="K88">
        <v>0</v>
      </c>
      <c r="L88">
        <v>2</v>
      </c>
      <c r="M88">
        <v>2</v>
      </c>
      <c r="N88">
        <v>1</v>
      </c>
    </row>
    <row r="89" spans="1:14" x14ac:dyDescent="0.25">
      <c r="A89">
        <v>74</v>
      </c>
      <c r="B89" s="32" t="str">
        <f>IF(A89&lt;30,"20-29",IF(A89&lt;40,"30-39",IF(A89&lt;50,"40-49",IF(A89&lt;60,"50-59",IF(A89&lt;70,"60-69",IF(A89&lt;80,"70+"))))))</f>
        <v>70+</v>
      </c>
      <c r="C89">
        <v>0</v>
      </c>
      <c r="D89">
        <v>1</v>
      </c>
      <c r="E89">
        <v>120</v>
      </c>
      <c r="F89">
        <v>269</v>
      </c>
      <c r="G89">
        <v>0</v>
      </c>
      <c r="H89">
        <v>0</v>
      </c>
      <c r="I89">
        <v>121</v>
      </c>
      <c r="J89">
        <v>1</v>
      </c>
      <c r="K89">
        <v>0.2</v>
      </c>
      <c r="L89">
        <v>2</v>
      </c>
      <c r="M89">
        <v>2</v>
      </c>
      <c r="N89">
        <v>1</v>
      </c>
    </row>
    <row r="90" spans="1:14" x14ac:dyDescent="0.25">
      <c r="A90">
        <v>63</v>
      </c>
      <c r="B90" s="32" t="str">
        <f>IF(A90&lt;30,"20-29",IF(A90&lt;40,"30-39",IF(A90&lt;50,"40-49",IF(A90&lt;60,"50-59",IF(A90&lt;70,"60-69",IF(A90&lt;80,"70+"))))))</f>
        <v>60-69</v>
      </c>
      <c r="C90">
        <v>0</v>
      </c>
      <c r="D90">
        <v>0</v>
      </c>
      <c r="E90">
        <v>108</v>
      </c>
      <c r="F90">
        <v>269</v>
      </c>
      <c r="G90">
        <v>0</v>
      </c>
      <c r="H90">
        <v>1</v>
      </c>
      <c r="I90">
        <v>169</v>
      </c>
      <c r="J90">
        <v>1</v>
      </c>
      <c r="K90">
        <v>1.8</v>
      </c>
      <c r="L90">
        <v>1</v>
      </c>
      <c r="M90">
        <v>2</v>
      </c>
      <c r="N90">
        <v>0</v>
      </c>
    </row>
    <row r="91" spans="1:14" x14ac:dyDescent="0.25">
      <c r="A91">
        <v>65</v>
      </c>
      <c r="B91" s="32" t="str">
        <f>IF(A91&lt;30,"20-29",IF(A91&lt;40,"30-39",IF(A91&lt;50,"40-49",IF(A91&lt;60,"50-59",IF(A91&lt;70,"60-69",IF(A91&lt;80,"70+"))))))</f>
        <v>60-69</v>
      </c>
      <c r="C91">
        <v>0</v>
      </c>
      <c r="D91">
        <v>2</v>
      </c>
      <c r="E91">
        <v>155</v>
      </c>
      <c r="F91">
        <v>269</v>
      </c>
      <c r="G91">
        <v>0</v>
      </c>
      <c r="H91">
        <v>1</v>
      </c>
      <c r="I91">
        <v>148</v>
      </c>
      <c r="J91">
        <v>0</v>
      </c>
      <c r="K91">
        <v>0.8</v>
      </c>
      <c r="L91">
        <v>2</v>
      </c>
      <c r="M91">
        <v>2</v>
      </c>
      <c r="N91">
        <v>1</v>
      </c>
    </row>
    <row r="92" spans="1:14" x14ac:dyDescent="0.25">
      <c r="A92">
        <v>62</v>
      </c>
      <c r="B92" s="32" t="str">
        <f>IF(A92&lt;30,"20-29",IF(A92&lt;40,"30-39",IF(A92&lt;50,"40-49",IF(A92&lt;60,"50-59",IF(A92&lt;70,"60-69",IF(A92&lt;80,"70+"))))))</f>
        <v>60-69</v>
      </c>
      <c r="C92">
        <v>0</v>
      </c>
      <c r="D92">
        <v>0</v>
      </c>
      <c r="E92">
        <v>140</v>
      </c>
      <c r="F92">
        <v>268</v>
      </c>
      <c r="G92">
        <v>0</v>
      </c>
      <c r="H92">
        <v>0</v>
      </c>
      <c r="I92">
        <v>160</v>
      </c>
      <c r="J92">
        <v>0</v>
      </c>
      <c r="K92">
        <v>3.6</v>
      </c>
      <c r="L92">
        <v>0</v>
      </c>
      <c r="M92">
        <v>2</v>
      </c>
      <c r="N92">
        <v>0</v>
      </c>
    </row>
    <row r="93" spans="1:14" x14ac:dyDescent="0.25">
      <c r="A93">
        <v>41</v>
      </c>
      <c r="B93" s="32" t="str">
        <f>IF(A93&lt;30,"20-29",IF(A93&lt;40,"30-39",IF(A93&lt;50,"40-49",IF(A93&lt;60,"50-59",IF(A93&lt;70,"60-69",IF(A93&lt;80,"70+"))))))</f>
        <v>40-49</v>
      </c>
      <c r="C93">
        <v>0</v>
      </c>
      <c r="D93">
        <v>2</v>
      </c>
      <c r="E93">
        <v>112</v>
      </c>
      <c r="F93">
        <v>268</v>
      </c>
      <c r="G93">
        <v>0</v>
      </c>
      <c r="H93">
        <v>0</v>
      </c>
      <c r="I93">
        <v>172</v>
      </c>
      <c r="J93">
        <v>1</v>
      </c>
      <c r="K93">
        <v>0</v>
      </c>
      <c r="L93">
        <v>2</v>
      </c>
      <c r="M93">
        <v>2</v>
      </c>
      <c r="N93">
        <v>1</v>
      </c>
    </row>
    <row r="94" spans="1:14" x14ac:dyDescent="0.25">
      <c r="A94">
        <v>54</v>
      </c>
      <c r="B94" s="32" t="str">
        <f>IF(A94&lt;30,"20-29",IF(A94&lt;40,"30-39",IF(A94&lt;50,"40-49",IF(A94&lt;60,"50-59",IF(A94&lt;70,"60-69",IF(A94&lt;80,"70+"))))))</f>
        <v>50-59</v>
      </c>
      <c r="C94">
        <v>0</v>
      </c>
      <c r="D94">
        <v>2</v>
      </c>
      <c r="E94">
        <v>108</v>
      </c>
      <c r="F94">
        <v>267</v>
      </c>
      <c r="G94">
        <v>0</v>
      </c>
      <c r="H94">
        <v>0</v>
      </c>
      <c r="I94">
        <v>167</v>
      </c>
      <c r="J94">
        <v>0</v>
      </c>
      <c r="K94">
        <v>0</v>
      </c>
      <c r="L94">
        <v>2</v>
      </c>
      <c r="M94">
        <v>2</v>
      </c>
      <c r="N94">
        <v>1</v>
      </c>
    </row>
    <row r="95" spans="1:14" x14ac:dyDescent="0.25">
      <c r="A95">
        <v>62</v>
      </c>
      <c r="B95" s="32" t="str">
        <f>IF(A95&lt;30,"20-29",IF(A95&lt;40,"30-39",IF(A95&lt;50,"40-49",IF(A95&lt;60,"50-59",IF(A95&lt;70,"60-69",IF(A95&lt;80,"70+"))))))</f>
        <v>60-69</v>
      </c>
      <c r="C95">
        <v>1</v>
      </c>
      <c r="D95">
        <v>0</v>
      </c>
      <c r="E95">
        <v>120</v>
      </c>
      <c r="F95">
        <v>267</v>
      </c>
      <c r="G95">
        <v>0</v>
      </c>
      <c r="H95">
        <v>1</v>
      </c>
      <c r="I95">
        <v>99</v>
      </c>
      <c r="J95">
        <v>1</v>
      </c>
      <c r="K95">
        <v>1.8</v>
      </c>
      <c r="L95">
        <v>1</v>
      </c>
      <c r="M95">
        <v>3</v>
      </c>
      <c r="N95">
        <v>0</v>
      </c>
    </row>
    <row r="96" spans="1:14" x14ac:dyDescent="0.25">
      <c r="A96">
        <v>54</v>
      </c>
      <c r="B96" s="32" t="str">
        <f>IF(A96&lt;30,"20-29",IF(A96&lt;40,"30-39",IF(A96&lt;50,"40-49",IF(A96&lt;60,"50-59",IF(A96&lt;70,"60-69",IF(A96&lt;80,"70+"))))))</f>
        <v>50-59</v>
      </c>
      <c r="C96">
        <v>1</v>
      </c>
      <c r="D96">
        <v>0</v>
      </c>
      <c r="E96">
        <v>124</v>
      </c>
      <c r="F96">
        <v>266</v>
      </c>
      <c r="G96">
        <v>0</v>
      </c>
      <c r="H96">
        <v>0</v>
      </c>
      <c r="I96">
        <v>109</v>
      </c>
      <c r="J96">
        <v>1</v>
      </c>
      <c r="K96">
        <v>2.2000000000000002</v>
      </c>
      <c r="L96">
        <v>1</v>
      </c>
      <c r="M96">
        <v>3</v>
      </c>
      <c r="N96">
        <v>0</v>
      </c>
    </row>
    <row r="97" spans="1:14" x14ac:dyDescent="0.25">
      <c r="A97">
        <v>49</v>
      </c>
      <c r="B97" s="32" t="str">
        <f>IF(A97&lt;30,"20-29",IF(A97&lt;40,"30-39",IF(A97&lt;50,"40-49",IF(A97&lt;60,"50-59",IF(A97&lt;70,"60-69",IF(A97&lt;80,"70+"))))))</f>
        <v>40-49</v>
      </c>
      <c r="C97">
        <v>1</v>
      </c>
      <c r="D97">
        <v>1</v>
      </c>
      <c r="E97">
        <v>130</v>
      </c>
      <c r="F97">
        <v>266</v>
      </c>
      <c r="G97">
        <v>0</v>
      </c>
      <c r="H97">
        <v>1</v>
      </c>
      <c r="I97">
        <v>171</v>
      </c>
      <c r="J97">
        <v>0</v>
      </c>
      <c r="K97">
        <v>0.6</v>
      </c>
      <c r="L97">
        <v>2</v>
      </c>
      <c r="M97">
        <v>2</v>
      </c>
      <c r="N97">
        <v>1</v>
      </c>
    </row>
    <row r="98" spans="1:14" x14ac:dyDescent="0.25">
      <c r="A98">
        <v>71</v>
      </c>
      <c r="B98" s="32" t="str">
        <f>IF(A98&lt;30,"20-29",IF(A98&lt;40,"30-39",IF(A98&lt;50,"40-49",IF(A98&lt;60,"50-59",IF(A98&lt;70,"60-69",IF(A98&lt;80,"70+"))))))</f>
        <v>70+</v>
      </c>
      <c r="C98">
        <v>0</v>
      </c>
      <c r="D98">
        <v>2</v>
      </c>
      <c r="E98">
        <v>110</v>
      </c>
      <c r="F98">
        <v>265</v>
      </c>
      <c r="G98">
        <v>1</v>
      </c>
      <c r="H98">
        <v>0</v>
      </c>
      <c r="I98">
        <v>130</v>
      </c>
      <c r="J98">
        <v>0</v>
      </c>
      <c r="K98">
        <v>0</v>
      </c>
      <c r="L98">
        <v>2</v>
      </c>
      <c r="M98">
        <v>2</v>
      </c>
      <c r="N98">
        <v>1</v>
      </c>
    </row>
    <row r="99" spans="1:14" x14ac:dyDescent="0.25">
      <c r="A99">
        <v>42</v>
      </c>
      <c r="B99" s="32" t="str">
        <f>IF(A99&lt;30,"20-29",IF(A99&lt;40,"30-39",IF(A99&lt;50,"40-49",IF(A99&lt;60,"50-59",IF(A99&lt;70,"60-69",IF(A99&lt;80,"70+"))))))</f>
        <v>40-49</v>
      </c>
      <c r="C99">
        <v>0</v>
      </c>
      <c r="D99">
        <v>0</v>
      </c>
      <c r="E99">
        <v>102</v>
      </c>
      <c r="F99">
        <v>265</v>
      </c>
      <c r="G99">
        <v>0</v>
      </c>
      <c r="H99">
        <v>0</v>
      </c>
      <c r="I99">
        <v>122</v>
      </c>
      <c r="J99">
        <v>0</v>
      </c>
      <c r="K99">
        <v>0.6</v>
      </c>
      <c r="L99">
        <v>1</v>
      </c>
      <c r="M99">
        <v>2</v>
      </c>
      <c r="N99">
        <v>1</v>
      </c>
    </row>
    <row r="100" spans="1:14" x14ac:dyDescent="0.25">
      <c r="A100">
        <v>53</v>
      </c>
      <c r="B100" s="32" t="str">
        <f>IF(A100&lt;30,"20-29",IF(A100&lt;40,"30-39",IF(A100&lt;50,"40-49",IF(A100&lt;60,"50-59",IF(A100&lt;70,"60-69",IF(A100&lt;80,"70+"))))))</f>
        <v>50-59</v>
      </c>
      <c r="C100">
        <v>0</v>
      </c>
      <c r="D100">
        <v>0</v>
      </c>
      <c r="E100">
        <v>130</v>
      </c>
      <c r="F100">
        <v>264</v>
      </c>
      <c r="G100">
        <v>0</v>
      </c>
      <c r="H100">
        <v>0</v>
      </c>
      <c r="I100">
        <v>143</v>
      </c>
      <c r="J100">
        <v>0</v>
      </c>
      <c r="K100">
        <v>0.4</v>
      </c>
      <c r="L100">
        <v>1</v>
      </c>
      <c r="M100">
        <v>2</v>
      </c>
      <c r="N100">
        <v>1</v>
      </c>
    </row>
    <row r="101" spans="1:14" x14ac:dyDescent="0.25">
      <c r="A101">
        <v>45</v>
      </c>
      <c r="B101" s="32" t="str">
        <f>IF(A101&lt;30,"20-29",IF(A101&lt;40,"30-39",IF(A101&lt;50,"40-49",IF(A101&lt;60,"50-59",IF(A101&lt;70,"60-69",IF(A101&lt;80,"70+"))))))</f>
        <v>40-49</v>
      </c>
      <c r="C101">
        <v>1</v>
      </c>
      <c r="D101">
        <v>3</v>
      </c>
      <c r="E101">
        <v>110</v>
      </c>
      <c r="F101">
        <v>264</v>
      </c>
      <c r="G101">
        <v>0</v>
      </c>
      <c r="H101">
        <v>1</v>
      </c>
      <c r="I101">
        <v>132</v>
      </c>
      <c r="J101">
        <v>0</v>
      </c>
      <c r="K101">
        <v>1.2</v>
      </c>
      <c r="L101">
        <v>1</v>
      </c>
      <c r="M101">
        <v>3</v>
      </c>
      <c r="N101">
        <v>0</v>
      </c>
    </row>
    <row r="102" spans="1:14" x14ac:dyDescent="0.25">
      <c r="A102">
        <v>64</v>
      </c>
      <c r="B102" s="32" t="str">
        <f>IF(A102&lt;30,"20-29",IF(A102&lt;40,"30-39",IF(A102&lt;50,"40-49",IF(A102&lt;60,"50-59",IF(A102&lt;70,"60-69",IF(A102&lt;80,"70+"))))))</f>
        <v>60-69</v>
      </c>
      <c r="C102">
        <v>1</v>
      </c>
      <c r="D102">
        <v>0</v>
      </c>
      <c r="E102">
        <v>128</v>
      </c>
      <c r="F102">
        <v>263</v>
      </c>
      <c r="G102">
        <v>0</v>
      </c>
      <c r="H102">
        <v>1</v>
      </c>
      <c r="I102">
        <v>105</v>
      </c>
      <c r="J102">
        <v>1</v>
      </c>
      <c r="K102">
        <v>0.2</v>
      </c>
      <c r="L102">
        <v>1</v>
      </c>
      <c r="M102">
        <v>3</v>
      </c>
      <c r="N102">
        <v>1</v>
      </c>
    </row>
    <row r="103" spans="1:14" x14ac:dyDescent="0.25">
      <c r="A103">
        <v>44</v>
      </c>
      <c r="B103" s="32" t="str">
        <f>IF(A103&lt;30,"20-29",IF(A103&lt;40,"30-39",IF(A103&lt;50,"40-49",IF(A103&lt;60,"50-59",IF(A103&lt;70,"60-69",IF(A103&lt;80,"70+"))))))</f>
        <v>40-49</v>
      </c>
      <c r="C103">
        <v>1</v>
      </c>
      <c r="D103">
        <v>1</v>
      </c>
      <c r="E103">
        <v>120</v>
      </c>
      <c r="F103">
        <v>263</v>
      </c>
      <c r="G103">
        <v>0</v>
      </c>
      <c r="H103">
        <v>1</v>
      </c>
      <c r="I103">
        <v>173</v>
      </c>
      <c r="J103">
        <v>0</v>
      </c>
      <c r="K103">
        <v>0</v>
      </c>
      <c r="L103">
        <v>2</v>
      </c>
      <c r="M103">
        <v>3</v>
      </c>
      <c r="N103">
        <v>1</v>
      </c>
    </row>
    <row r="104" spans="1:14" x14ac:dyDescent="0.25">
      <c r="A104">
        <v>62</v>
      </c>
      <c r="B104" s="32" t="str">
        <f>IF(A104&lt;30,"20-29",IF(A104&lt;40,"30-39",IF(A104&lt;50,"40-49",IF(A104&lt;60,"50-59",IF(A104&lt;70,"60-69",IF(A104&lt;80,"70+"))))))</f>
        <v>60-69</v>
      </c>
      <c r="C104">
        <v>0</v>
      </c>
      <c r="D104">
        <v>2</v>
      </c>
      <c r="E104">
        <v>130</v>
      </c>
      <c r="F104">
        <v>263</v>
      </c>
      <c r="G104">
        <v>0</v>
      </c>
      <c r="H104">
        <v>1</v>
      </c>
      <c r="I104">
        <v>97</v>
      </c>
      <c r="J104">
        <v>0</v>
      </c>
      <c r="K104">
        <v>1.2</v>
      </c>
      <c r="L104">
        <v>1</v>
      </c>
      <c r="M104">
        <v>3</v>
      </c>
      <c r="N104">
        <v>0</v>
      </c>
    </row>
    <row r="105" spans="1:14" x14ac:dyDescent="0.25">
      <c r="A105">
        <v>55</v>
      </c>
      <c r="B105" s="32" t="str">
        <f>IF(A105&lt;30,"20-29",IF(A105&lt;40,"30-39",IF(A105&lt;50,"40-49",IF(A105&lt;60,"50-59",IF(A105&lt;70,"60-69",IF(A105&lt;80,"70+"))))))</f>
        <v>50-59</v>
      </c>
      <c r="C105">
        <v>1</v>
      </c>
      <c r="D105">
        <v>1</v>
      </c>
      <c r="E105">
        <v>130</v>
      </c>
      <c r="F105">
        <v>262</v>
      </c>
      <c r="G105">
        <v>0</v>
      </c>
      <c r="H105">
        <v>1</v>
      </c>
      <c r="I105">
        <v>155</v>
      </c>
      <c r="J105">
        <v>0</v>
      </c>
      <c r="K105">
        <v>0</v>
      </c>
      <c r="L105">
        <v>2</v>
      </c>
      <c r="M105">
        <v>2</v>
      </c>
      <c r="N105">
        <v>1</v>
      </c>
    </row>
    <row r="106" spans="1:14" x14ac:dyDescent="0.25">
      <c r="A106">
        <v>51</v>
      </c>
      <c r="B106" s="32" t="str">
        <f>IF(A106&lt;30,"20-29",IF(A106&lt;40,"30-39",IF(A106&lt;50,"40-49",IF(A106&lt;60,"50-59",IF(A106&lt;70,"60-69",IF(A106&lt;80,"70+"))))))</f>
        <v>50-59</v>
      </c>
      <c r="C106">
        <v>1</v>
      </c>
      <c r="D106">
        <v>0</v>
      </c>
      <c r="E106">
        <v>140</v>
      </c>
      <c r="F106">
        <v>261</v>
      </c>
      <c r="G106">
        <v>0</v>
      </c>
      <c r="H106">
        <v>0</v>
      </c>
      <c r="I106">
        <v>186</v>
      </c>
      <c r="J106">
        <v>1</v>
      </c>
      <c r="K106">
        <v>0</v>
      </c>
      <c r="L106">
        <v>2</v>
      </c>
      <c r="M106">
        <v>2</v>
      </c>
      <c r="N106">
        <v>1</v>
      </c>
    </row>
    <row r="107" spans="1:14" x14ac:dyDescent="0.25">
      <c r="A107">
        <v>57</v>
      </c>
      <c r="B107" s="32" t="str">
        <f>IF(A107&lt;30,"20-29",IF(A107&lt;40,"30-39",IF(A107&lt;50,"40-49",IF(A107&lt;60,"50-59",IF(A107&lt;70,"60-69",IF(A107&lt;80,"70+"))))))</f>
        <v>50-59</v>
      </c>
      <c r="C107">
        <v>1</v>
      </c>
      <c r="D107">
        <v>1</v>
      </c>
      <c r="E107">
        <v>124</v>
      </c>
      <c r="F107">
        <v>261</v>
      </c>
      <c r="G107">
        <v>0</v>
      </c>
      <c r="H107">
        <v>1</v>
      </c>
      <c r="I107">
        <v>141</v>
      </c>
      <c r="J107">
        <v>0</v>
      </c>
      <c r="K107">
        <v>0.3</v>
      </c>
      <c r="L107">
        <v>2</v>
      </c>
      <c r="M107">
        <v>3</v>
      </c>
      <c r="N107">
        <v>0</v>
      </c>
    </row>
    <row r="108" spans="1:14" x14ac:dyDescent="0.25">
      <c r="A108">
        <v>61</v>
      </c>
      <c r="B108" s="32" t="str">
        <f>IF(A108&lt;30,"20-29",IF(A108&lt;40,"30-39",IF(A108&lt;50,"40-49",IF(A108&lt;60,"50-59",IF(A108&lt;70,"60-69",IF(A108&lt;80,"70+"))))))</f>
        <v>60-69</v>
      </c>
      <c r="C108">
        <v>1</v>
      </c>
      <c r="D108">
        <v>0</v>
      </c>
      <c r="E108">
        <v>120</v>
      </c>
      <c r="F108">
        <v>260</v>
      </c>
      <c r="G108">
        <v>0</v>
      </c>
      <c r="H108">
        <v>1</v>
      </c>
      <c r="I108">
        <v>140</v>
      </c>
      <c r="J108">
        <v>1</v>
      </c>
      <c r="K108">
        <v>3.6</v>
      </c>
      <c r="L108">
        <v>1</v>
      </c>
      <c r="M108">
        <v>3</v>
      </c>
      <c r="N108">
        <v>0</v>
      </c>
    </row>
    <row r="109" spans="1:14" x14ac:dyDescent="0.25">
      <c r="A109">
        <v>45</v>
      </c>
      <c r="B109" s="32" t="str">
        <f>IF(A109&lt;30,"20-29",IF(A109&lt;40,"30-39",IF(A109&lt;50,"40-49",IF(A109&lt;60,"50-59",IF(A109&lt;70,"60-69",IF(A109&lt;80,"70+"))))))</f>
        <v>40-49</v>
      </c>
      <c r="C109">
        <v>1</v>
      </c>
      <c r="D109">
        <v>0</v>
      </c>
      <c r="E109">
        <v>115</v>
      </c>
      <c r="F109">
        <v>260</v>
      </c>
      <c r="G109">
        <v>0</v>
      </c>
      <c r="H109">
        <v>0</v>
      </c>
      <c r="I109">
        <v>185</v>
      </c>
      <c r="J109">
        <v>0</v>
      </c>
      <c r="K109">
        <v>0</v>
      </c>
      <c r="L109">
        <v>2</v>
      </c>
      <c r="M109">
        <v>2</v>
      </c>
      <c r="N109">
        <v>1</v>
      </c>
    </row>
    <row r="110" spans="1:14" x14ac:dyDescent="0.25">
      <c r="A110">
        <v>58</v>
      </c>
      <c r="B110" s="32" t="str">
        <f>IF(A110&lt;30,"20-29",IF(A110&lt;40,"30-39",IF(A110&lt;50,"40-49",IF(A110&lt;60,"50-59",IF(A110&lt;70,"60-69",IF(A110&lt;80,"70+"))))))</f>
        <v>50-59</v>
      </c>
      <c r="C110">
        <v>1</v>
      </c>
      <c r="D110">
        <v>0</v>
      </c>
      <c r="E110">
        <v>128</v>
      </c>
      <c r="F110">
        <v>259</v>
      </c>
      <c r="G110">
        <v>0</v>
      </c>
      <c r="H110">
        <v>0</v>
      </c>
      <c r="I110">
        <v>130</v>
      </c>
      <c r="J110">
        <v>1</v>
      </c>
      <c r="K110">
        <v>3</v>
      </c>
      <c r="L110">
        <v>1</v>
      </c>
      <c r="M110">
        <v>3</v>
      </c>
      <c r="N110">
        <v>0</v>
      </c>
    </row>
    <row r="111" spans="1:14" x14ac:dyDescent="0.25">
      <c r="A111">
        <v>54</v>
      </c>
      <c r="B111" s="32" t="str">
        <f>IF(A111&lt;30,"20-29",IF(A111&lt;40,"30-39",IF(A111&lt;50,"40-49",IF(A111&lt;60,"50-59",IF(A111&lt;70,"60-69",IF(A111&lt;80,"70+"))))))</f>
        <v>50-59</v>
      </c>
      <c r="C111">
        <v>1</v>
      </c>
      <c r="D111">
        <v>2</v>
      </c>
      <c r="E111">
        <v>120</v>
      </c>
      <c r="F111">
        <v>258</v>
      </c>
      <c r="G111">
        <v>0</v>
      </c>
      <c r="H111">
        <v>0</v>
      </c>
      <c r="I111">
        <v>147</v>
      </c>
      <c r="J111">
        <v>0</v>
      </c>
      <c r="K111">
        <v>0.4</v>
      </c>
      <c r="L111">
        <v>1</v>
      </c>
      <c r="M111">
        <v>3</v>
      </c>
      <c r="N111">
        <v>1</v>
      </c>
    </row>
    <row r="112" spans="1:14" x14ac:dyDescent="0.25">
      <c r="A112">
        <v>60</v>
      </c>
      <c r="B112" s="32" t="str">
        <f>IF(A112&lt;30,"20-29",IF(A112&lt;40,"30-39",IF(A112&lt;50,"40-49",IF(A112&lt;60,"50-59",IF(A112&lt;70,"60-69",IF(A112&lt;80,"70+"))))))</f>
        <v>60-69</v>
      </c>
      <c r="C112">
        <v>1</v>
      </c>
      <c r="D112">
        <v>0</v>
      </c>
      <c r="E112">
        <v>125</v>
      </c>
      <c r="F112">
        <v>258</v>
      </c>
      <c r="G112">
        <v>0</v>
      </c>
      <c r="H112">
        <v>0</v>
      </c>
      <c r="I112">
        <v>141</v>
      </c>
      <c r="J112">
        <v>1</v>
      </c>
      <c r="K112">
        <v>2.8</v>
      </c>
      <c r="L112">
        <v>1</v>
      </c>
      <c r="M112">
        <v>3</v>
      </c>
      <c r="N112">
        <v>0</v>
      </c>
    </row>
    <row r="113" spans="1:14" x14ac:dyDescent="0.25">
      <c r="A113">
        <v>60</v>
      </c>
      <c r="B113" s="32" t="str">
        <f>IF(A113&lt;30,"20-29",IF(A113&lt;40,"30-39",IF(A113&lt;50,"40-49",IF(A113&lt;60,"50-59",IF(A113&lt;70,"60-69",IF(A113&lt;80,"70+"))))))</f>
        <v>60-69</v>
      </c>
      <c r="C113">
        <v>0</v>
      </c>
      <c r="D113">
        <v>0</v>
      </c>
      <c r="E113">
        <v>150</v>
      </c>
      <c r="F113">
        <v>258</v>
      </c>
      <c r="G113">
        <v>0</v>
      </c>
      <c r="H113">
        <v>0</v>
      </c>
      <c r="I113">
        <v>157</v>
      </c>
      <c r="J113">
        <v>0</v>
      </c>
      <c r="K113">
        <v>2.6</v>
      </c>
      <c r="L113">
        <v>1</v>
      </c>
      <c r="M113">
        <v>3</v>
      </c>
      <c r="N113">
        <v>0</v>
      </c>
    </row>
    <row r="114" spans="1:14" x14ac:dyDescent="0.25">
      <c r="A114">
        <v>47</v>
      </c>
      <c r="B114" s="32" t="str">
        <f>IF(A114&lt;30,"20-29",IF(A114&lt;40,"30-39",IF(A114&lt;50,"40-49",IF(A114&lt;60,"50-59",IF(A114&lt;70,"60-69",IF(A114&lt;80,"70+"))))))</f>
        <v>40-49</v>
      </c>
      <c r="C114">
        <v>1</v>
      </c>
      <c r="D114">
        <v>2</v>
      </c>
      <c r="E114">
        <v>138</v>
      </c>
      <c r="F114">
        <v>257</v>
      </c>
      <c r="G114">
        <v>0</v>
      </c>
      <c r="H114">
        <v>0</v>
      </c>
      <c r="I114">
        <v>156</v>
      </c>
      <c r="J114">
        <v>0</v>
      </c>
      <c r="K114">
        <v>0</v>
      </c>
      <c r="L114">
        <v>2</v>
      </c>
      <c r="M114">
        <v>2</v>
      </c>
      <c r="N114">
        <v>1</v>
      </c>
    </row>
    <row r="115" spans="1:14" x14ac:dyDescent="0.25">
      <c r="A115">
        <v>56</v>
      </c>
      <c r="B115" s="32" t="str">
        <f>IF(A115&lt;30,"20-29",IF(A115&lt;40,"30-39",IF(A115&lt;50,"40-49",IF(A115&lt;60,"50-59",IF(A115&lt;70,"60-69",IF(A115&lt;80,"70+"))))))</f>
        <v>50-59</v>
      </c>
      <c r="C115">
        <v>1</v>
      </c>
      <c r="D115">
        <v>2</v>
      </c>
      <c r="E115">
        <v>130</v>
      </c>
      <c r="F115">
        <v>256</v>
      </c>
      <c r="G115">
        <v>1</v>
      </c>
      <c r="H115">
        <v>0</v>
      </c>
      <c r="I115">
        <v>142</v>
      </c>
      <c r="J115">
        <v>1</v>
      </c>
      <c r="K115">
        <v>0.6</v>
      </c>
      <c r="L115">
        <v>1</v>
      </c>
      <c r="M115">
        <v>1</v>
      </c>
      <c r="N115">
        <v>0</v>
      </c>
    </row>
    <row r="116" spans="1:14" x14ac:dyDescent="0.25">
      <c r="A116">
        <v>48</v>
      </c>
      <c r="B116" s="32" t="str">
        <f>IF(A116&lt;30,"20-29",IF(A116&lt;40,"30-39",IF(A116&lt;50,"40-49",IF(A116&lt;60,"50-59",IF(A116&lt;70,"60-69",IF(A116&lt;80,"70+"))))))</f>
        <v>40-49</v>
      </c>
      <c r="C116">
        <v>1</v>
      </c>
      <c r="D116">
        <v>0</v>
      </c>
      <c r="E116">
        <v>130</v>
      </c>
      <c r="F116">
        <v>256</v>
      </c>
      <c r="G116">
        <v>1</v>
      </c>
      <c r="H116">
        <v>0</v>
      </c>
      <c r="I116">
        <v>150</v>
      </c>
      <c r="J116">
        <v>1</v>
      </c>
      <c r="K116">
        <v>0</v>
      </c>
      <c r="L116">
        <v>2</v>
      </c>
      <c r="M116">
        <v>3</v>
      </c>
      <c r="N116">
        <v>0</v>
      </c>
    </row>
    <row r="117" spans="1:14" x14ac:dyDescent="0.25">
      <c r="A117">
        <v>51</v>
      </c>
      <c r="B117" s="32" t="str">
        <f>IF(A117&lt;30,"20-29",IF(A117&lt;40,"30-39",IF(A117&lt;50,"40-49",IF(A117&lt;60,"50-59",IF(A117&lt;70,"60-69",IF(A117&lt;80,"70+"))))))</f>
        <v>50-59</v>
      </c>
      <c r="C117">
        <v>0</v>
      </c>
      <c r="D117">
        <v>2</v>
      </c>
      <c r="E117">
        <v>130</v>
      </c>
      <c r="F117">
        <v>256</v>
      </c>
      <c r="G117">
        <v>0</v>
      </c>
      <c r="H117">
        <v>0</v>
      </c>
      <c r="I117">
        <v>149</v>
      </c>
      <c r="J117">
        <v>0</v>
      </c>
      <c r="K117">
        <v>0.5</v>
      </c>
      <c r="L117">
        <v>2</v>
      </c>
      <c r="M117">
        <v>2</v>
      </c>
      <c r="N117">
        <v>1</v>
      </c>
    </row>
    <row r="118" spans="1:14" x14ac:dyDescent="0.25">
      <c r="A118">
        <v>48</v>
      </c>
      <c r="B118" s="32" t="str">
        <f>IF(A118&lt;30,"20-29",IF(A118&lt;40,"30-39",IF(A118&lt;50,"40-49",IF(A118&lt;60,"50-59",IF(A118&lt;70,"60-69",IF(A118&lt;80,"70+"))))))</f>
        <v>40-49</v>
      </c>
      <c r="C118">
        <v>1</v>
      </c>
      <c r="D118">
        <v>2</v>
      </c>
      <c r="E118">
        <v>124</v>
      </c>
      <c r="F118">
        <v>255</v>
      </c>
      <c r="G118">
        <v>1</v>
      </c>
      <c r="H118">
        <v>1</v>
      </c>
      <c r="I118">
        <v>175</v>
      </c>
      <c r="J118">
        <v>0</v>
      </c>
      <c r="K118">
        <v>0</v>
      </c>
      <c r="L118">
        <v>2</v>
      </c>
      <c r="M118">
        <v>2</v>
      </c>
      <c r="N118">
        <v>1</v>
      </c>
    </row>
    <row r="119" spans="1:14" x14ac:dyDescent="0.25">
      <c r="A119">
        <v>52</v>
      </c>
      <c r="B119" s="32" t="str">
        <f>IF(A119&lt;30,"20-29",IF(A119&lt;40,"30-39",IF(A119&lt;50,"40-49",IF(A119&lt;60,"50-59",IF(A119&lt;70,"60-69",IF(A119&lt;80,"70+"))))))</f>
        <v>50-59</v>
      </c>
      <c r="C119">
        <v>1</v>
      </c>
      <c r="D119">
        <v>0</v>
      </c>
      <c r="E119">
        <v>128</v>
      </c>
      <c r="F119">
        <v>255</v>
      </c>
      <c r="G119">
        <v>0</v>
      </c>
      <c r="H119">
        <v>1</v>
      </c>
      <c r="I119">
        <v>161</v>
      </c>
      <c r="J119">
        <v>1</v>
      </c>
      <c r="K119">
        <v>0</v>
      </c>
      <c r="L119">
        <v>2</v>
      </c>
      <c r="M119">
        <v>3</v>
      </c>
      <c r="N119">
        <v>0</v>
      </c>
    </row>
    <row r="120" spans="1:14" x14ac:dyDescent="0.25">
      <c r="A120">
        <v>50</v>
      </c>
      <c r="B120" s="32" t="str">
        <f>IF(A120&lt;30,"20-29",IF(A120&lt;40,"30-39",IF(A120&lt;50,"40-49",IF(A120&lt;60,"50-59",IF(A120&lt;70,"60-69",IF(A120&lt;80,"70+"))))))</f>
        <v>50-59</v>
      </c>
      <c r="C120">
        <v>0</v>
      </c>
      <c r="D120">
        <v>0</v>
      </c>
      <c r="E120">
        <v>110</v>
      </c>
      <c r="F120">
        <v>254</v>
      </c>
      <c r="G120">
        <v>0</v>
      </c>
      <c r="H120">
        <v>0</v>
      </c>
      <c r="I120">
        <v>159</v>
      </c>
      <c r="J120">
        <v>0</v>
      </c>
      <c r="K120">
        <v>0</v>
      </c>
      <c r="L120">
        <v>2</v>
      </c>
      <c r="M120">
        <v>2</v>
      </c>
      <c r="N120">
        <v>1</v>
      </c>
    </row>
    <row r="121" spans="1:14" x14ac:dyDescent="0.25">
      <c r="A121">
        <v>67</v>
      </c>
      <c r="B121" s="32" t="str">
        <f>IF(A121&lt;30,"20-29",IF(A121&lt;40,"30-39",IF(A121&lt;50,"40-49",IF(A121&lt;60,"50-59",IF(A121&lt;70,"60-69",IF(A121&lt;80,"70+"))))))</f>
        <v>60-69</v>
      </c>
      <c r="C121">
        <v>1</v>
      </c>
      <c r="D121">
        <v>0</v>
      </c>
      <c r="E121">
        <v>125</v>
      </c>
      <c r="F121">
        <v>254</v>
      </c>
      <c r="G121">
        <v>1</v>
      </c>
      <c r="H121">
        <v>1</v>
      </c>
      <c r="I121">
        <v>163</v>
      </c>
      <c r="J121">
        <v>0</v>
      </c>
      <c r="K121">
        <v>0.2</v>
      </c>
      <c r="L121">
        <v>1</v>
      </c>
      <c r="M121">
        <v>3</v>
      </c>
      <c r="N121">
        <v>0</v>
      </c>
    </row>
    <row r="122" spans="1:14" x14ac:dyDescent="0.25">
      <c r="A122">
        <v>63</v>
      </c>
      <c r="B122" s="32" t="str">
        <f>IF(A122&lt;30,"20-29",IF(A122&lt;40,"30-39",IF(A122&lt;50,"40-49",IF(A122&lt;60,"50-59",IF(A122&lt;70,"60-69",IF(A122&lt;80,"70+"))))))</f>
        <v>60-69</v>
      </c>
      <c r="C122">
        <v>1</v>
      </c>
      <c r="D122">
        <v>0</v>
      </c>
      <c r="E122">
        <v>130</v>
      </c>
      <c r="F122">
        <v>254</v>
      </c>
      <c r="G122">
        <v>0</v>
      </c>
      <c r="H122">
        <v>0</v>
      </c>
      <c r="I122">
        <v>147</v>
      </c>
      <c r="J122">
        <v>0</v>
      </c>
      <c r="K122">
        <v>1.4</v>
      </c>
      <c r="L122">
        <v>1</v>
      </c>
      <c r="M122">
        <v>3</v>
      </c>
      <c r="N122">
        <v>0</v>
      </c>
    </row>
    <row r="123" spans="1:14" x14ac:dyDescent="0.25">
      <c r="A123">
        <v>65</v>
      </c>
      <c r="B123" s="32" t="str">
        <f>IF(A123&lt;30,"20-29",IF(A123&lt;40,"30-39",IF(A123&lt;50,"40-49",IF(A123&lt;60,"50-59",IF(A123&lt;70,"60-69",IF(A123&lt;80,"70+"))))))</f>
        <v>60-69</v>
      </c>
      <c r="C123">
        <v>1</v>
      </c>
      <c r="D123">
        <v>0</v>
      </c>
      <c r="E123">
        <v>135</v>
      </c>
      <c r="F123">
        <v>254</v>
      </c>
      <c r="G123">
        <v>0</v>
      </c>
      <c r="H123">
        <v>0</v>
      </c>
      <c r="I123">
        <v>127</v>
      </c>
      <c r="J123">
        <v>0</v>
      </c>
      <c r="K123">
        <v>2.8</v>
      </c>
      <c r="L123">
        <v>1</v>
      </c>
      <c r="M123">
        <v>3</v>
      </c>
      <c r="N123">
        <v>0</v>
      </c>
    </row>
    <row r="124" spans="1:14" x14ac:dyDescent="0.25">
      <c r="A124">
        <v>69</v>
      </c>
      <c r="B124" s="32" t="str">
        <f>IF(A124&lt;30,"20-29",IF(A124&lt;40,"30-39",IF(A124&lt;50,"40-49",IF(A124&lt;60,"50-59",IF(A124&lt;70,"60-69",IF(A124&lt;80,"70+"))))))</f>
        <v>60-69</v>
      </c>
      <c r="C124">
        <v>1</v>
      </c>
      <c r="D124">
        <v>2</v>
      </c>
      <c r="E124">
        <v>140</v>
      </c>
      <c r="F124">
        <v>254</v>
      </c>
      <c r="G124">
        <v>0</v>
      </c>
      <c r="H124">
        <v>0</v>
      </c>
      <c r="I124">
        <v>146</v>
      </c>
      <c r="J124">
        <v>0</v>
      </c>
      <c r="K124">
        <v>2</v>
      </c>
      <c r="L124">
        <v>1</v>
      </c>
      <c r="M124">
        <v>3</v>
      </c>
      <c r="N124">
        <v>0</v>
      </c>
    </row>
    <row r="125" spans="1:14" x14ac:dyDescent="0.25">
      <c r="A125">
        <v>60</v>
      </c>
      <c r="B125" s="32" t="str">
        <f>IF(A125&lt;30,"20-29",IF(A125&lt;40,"30-39",IF(A125&lt;50,"40-49",IF(A125&lt;60,"50-59",IF(A125&lt;70,"60-69",IF(A125&lt;80,"70+"))))))</f>
        <v>60-69</v>
      </c>
      <c r="C125">
        <v>1</v>
      </c>
      <c r="D125">
        <v>0</v>
      </c>
      <c r="E125">
        <v>130</v>
      </c>
      <c r="F125">
        <v>253</v>
      </c>
      <c r="G125">
        <v>0</v>
      </c>
      <c r="H125">
        <v>1</v>
      </c>
      <c r="I125">
        <v>144</v>
      </c>
      <c r="J125">
        <v>1</v>
      </c>
      <c r="K125">
        <v>1.4</v>
      </c>
      <c r="L125">
        <v>2</v>
      </c>
      <c r="M125">
        <v>3</v>
      </c>
      <c r="N125">
        <v>0</v>
      </c>
    </row>
    <row r="126" spans="1:14" x14ac:dyDescent="0.25">
      <c r="A126">
        <v>47</v>
      </c>
      <c r="B126" s="32" t="str">
        <f>IF(A126&lt;30,"20-29",IF(A126&lt;40,"30-39",IF(A126&lt;50,"40-49",IF(A126&lt;60,"50-59",IF(A126&lt;70,"60-69",IF(A126&lt;80,"70+"))))))</f>
        <v>40-49</v>
      </c>
      <c r="C126">
        <v>1</v>
      </c>
      <c r="D126">
        <v>2</v>
      </c>
      <c r="E126">
        <v>130</v>
      </c>
      <c r="F126">
        <v>253</v>
      </c>
      <c r="G126">
        <v>0</v>
      </c>
      <c r="H126">
        <v>1</v>
      </c>
      <c r="I126">
        <v>179</v>
      </c>
      <c r="J126">
        <v>0</v>
      </c>
      <c r="K126">
        <v>0</v>
      </c>
      <c r="L126">
        <v>2</v>
      </c>
      <c r="M126">
        <v>2</v>
      </c>
      <c r="N126">
        <v>1</v>
      </c>
    </row>
    <row r="127" spans="1:14" x14ac:dyDescent="0.25">
      <c r="A127">
        <v>63</v>
      </c>
      <c r="B127" s="32" t="str">
        <f>IF(A127&lt;30,"20-29",IF(A127&lt;40,"30-39",IF(A127&lt;50,"40-49",IF(A127&lt;60,"50-59",IF(A127&lt;70,"60-69",IF(A127&lt;80,"70+"))))))</f>
        <v>60-69</v>
      </c>
      <c r="C127">
        <v>0</v>
      </c>
      <c r="D127">
        <v>2</v>
      </c>
      <c r="E127">
        <v>135</v>
      </c>
      <c r="F127">
        <v>252</v>
      </c>
      <c r="G127">
        <v>0</v>
      </c>
      <c r="H127">
        <v>0</v>
      </c>
      <c r="I127">
        <v>172</v>
      </c>
      <c r="J127">
        <v>0</v>
      </c>
      <c r="K127">
        <v>0</v>
      </c>
      <c r="L127">
        <v>2</v>
      </c>
      <c r="M127">
        <v>2</v>
      </c>
      <c r="N127">
        <v>1</v>
      </c>
    </row>
    <row r="128" spans="1:14" x14ac:dyDescent="0.25">
      <c r="A128">
        <v>41</v>
      </c>
      <c r="B128" s="32" t="str">
        <f>IF(A128&lt;30,"20-29",IF(A128&lt;40,"30-39",IF(A128&lt;50,"40-49",IF(A128&lt;60,"50-59",IF(A128&lt;70,"60-69",IF(A128&lt;80,"70+"))))))</f>
        <v>40-49</v>
      </c>
      <c r="C128">
        <v>1</v>
      </c>
      <c r="D128">
        <v>2</v>
      </c>
      <c r="E128">
        <v>112</v>
      </c>
      <c r="F128">
        <v>250</v>
      </c>
      <c r="G128">
        <v>0</v>
      </c>
      <c r="H128">
        <v>1</v>
      </c>
      <c r="I128">
        <v>179</v>
      </c>
      <c r="J128">
        <v>0</v>
      </c>
      <c r="K128">
        <v>0</v>
      </c>
      <c r="L128">
        <v>2</v>
      </c>
      <c r="M128">
        <v>2</v>
      </c>
      <c r="N128">
        <v>1</v>
      </c>
    </row>
    <row r="129" spans="1:14" x14ac:dyDescent="0.25">
      <c r="A129">
        <v>37</v>
      </c>
      <c r="B129" s="32" t="str">
        <f>IF(A129&lt;30,"20-29",IF(A129&lt;40,"30-39",IF(A129&lt;50,"40-49",IF(A129&lt;60,"50-59",IF(A129&lt;70,"60-69",IF(A129&lt;80,"70+"))))))</f>
        <v>30-39</v>
      </c>
      <c r="C129">
        <v>1</v>
      </c>
      <c r="D129">
        <v>2</v>
      </c>
      <c r="E129">
        <v>130</v>
      </c>
      <c r="F129">
        <v>250</v>
      </c>
      <c r="G129">
        <v>0</v>
      </c>
      <c r="H129">
        <v>1</v>
      </c>
      <c r="I129">
        <v>187</v>
      </c>
      <c r="J129">
        <v>0</v>
      </c>
      <c r="K129">
        <v>3.5</v>
      </c>
      <c r="L129">
        <v>0</v>
      </c>
      <c r="M129">
        <v>2</v>
      </c>
      <c r="N129">
        <v>1</v>
      </c>
    </row>
    <row r="130" spans="1:14" x14ac:dyDescent="0.25">
      <c r="A130">
        <v>55</v>
      </c>
      <c r="B130" s="32" t="str">
        <f>IF(A130&lt;30,"20-29",IF(A130&lt;40,"30-39",IF(A130&lt;50,"40-49",IF(A130&lt;60,"50-59",IF(A130&lt;70,"60-69",IF(A130&lt;80,"70+"))))))</f>
        <v>50-59</v>
      </c>
      <c r="C130">
        <v>0</v>
      </c>
      <c r="D130">
        <v>1</v>
      </c>
      <c r="E130">
        <v>135</v>
      </c>
      <c r="F130">
        <v>250</v>
      </c>
      <c r="G130">
        <v>0</v>
      </c>
      <c r="H130">
        <v>0</v>
      </c>
      <c r="I130">
        <v>161</v>
      </c>
      <c r="J130">
        <v>0</v>
      </c>
      <c r="K130">
        <v>1.4</v>
      </c>
      <c r="L130">
        <v>1</v>
      </c>
      <c r="M130">
        <v>2</v>
      </c>
      <c r="N130">
        <v>1</v>
      </c>
    </row>
    <row r="131" spans="1:14" x14ac:dyDescent="0.25">
      <c r="A131">
        <v>46</v>
      </c>
      <c r="B131" s="32" t="str">
        <f>IF(A131&lt;30,"20-29",IF(A131&lt;40,"30-39",IF(A131&lt;50,"40-49",IF(A131&lt;60,"50-59",IF(A131&lt;70,"60-69",IF(A131&lt;80,"70+"))))))</f>
        <v>40-49</v>
      </c>
      <c r="C131">
        <v>1</v>
      </c>
      <c r="D131">
        <v>0</v>
      </c>
      <c r="E131">
        <v>120</v>
      </c>
      <c r="F131">
        <v>249</v>
      </c>
      <c r="G131">
        <v>0</v>
      </c>
      <c r="H131">
        <v>0</v>
      </c>
      <c r="I131">
        <v>144</v>
      </c>
      <c r="J131">
        <v>0</v>
      </c>
      <c r="K131">
        <v>0.8</v>
      </c>
      <c r="L131">
        <v>2</v>
      </c>
      <c r="M131">
        <v>3</v>
      </c>
      <c r="N131">
        <v>0</v>
      </c>
    </row>
    <row r="132" spans="1:14" x14ac:dyDescent="0.25">
      <c r="A132">
        <v>56</v>
      </c>
      <c r="B132" s="32" t="str">
        <f>IF(A132&lt;30,"20-29",IF(A132&lt;40,"30-39",IF(A132&lt;50,"40-49",IF(A132&lt;60,"50-59",IF(A132&lt;70,"60-69",IF(A132&lt;80,"70+"))))))</f>
        <v>50-59</v>
      </c>
      <c r="C132">
        <v>1</v>
      </c>
      <c r="D132">
        <v>0</v>
      </c>
      <c r="E132">
        <v>125</v>
      </c>
      <c r="F132">
        <v>249</v>
      </c>
      <c r="G132">
        <v>1</v>
      </c>
      <c r="H132">
        <v>0</v>
      </c>
      <c r="I132">
        <v>144</v>
      </c>
      <c r="J132">
        <v>1</v>
      </c>
      <c r="K132">
        <v>1.2</v>
      </c>
      <c r="L132">
        <v>1</v>
      </c>
      <c r="M132">
        <v>2</v>
      </c>
      <c r="N132">
        <v>0</v>
      </c>
    </row>
    <row r="133" spans="1:14" x14ac:dyDescent="0.25">
      <c r="A133">
        <v>59</v>
      </c>
      <c r="B133" s="32" t="str">
        <f>IF(A133&lt;30,"20-29",IF(A133&lt;40,"30-39",IF(A133&lt;50,"40-49",IF(A133&lt;60,"50-59",IF(A133&lt;70,"60-69",IF(A133&lt;80,"70+"))))))</f>
        <v>50-59</v>
      </c>
      <c r="C133">
        <v>0</v>
      </c>
      <c r="D133">
        <v>0</v>
      </c>
      <c r="E133">
        <v>174</v>
      </c>
      <c r="F133">
        <v>249</v>
      </c>
      <c r="G133">
        <v>0</v>
      </c>
      <c r="H133">
        <v>1</v>
      </c>
      <c r="I133">
        <v>143</v>
      </c>
      <c r="J133">
        <v>1</v>
      </c>
      <c r="K133">
        <v>0</v>
      </c>
      <c r="L133">
        <v>1</v>
      </c>
      <c r="M133">
        <v>2</v>
      </c>
      <c r="N133">
        <v>0</v>
      </c>
    </row>
    <row r="134" spans="1:14" x14ac:dyDescent="0.25">
      <c r="A134">
        <v>58</v>
      </c>
      <c r="B134" s="32" t="str">
        <f>IF(A134&lt;30,"20-29",IF(A134&lt;40,"30-39",IF(A134&lt;50,"40-49",IF(A134&lt;60,"50-59",IF(A134&lt;70,"60-69",IF(A134&lt;80,"70+"))))))</f>
        <v>50-59</v>
      </c>
      <c r="C134">
        <v>0</v>
      </c>
      <c r="D134">
        <v>0</v>
      </c>
      <c r="E134">
        <v>100</v>
      </c>
      <c r="F134">
        <v>248</v>
      </c>
      <c r="G134">
        <v>0</v>
      </c>
      <c r="H134">
        <v>0</v>
      </c>
      <c r="I134">
        <v>122</v>
      </c>
      <c r="J134">
        <v>0</v>
      </c>
      <c r="K134">
        <v>1</v>
      </c>
      <c r="L134">
        <v>1</v>
      </c>
      <c r="M134">
        <v>2</v>
      </c>
      <c r="N134">
        <v>1</v>
      </c>
    </row>
    <row r="135" spans="1:14" x14ac:dyDescent="0.25">
      <c r="A135">
        <v>65</v>
      </c>
      <c r="B135" s="32" t="str">
        <f>IF(A135&lt;30,"20-29",IF(A135&lt;40,"30-39",IF(A135&lt;50,"40-49",IF(A135&lt;60,"50-59",IF(A135&lt;70,"60-69",IF(A135&lt;80,"70+"))))))</f>
        <v>60-69</v>
      </c>
      <c r="C135">
        <v>1</v>
      </c>
      <c r="D135">
        <v>0</v>
      </c>
      <c r="E135">
        <v>110</v>
      </c>
      <c r="F135">
        <v>248</v>
      </c>
      <c r="G135">
        <v>0</v>
      </c>
      <c r="H135">
        <v>0</v>
      </c>
      <c r="I135">
        <v>158</v>
      </c>
      <c r="J135">
        <v>0</v>
      </c>
      <c r="K135">
        <v>0.6</v>
      </c>
      <c r="L135">
        <v>2</v>
      </c>
      <c r="M135">
        <v>1</v>
      </c>
      <c r="N135">
        <v>0</v>
      </c>
    </row>
    <row r="136" spans="1:14" x14ac:dyDescent="0.25">
      <c r="A136">
        <v>43</v>
      </c>
      <c r="B136" s="32" t="str">
        <f>IF(A136&lt;30,"20-29",IF(A136&lt;40,"30-39",IF(A136&lt;50,"40-49",IF(A136&lt;60,"50-59",IF(A136&lt;70,"60-69",IF(A136&lt;80,"70+"))))))</f>
        <v>40-49</v>
      </c>
      <c r="C136">
        <v>1</v>
      </c>
      <c r="D136">
        <v>0</v>
      </c>
      <c r="E136">
        <v>132</v>
      </c>
      <c r="F136">
        <v>247</v>
      </c>
      <c r="G136">
        <v>1</v>
      </c>
      <c r="H136">
        <v>0</v>
      </c>
      <c r="I136">
        <v>143</v>
      </c>
      <c r="J136">
        <v>1</v>
      </c>
      <c r="K136">
        <v>0.1</v>
      </c>
      <c r="L136">
        <v>1</v>
      </c>
      <c r="M136">
        <v>3</v>
      </c>
      <c r="N136">
        <v>0</v>
      </c>
    </row>
    <row r="137" spans="1:14" x14ac:dyDescent="0.25">
      <c r="A137">
        <v>43</v>
      </c>
      <c r="B137" s="32" t="str">
        <f>IF(A137&lt;30,"20-29",IF(A137&lt;40,"30-39",IF(A137&lt;50,"40-49",IF(A137&lt;60,"50-59",IF(A137&lt;70,"60-69",IF(A137&lt;80,"70+"))))))</f>
        <v>40-49</v>
      </c>
      <c r="C137">
        <v>1</v>
      </c>
      <c r="D137">
        <v>0</v>
      </c>
      <c r="E137">
        <v>150</v>
      </c>
      <c r="F137">
        <v>247</v>
      </c>
      <c r="G137">
        <v>0</v>
      </c>
      <c r="H137">
        <v>1</v>
      </c>
      <c r="I137">
        <v>171</v>
      </c>
      <c r="J137">
        <v>0</v>
      </c>
      <c r="K137">
        <v>1.5</v>
      </c>
      <c r="L137">
        <v>2</v>
      </c>
      <c r="M137">
        <v>2</v>
      </c>
      <c r="N137">
        <v>1</v>
      </c>
    </row>
    <row r="138" spans="1:14" x14ac:dyDescent="0.25">
      <c r="A138">
        <v>64</v>
      </c>
      <c r="B138" s="32" t="str">
        <f>IF(A138&lt;30,"20-29",IF(A138&lt;40,"30-39",IF(A138&lt;50,"40-49",IF(A138&lt;60,"50-59",IF(A138&lt;70,"60-69",IF(A138&lt;80,"70+"))))))</f>
        <v>60-69</v>
      </c>
      <c r="C138">
        <v>1</v>
      </c>
      <c r="D138">
        <v>0</v>
      </c>
      <c r="E138">
        <v>120</v>
      </c>
      <c r="F138">
        <v>246</v>
      </c>
      <c r="G138">
        <v>0</v>
      </c>
      <c r="H138">
        <v>0</v>
      </c>
      <c r="I138">
        <v>96</v>
      </c>
      <c r="J138">
        <v>1</v>
      </c>
      <c r="K138">
        <v>2.2000000000000002</v>
      </c>
      <c r="L138">
        <v>0</v>
      </c>
      <c r="M138">
        <v>2</v>
      </c>
      <c r="N138">
        <v>0</v>
      </c>
    </row>
    <row r="139" spans="1:14" x14ac:dyDescent="0.25">
      <c r="A139">
        <v>66</v>
      </c>
      <c r="B139" s="32" t="str">
        <f>IF(A139&lt;30,"20-29",IF(A139&lt;40,"30-39",IF(A139&lt;50,"40-49",IF(A139&lt;60,"50-59",IF(A139&lt;70,"60-69",IF(A139&lt;80,"70+"))))))</f>
        <v>60-69</v>
      </c>
      <c r="C139">
        <v>1</v>
      </c>
      <c r="D139">
        <v>1</v>
      </c>
      <c r="E139">
        <v>160</v>
      </c>
      <c r="F139">
        <v>246</v>
      </c>
      <c r="G139">
        <v>0</v>
      </c>
      <c r="H139">
        <v>1</v>
      </c>
      <c r="I139">
        <v>120</v>
      </c>
      <c r="J139">
        <v>1</v>
      </c>
      <c r="K139">
        <v>0</v>
      </c>
      <c r="L139">
        <v>1</v>
      </c>
      <c r="M139">
        <v>1</v>
      </c>
      <c r="N139">
        <v>0</v>
      </c>
    </row>
    <row r="140" spans="1:14" x14ac:dyDescent="0.25">
      <c r="A140">
        <v>53</v>
      </c>
      <c r="B140" s="32" t="str">
        <f>IF(A140&lt;30,"20-29",IF(A140&lt;40,"30-39",IF(A140&lt;50,"40-49",IF(A140&lt;60,"50-59",IF(A140&lt;70,"60-69",IF(A140&lt;80,"70+"))))))</f>
        <v>50-59</v>
      </c>
      <c r="C140">
        <v>1</v>
      </c>
      <c r="D140">
        <v>2</v>
      </c>
      <c r="E140">
        <v>130</v>
      </c>
      <c r="F140">
        <v>246</v>
      </c>
      <c r="G140">
        <v>1</v>
      </c>
      <c r="H140">
        <v>0</v>
      </c>
      <c r="I140">
        <v>173</v>
      </c>
      <c r="J140">
        <v>0</v>
      </c>
      <c r="K140">
        <v>0</v>
      </c>
      <c r="L140">
        <v>2</v>
      </c>
      <c r="M140">
        <v>2</v>
      </c>
      <c r="N140">
        <v>1</v>
      </c>
    </row>
    <row r="141" spans="1:14" x14ac:dyDescent="0.25">
      <c r="A141">
        <v>48</v>
      </c>
      <c r="B141" s="32" t="str">
        <f>IF(A141&lt;30,"20-29",IF(A141&lt;40,"30-39",IF(A141&lt;50,"40-49",IF(A141&lt;60,"50-59",IF(A141&lt;70,"60-69",IF(A141&lt;80,"70+"))))))</f>
        <v>40-49</v>
      </c>
      <c r="C141">
        <v>1</v>
      </c>
      <c r="D141">
        <v>1</v>
      </c>
      <c r="E141">
        <v>130</v>
      </c>
      <c r="F141">
        <v>245</v>
      </c>
      <c r="G141">
        <v>0</v>
      </c>
      <c r="H141">
        <v>0</v>
      </c>
      <c r="I141">
        <v>180</v>
      </c>
      <c r="J141">
        <v>0</v>
      </c>
      <c r="K141">
        <v>0.2</v>
      </c>
      <c r="L141">
        <v>1</v>
      </c>
      <c r="M141">
        <v>2</v>
      </c>
      <c r="N141">
        <v>1</v>
      </c>
    </row>
    <row r="142" spans="1:14" x14ac:dyDescent="0.25">
      <c r="A142">
        <v>51</v>
      </c>
      <c r="B142" s="32" t="str">
        <f>IF(A142&lt;30,"20-29",IF(A142&lt;40,"30-39",IF(A142&lt;50,"40-49",IF(A142&lt;60,"50-59",IF(A142&lt;70,"60-69",IF(A142&lt;80,"70+"))))))</f>
        <v>50-59</v>
      </c>
      <c r="C142">
        <v>1</v>
      </c>
      <c r="D142">
        <v>2</v>
      </c>
      <c r="E142">
        <v>125</v>
      </c>
      <c r="F142">
        <v>245</v>
      </c>
      <c r="G142">
        <v>1</v>
      </c>
      <c r="H142">
        <v>0</v>
      </c>
      <c r="I142">
        <v>166</v>
      </c>
      <c r="J142">
        <v>0</v>
      </c>
      <c r="K142">
        <v>2.4</v>
      </c>
      <c r="L142">
        <v>1</v>
      </c>
      <c r="M142">
        <v>2</v>
      </c>
      <c r="N142">
        <v>1</v>
      </c>
    </row>
    <row r="143" spans="1:14" x14ac:dyDescent="0.25">
      <c r="A143">
        <v>70</v>
      </c>
      <c r="B143" s="32" t="str">
        <f>IF(A143&lt;30,"20-29",IF(A143&lt;40,"30-39",IF(A143&lt;50,"40-49",IF(A143&lt;60,"50-59",IF(A143&lt;70,"60-69",IF(A143&lt;80,"70+"))))))</f>
        <v>70+</v>
      </c>
      <c r="C143">
        <v>1</v>
      </c>
      <c r="D143">
        <v>1</v>
      </c>
      <c r="E143">
        <v>156</v>
      </c>
      <c r="F143">
        <v>245</v>
      </c>
      <c r="G143">
        <v>0</v>
      </c>
      <c r="H143">
        <v>0</v>
      </c>
      <c r="I143">
        <v>143</v>
      </c>
      <c r="J143">
        <v>0</v>
      </c>
      <c r="K143">
        <v>0</v>
      </c>
      <c r="L143">
        <v>2</v>
      </c>
      <c r="M143">
        <v>2</v>
      </c>
      <c r="N143">
        <v>1</v>
      </c>
    </row>
    <row r="144" spans="1:14" x14ac:dyDescent="0.25">
      <c r="A144">
        <v>50</v>
      </c>
      <c r="B144" s="32" t="str">
        <f>IF(A144&lt;30,"20-29",IF(A144&lt;40,"30-39",IF(A144&lt;50,"40-49",IF(A144&lt;60,"50-59",IF(A144&lt;70,"60-69",IF(A144&lt;80,"70+"))))))</f>
        <v>50-59</v>
      </c>
      <c r="C144">
        <v>0</v>
      </c>
      <c r="D144">
        <v>1</v>
      </c>
      <c r="E144">
        <v>120</v>
      </c>
      <c r="F144">
        <v>244</v>
      </c>
      <c r="G144">
        <v>0</v>
      </c>
      <c r="H144">
        <v>1</v>
      </c>
      <c r="I144">
        <v>162</v>
      </c>
      <c r="J144">
        <v>0</v>
      </c>
      <c r="K144">
        <v>1.1000000000000001</v>
      </c>
      <c r="L144">
        <v>2</v>
      </c>
      <c r="M144">
        <v>2</v>
      </c>
      <c r="N144">
        <v>1</v>
      </c>
    </row>
    <row r="145" spans="1:14" x14ac:dyDescent="0.25">
      <c r="A145">
        <v>42</v>
      </c>
      <c r="B145" s="32" t="str">
        <f>IF(A145&lt;30,"20-29",IF(A145&lt;40,"30-39",IF(A145&lt;50,"40-49",IF(A145&lt;60,"50-59",IF(A145&lt;70,"60-69",IF(A145&lt;80,"70+"))))))</f>
        <v>40-49</v>
      </c>
      <c r="C145">
        <v>1</v>
      </c>
      <c r="D145">
        <v>3</v>
      </c>
      <c r="E145">
        <v>148</v>
      </c>
      <c r="F145">
        <v>244</v>
      </c>
      <c r="G145">
        <v>0</v>
      </c>
      <c r="H145">
        <v>0</v>
      </c>
      <c r="I145">
        <v>178</v>
      </c>
      <c r="J145">
        <v>0</v>
      </c>
      <c r="K145">
        <v>0.8</v>
      </c>
      <c r="L145">
        <v>2</v>
      </c>
      <c r="M145">
        <v>2</v>
      </c>
      <c r="N145">
        <v>1</v>
      </c>
    </row>
    <row r="146" spans="1:14" x14ac:dyDescent="0.25">
      <c r="A146">
        <v>62</v>
      </c>
      <c r="B146" s="32" t="str">
        <f>IF(A146&lt;30,"20-29",IF(A146&lt;40,"30-39",IF(A146&lt;50,"40-49",IF(A146&lt;60,"50-59",IF(A146&lt;70,"60-69",IF(A146&lt;80,"70+"))))))</f>
        <v>60-69</v>
      </c>
      <c r="C146">
        <v>0</v>
      </c>
      <c r="D146">
        <v>0</v>
      </c>
      <c r="E146">
        <v>150</v>
      </c>
      <c r="F146">
        <v>244</v>
      </c>
      <c r="G146">
        <v>0</v>
      </c>
      <c r="H146">
        <v>1</v>
      </c>
      <c r="I146">
        <v>154</v>
      </c>
      <c r="J146">
        <v>1</v>
      </c>
      <c r="K146">
        <v>1.4</v>
      </c>
      <c r="L146">
        <v>1</v>
      </c>
      <c r="M146">
        <v>2</v>
      </c>
      <c r="N146">
        <v>0</v>
      </c>
    </row>
    <row r="147" spans="1:14" x14ac:dyDescent="0.25">
      <c r="A147">
        <v>50</v>
      </c>
      <c r="B147" s="32" t="str">
        <f>IF(A147&lt;30,"20-29",IF(A147&lt;40,"30-39",IF(A147&lt;50,"40-49",IF(A147&lt;60,"50-59",IF(A147&lt;70,"60-69",IF(A147&lt;80,"70+"))))))</f>
        <v>50-59</v>
      </c>
      <c r="C147">
        <v>1</v>
      </c>
      <c r="D147">
        <v>0</v>
      </c>
      <c r="E147">
        <v>150</v>
      </c>
      <c r="F147">
        <v>243</v>
      </c>
      <c r="G147">
        <v>0</v>
      </c>
      <c r="H147">
        <v>0</v>
      </c>
      <c r="I147">
        <v>128</v>
      </c>
      <c r="J147">
        <v>0</v>
      </c>
      <c r="K147">
        <v>2.6</v>
      </c>
      <c r="L147">
        <v>1</v>
      </c>
      <c r="M147">
        <v>3</v>
      </c>
      <c r="N147">
        <v>0</v>
      </c>
    </row>
    <row r="148" spans="1:14" x14ac:dyDescent="0.25">
      <c r="A148">
        <v>61</v>
      </c>
      <c r="B148" s="32" t="str">
        <f>IF(A148&lt;30,"20-29",IF(A148&lt;40,"30-39",IF(A148&lt;50,"40-49",IF(A148&lt;60,"50-59",IF(A148&lt;70,"60-69",IF(A148&lt;80,"70+"))))))</f>
        <v>60-69</v>
      </c>
      <c r="C148">
        <v>1</v>
      </c>
      <c r="D148">
        <v>2</v>
      </c>
      <c r="E148">
        <v>150</v>
      </c>
      <c r="F148">
        <v>243</v>
      </c>
      <c r="G148">
        <v>1</v>
      </c>
      <c r="H148">
        <v>1</v>
      </c>
      <c r="I148">
        <v>137</v>
      </c>
      <c r="J148">
        <v>1</v>
      </c>
      <c r="K148">
        <v>1</v>
      </c>
      <c r="L148">
        <v>1</v>
      </c>
      <c r="M148">
        <v>2</v>
      </c>
      <c r="N148">
        <v>1</v>
      </c>
    </row>
    <row r="149" spans="1:14" x14ac:dyDescent="0.25">
      <c r="A149">
        <v>46</v>
      </c>
      <c r="B149" s="32" t="str">
        <f>IF(A149&lt;30,"20-29",IF(A149&lt;40,"30-39",IF(A149&lt;50,"40-49",IF(A149&lt;60,"50-59",IF(A149&lt;70,"60-69",IF(A149&lt;80,"70+"))))))</f>
        <v>40-49</v>
      </c>
      <c r="C149">
        <v>0</v>
      </c>
      <c r="D149">
        <v>0</v>
      </c>
      <c r="E149">
        <v>138</v>
      </c>
      <c r="F149">
        <v>243</v>
      </c>
      <c r="G149">
        <v>0</v>
      </c>
      <c r="H149">
        <v>0</v>
      </c>
      <c r="I149">
        <v>152</v>
      </c>
      <c r="J149">
        <v>1</v>
      </c>
      <c r="K149">
        <v>0</v>
      </c>
      <c r="L149">
        <v>1</v>
      </c>
      <c r="M149">
        <v>2</v>
      </c>
      <c r="N149">
        <v>1</v>
      </c>
    </row>
    <row r="150" spans="1:14" x14ac:dyDescent="0.25">
      <c r="A150">
        <v>47</v>
      </c>
      <c r="B150" s="32" t="str">
        <f>IF(A150&lt;30,"20-29",IF(A150&lt;40,"30-39",IF(A150&lt;50,"40-49",IF(A150&lt;60,"50-59",IF(A150&lt;70,"60-69",IF(A150&lt;80,"70+"))))))</f>
        <v>40-49</v>
      </c>
      <c r="C150">
        <v>1</v>
      </c>
      <c r="D150">
        <v>2</v>
      </c>
      <c r="E150">
        <v>108</v>
      </c>
      <c r="F150">
        <v>243</v>
      </c>
      <c r="G150">
        <v>0</v>
      </c>
      <c r="H150">
        <v>1</v>
      </c>
      <c r="I150">
        <v>152</v>
      </c>
      <c r="J150">
        <v>0</v>
      </c>
      <c r="K150">
        <v>0</v>
      </c>
      <c r="L150">
        <v>2</v>
      </c>
      <c r="M150">
        <v>2</v>
      </c>
      <c r="N150">
        <v>0</v>
      </c>
    </row>
    <row r="151" spans="1:14" x14ac:dyDescent="0.25">
      <c r="A151">
        <v>44</v>
      </c>
      <c r="B151" s="32" t="str">
        <f>IF(A151&lt;30,"20-29",IF(A151&lt;40,"30-39",IF(A151&lt;50,"40-49",IF(A151&lt;60,"50-59",IF(A151&lt;70,"60-69",IF(A151&lt;80,"70+"))))))</f>
        <v>40-49</v>
      </c>
      <c r="C151">
        <v>0</v>
      </c>
      <c r="D151">
        <v>2</v>
      </c>
      <c r="E151">
        <v>118</v>
      </c>
      <c r="F151">
        <v>242</v>
      </c>
      <c r="G151">
        <v>0</v>
      </c>
      <c r="H151">
        <v>1</v>
      </c>
      <c r="I151">
        <v>149</v>
      </c>
      <c r="J151">
        <v>0</v>
      </c>
      <c r="K151">
        <v>0.3</v>
      </c>
      <c r="L151">
        <v>1</v>
      </c>
      <c r="M151">
        <v>2</v>
      </c>
      <c r="N151">
        <v>1</v>
      </c>
    </row>
    <row r="152" spans="1:14" x14ac:dyDescent="0.25">
      <c r="A152">
        <v>57</v>
      </c>
      <c r="B152" s="32" t="str">
        <f>IF(A152&lt;30,"20-29",IF(A152&lt;40,"30-39",IF(A152&lt;50,"40-49",IF(A152&lt;60,"50-59",IF(A152&lt;70,"60-69",IF(A152&lt;80,"70+"))))))</f>
        <v>50-59</v>
      </c>
      <c r="C152">
        <v>0</v>
      </c>
      <c r="D152">
        <v>0</v>
      </c>
      <c r="E152">
        <v>140</v>
      </c>
      <c r="F152">
        <v>241</v>
      </c>
      <c r="G152">
        <v>0</v>
      </c>
      <c r="H152">
        <v>1</v>
      </c>
      <c r="I152">
        <v>123</v>
      </c>
      <c r="J152">
        <v>1</v>
      </c>
      <c r="K152">
        <v>0.2</v>
      </c>
      <c r="L152">
        <v>1</v>
      </c>
      <c r="M152">
        <v>3</v>
      </c>
      <c r="N152">
        <v>0</v>
      </c>
    </row>
    <row r="153" spans="1:14" x14ac:dyDescent="0.25">
      <c r="A153">
        <v>60</v>
      </c>
      <c r="B153" s="32" t="str">
        <f>IF(A153&lt;30,"20-29",IF(A153&lt;40,"30-39",IF(A153&lt;50,"40-49",IF(A153&lt;60,"50-59",IF(A153&lt;70,"60-69",IF(A153&lt;80,"70+"))))))</f>
        <v>60-69</v>
      </c>
      <c r="C153">
        <v>0</v>
      </c>
      <c r="D153">
        <v>3</v>
      </c>
      <c r="E153">
        <v>150</v>
      </c>
      <c r="F153">
        <v>240</v>
      </c>
      <c r="G153">
        <v>0</v>
      </c>
      <c r="H153">
        <v>1</v>
      </c>
      <c r="I153">
        <v>171</v>
      </c>
      <c r="J153">
        <v>0</v>
      </c>
      <c r="K153">
        <v>0.9</v>
      </c>
      <c r="L153">
        <v>2</v>
      </c>
      <c r="M153">
        <v>2</v>
      </c>
      <c r="N153">
        <v>1</v>
      </c>
    </row>
    <row r="154" spans="1:14" x14ac:dyDescent="0.25">
      <c r="A154">
        <v>56</v>
      </c>
      <c r="B154" s="32" t="str">
        <f>IF(A154&lt;30,"20-29",IF(A154&lt;40,"30-39",IF(A154&lt;50,"40-49",IF(A154&lt;60,"50-59",IF(A154&lt;70,"60-69",IF(A154&lt;80,"70+"))))))</f>
        <v>50-59</v>
      </c>
      <c r="C154">
        <v>1</v>
      </c>
      <c r="D154">
        <v>1</v>
      </c>
      <c r="E154">
        <v>120</v>
      </c>
      <c r="F154">
        <v>240</v>
      </c>
      <c r="G154">
        <v>0</v>
      </c>
      <c r="H154">
        <v>1</v>
      </c>
      <c r="I154">
        <v>169</v>
      </c>
      <c r="J154">
        <v>0</v>
      </c>
      <c r="K154">
        <v>0</v>
      </c>
      <c r="L154">
        <v>0</v>
      </c>
      <c r="M154">
        <v>2</v>
      </c>
      <c r="N154">
        <v>1</v>
      </c>
    </row>
    <row r="155" spans="1:14" x14ac:dyDescent="0.25">
      <c r="A155">
        <v>42</v>
      </c>
      <c r="B155" s="32" t="str">
        <f>IF(A155&lt;30,"20-29",IF(A155&lt;40,"30-39",IF(A155&lt;50,"40-49",IF(A155&lt;60,"50-59",IF(A155&lt;70,"60-69",IF(A155&lt;80,"70+"))))))</f>
        <v>40-49</v>
      </c>
      <c r="C155">
        <v>1</v>
      </c>
      <c r="D155">
        <v>2</v>
      </c>
      <c r="E155">
        <v>120</v>
      </c>
      <c r="F155">
        <v>240</v>
      </c>
      <c r="G155">
        <v>1</v>
      </c>
      <c r="H155">
        <v>1</v>
      </c>
      <c r="I155">
        <v>194</v>
      </c>
      <c r="J155">
        <v>0</v>
      </c>
      <c r="K155">
        <v>0.8</v>
      </c>
      <c r="L155">
        <v>0</v>
      </c>
      <c r="M155">
        <v>3</v>
      </c>
      <c r="N155">
        <v>1</v>
      </c>
    </row>
    <row r="156" spans="1:14" x14ac:dyDescent="0.25">
      <c r="A156">
        <v>58</v>
      </c>
      <c r="B156" s="32" t="str">
        <f>IF(A156&lt;30,"20-29",IF(A156&lt;40,"30-39",IF(A156&lt;50,"40-49",IF(A156&lt;60,"50-59",IF(A156&lt;70,"60-69",IF(A156&lt;80,"70+"))))))</f>
        <v>50-59</v>
      </c>
      <c r="C156">
        <v>1</v>
      </c>
      <c r="D156">
        <v>2</v>
      </c>
      <c r="E156">
        <v>105</v>
      </c>
      <c r="F156">
        <v>240</v>
      </c>
      <c r="G156">
        <v>0</v>
      </c>
      <c r="H156">
        <v>0</v>
      </c>
      <c r="I156">
        <v>154</v>
      </c>
      <c r="J156">
        <v>1</v>
      </c>
      <c r="K156">
        <v>0.6</v>
      </c>
      <c r="L156">
        <v>1</v>
      </c>
      <c r="M156">
        <v>3</v>
      </c>
      <c r="N156">
        <v>1</v>
      </c>
    </row>
    <row r="157" spans="1:14" x14ac:dyDescent="0.25">
      <c r="A157">
        <v>59</v>
      </c>
      <c r="B157" s="32" t="str">
        <f>IF(A157&lt;30,"20-29",IF(A157&lt;40,"30-39",IF(A157&lt;50,"40-49",IF(A157&lt;60,"50-59",IF(A157&lt;70,"60-69",IF(A157&lt;80,"70+"))))))</f>
        <v>50-59</v>
      </c>
      <c r="C157">
        <v>1</v>
      </c>
      <c r="D157">
        <v>0</v>
      </c>
      <c r="E157">
        <v>110</v>
      </c>
      <c r="F157">
        <v>239</v>
      </c>
      <c r="G157">
        <v>0</v>
      </c>
      <c r="H157">
        <v>0</v>
      </c>
      <c r="I157">
        <v>142</v>
      </c>
      <c r="J157">
        <v>1</v>
      </c>
      <c r="K157">
        <v>1.2</v>
      </c>
      <c r="L157">
        <v>1</v>
      </c>
      <c r="M157">
        <v>3</v>
      </c>
      <c r="N157">
        <v>0</v>
      </c>
    </row>
    <row r="158" spans="1:14" x14ac:dyDescent="0.25">
      <c r="A158">
        <v>54</v>
      </c>
      <c r="B158" s="32" t="str">
        <f>IF(A158&lt;30,"20-29",IF(A158&lt;40,"30-39",IF(A158&lt;50,"40-49",IF(A158&lt;60,"50-59",IF(A158&lt;70,"60-69",IF(A158&lt;80,"70+"))))))</f>
        <v>50-59</v>
      </c>
      <c r="C158">
        <v>1</v>
      </c>
      <c r="D158">
        <v>0</v>
      </c>
      <c r="E158">
        <v>110</v>
      </c>
      <c r="F158">
        <v>239</v>
      </c>
      <c r="G158">
        <v>0</v>
      </c>
      <c r="H158">
        <v>1</v>
      </c>
      <c r="I158">
        <v>126</v>
      </c>
      <c r="J158">
        <v>1</v>
      </c>
      <c r="K158">
        <v>2.8</v>
      </c>
      <c r="L158">
        <v>1</v>
      </c>
      <c r="M158">
        <v>3</v>
      </c>
      <c r="N158">
        <v>0</v>
      </c>
    </row>
    <row r="159" spans="1:14" x14ac:dyDescent="0.25">
      <c r="A159">
        <v>54</v>
      </c>
      <c r="B159" s="32" t="str">
        <f>IF(A159&lt;30,"20-29",IF(A159&lt;40,"30-39",IF(A159&lt;50,"40-49",IF(A159&lt;60,"50-59",IF(A159&lt;70,"60-69",IF(A159&lt;80,"70+"))))))</f>
        <v>50-59</v>
      </c>
      <c r="C159">
        <v>1</v>
      </c>
      <c r="D159">
        <v>0</v>
      </c>
      <c r="E159">
        <v>140</v>
      </c>
      <c r="F159">
        <v>239</v>
      </c>
      <c r="G159">
        <v>0</v>
      </c>
      <c r="H159">
        <v>1</v>
      </c>
      <c r="I159">
        <v>160</v>
      </c>
      <c r="J159">
        <v>0</v>
      </c>
      <c r="K159">
        <v>1.2</v>
      </c>
      <c r="L159">
        <v>2</v>
      </c>
      <c r="M159">
        <v>2</v>
      </c>
      <c r="N159">
        <v>1</v>
      </c>
    </row>
    <row r="160" spans="1:14" x14ac:dyDescent="0.25">
      <c r="A160">
        <v>69</v>
      </c>
      <c r="B160" s="32" t="str">
        <f>IF(A160&lt;30,"20-29",IF(A160&lt;40,"30-39",IF(A160&lt;50,"40-49",IF(A160&lt;60,"50-59",IF(A160&lt;70,"60-69",IF(A160&lt;80,"70+"))))))</f>
        <v>60-69</v>
      </c>
      <c r="C160">
        <v>0</v>
      </c>
      <c r="D160">
        <v>3</v>
      </c>
      <c r="E160">
        <v>140</v>
      </c>
      <c r="F160">
        <v>239</v>
      </c>
      <c r="G160">
        <v>0</v>
      </c>
      <c r="H160">
        <v>1</v>
      </c>
      <c r="I160">
        <v>151</v>
      </c>
      <c r="J160">
        <v>0</v>
      </c>
      <c r="K160">
        <v>1.8</v>
      </c>
      <c r="L160">
        <v>2</v>
      </c>
      <c r="M160">
        <v>2</v>
      </c>
      <c r="N160">
        <v>1</v>
      </c>
    </row>
    <row r="161" spans="1:14" x14ac:dyDescent="0.25">
      <c r="A161">
        <v>67</v>
      </c>
      <c r="B161" s="32" t="str">
        <f>IF(A161&lt;30,"20-29",IF(A161&lt;40,"30-39",IF(A161&lt;50,"40-49",IF(A161&lt;60,"50-59",IF(A161&lt;70,"60-69",IF(A161&lt;80,"70+"))))))</f>
        <v>60-69</v>
      </c>
      <c r="C161">
        <v>1</v>
      </c>
      <c r="D161">
        <v>0</v>
      </c>
      <c r="E161">
        <v>120</v>
      </c>
      <c r="F161">
        <v>237</v>
      </c>
      <c r="G161">
        <v>0</v>
      </c>
      <c r="H161">
        <v>1</v>
      </c>
      <c r="I161">
        <v>71</v>
      </c>
      <c r="J161">
        <v>0</v>
      </c>
      <c r="K161">
        <v>1</v>
      </c>
      <c r="L161">
        <v>1</v>
      </c>
      <c r="M161">
        <v>2</v>
      </c>
      <c r="N161">
        <v>0</v>
      </c>
    </row>
    <row r="162" spans="1:14" x14ac:dyDescent="0.25">
      <c r="A162">
        <v>45</v>
      </c>
      <c r="B162" s="32" t="str">
        <f>IF(A162&lt;30,"20-29",IF(A162&lt;40,"30-39",IF(A162&lt;50,"40-49",IF(A162&lt;60,"50-59",IF(A162&lt;70,"60-69",IF(A162&lt;80,"70+"))))))</f>
        <v>40-49</v>
      </c>
      <c r="C162">
        <v>0</v>
      </c>
      <c r="D162">
        <v>0</v>
      </c>
      <c r="E162">
        <v>138</v>
      </c>
      <c r="F162">
        <v>236</v>
      </c>
      <c r="G162">
        <v>0</v>
      </c>
      <c r="H162">
        <v>0</v>
      </c>
      <c r="I162">
        <v>152</v>
      </c>
      <c r="J162">
        <v>1</v>
      </c>
      <c r="K162">
        <v>0.2</v>
      </c>
      <c r="L162">
        <v>1</v>
      </c>
      <c r="M162">
        <v>2</v>
      </c>
      <c r="N162">
        <v>1</v>
      </c>
    </row>
    <row r="163" spans="1:14" x14ac:dyDescent="0.25">
      <c r="A163">
        <v>56</v>
      </c>
      <c r="B163" s="32" t="str">
        <f>IF(A163&lt;30,"20-29",IF(A163&lt;40,"30-39",IF(A163&lt;50,"40-49",IF(A163&lt;60,"50-59",IF(A163&lt;70,"60-69",IF(A163&lt;80,"70+"))))))</f>
        <v>50-59</v>
      </c>
      <c r="C163">
        <v>1</v>
      </c>
      <c r="D163">
        <v>1</v>
      </c>
      <c r="E163">
        <v>120</v>
      </c>
      <c r="F163">
        <v>236</v>
      </c>
      <c r="G163">
        <v>0</v>
      </c>
      <c r="H163">
        <v>1</v>
      </c>
      <c r="I163">
        <v>178</v>
      </c>
      <c r="J163">
        <v>0</v>
      </c>
      <c r="K163">
        <v>0.8</v>
      </c>
      <c r="L163">
        <v>2</v>
      </c>
      <c r="M163">
        <v>2</v>
      </c>
      <c r="N163">
        <v>1</v>
      </c>
    </row>
    <row r="164" spans="1:14" x14ac:dyDescent="0.25">
      <c r="A164">
        <v>57</v>
      </c>
      <c r="B164" s="32" t="str">
        <f>IF(A164&lt;30,"20-29",IF(A164&lt;40,"30-39",IF(A164&lt;50,"40-49",IF(A164&lt;60,"50-59",IF(A164&lt;70,"60-69",IF(A164&lt;80,"70+"))))))</f>
        <v>50-59</v>
      </c>
      <c r="C164">
        <v>0</v>
      </c>
      <c r="D164">
        <v>1</v>
      </c>
      <c r="E164">
        <v>130</v>
      </c>
      <c r="F164">
        <v>236</v>
      </c>
      <c r="G164">
        <v>0</v>
      </c>
      <c r="H164">
        <v>0</v>
      </c>
      <c r="I164">
        <v>174</v>
      </c>
      <c r="J164">
        <v>0</v>
      </c>
      <c r="K164">
        <v>0</v>
      </c>
      <c r="L164">
        <v>1</v>
      </c>
      <c r="M164">
        <v>2</v>
      </c>
      <c r="N164">
        <v>0</v>
      </c>
    </row>
    <row r="165" spans="1:14" x14ac:dyDescent="0.25">
      <c r="A165">
        <v>41</v>
      </c>
      <c r="B165" s="32" t="str">
        <f>IF(A165&lt;30,"20-29",IF(A165&lt;40,"30-39",IF(A165&lt;50,"40-49",IF(A165&lt;60,"50-59",IF(A165&lt;70,"60-69",IF(A165&lt;80,"70+"))))))</f>
        <v>40-49</v>
      </c>
      <c r="C165">
        <v>1</v>
      </c>
      <c r="D165">
        <v>1</v>
      </c>
      <c r="E165">
        <v>110</v>
      </c>
      <c r="F165">
        <v>235</v>
      </c>
      <c r="G165">
        <v>0</v>
      </c>
      <c r="H165">
        <v>1</v>
      </c>
      <c r="I165">
        <v>153</v>
      </c>
      <c r="J165">
        <v>0</v>
      </c>
      <c r="K165">
        <v>0</v>
      </c>
      <c r="L165">
        <v>2</v>
      </c>
      <c r="M165">
        <v>2</v>
      </c>
      <c r="N165">
        <v>1</v>
      </c>
    </row>
    <row r="166" spans="1:14" x14ac:dyDescent="0.25">
      <c r="A166">
        <v>44</v>
      </c>
      <c r="B166" s="32" t="str">
        <f>IF(A166&lt;30,"20-29",IF(A166&lt;40,"30-39",IF(A166&lt;50,"40-49",IF(A166&lt;60,"50-59",IF(A166&lt;70,"60-69",IF(A166&lt;80,"70+"))))))</f>
        <v>40-49</v>
      </c>
      <c r="C166">
        <v>1</v>
      </c>
      <c r="D166">
        <v>2</v>
      </c>
      <c r="E166">
        <v>140</v>
      </c>
      <c r="F166">
        <v>235</v>
      </c>
      <c r="G166">
        <v>0</v>
      </c>
      <c r="H166">
        <v>0</v>
      </c>
      <c r="I166">
        <v>180</v>
      </c>
      <c r="J166">
        <v>0</v>
      </c>
      <c r="K166">
        <v>0</v>
      </c>
      <c r="L166">
        <v>2</v>
      </c>
      <c r="M166">
        <v>2</v>
      </c>
      <c r="N166">
        <v>1</v>
      </c>
    </row>
    <row r="167" spans="1:14" x14ac:dyDescent="0.25">
      <c r="A167">
        <v>61</v>
      </c>
      <c r="B167" s="32" t="str">
        <f>IF(A167&lt;30,"20-29",IF(A167&lt;40,"30-39",IF(A167&lt;50,"40-49",IF(A167&lt;60,"50-59",IF(A167&lt;70,"60-69",IF(A167&lt;80,"70+"))))))</f>
        <v>60-69</v>
      </c>
      <c r="C167">
        <v>1</v>
      </c>
      <c r="D167">
        <v>3</v>
      </c>
      <c r="E167">
        <v>134</v>
      </c>
      <c r="F167">
        <v>234</v>
      </c>
      <c r="G167">
        <v>0</v>
      </c>
      <c r="H167">
        <v>1</v>
      </c>
      <c r="I167">
        <v>145</v>
      </c>
      <c r="J167">
        <v>0</v>
      </c>
      <c r="K167">
        <v>2.6</v>
      </c>
      <c r="L167">
        <v>1</v>
      </c>
      <c r="M167">
        <v>2</v>
      </c>
      <c r="N167">
        <v>0</v>
      </c>
    </row>
    <row r="168" spans="1:14" x14ac:dyDescent="0.25">
      <c r="A168">
        <v>69</v>
      </c>
      <c r="B168" s="32" t="str">
        <f>IF(A168&lt;30,"20-29",IF(A168&lt;40,"30-39",IF(A168&lt;50,"40-49",IF(A168&lt;60,"50-59",IF(A168&lt;70,"60-69",IF(A168&lt;80,"70+"))))))</f>
        <v>60-69</v>
      </c>
      <c r="C168">
        <v>1</v>
      </c>
      <c r="D168">
        <v>3</v>
      </c>
      <c r="E168">
        <v>160</v>
      </c>
      <c r="F168">
        <v>234</v>
      </c>
      <c r="G168">
        <v>1</v>
      </c>
      <c r="H168">
        <v>0</v>
      </c>
      <c r="I168">
        <v>131</v>
      </c>
      <c r="J168">
        <v>0</v>
      </c>
      <c r="K168">
        <v>0.1</v>
      </c>
      <c r="L168">
        <v>1</v>
      </c>
      <c r="M168">
        <v>2</v>
      </c>
      <c r="N168">
        <v>1</v>
      </c>
    </row>
    <row r="169" spans="1:14" x14ac:dyDescent="0.25">
      <c r="A169">
        <v>58</v>
      </c>
      <c r="B169" s="32" t="str">
        <f>IF(A169&lt;30,"20-29",IF(A169&lt;40,"30-39",IF(A169&lt;50,"40-49",IF(A169&lt;60,"50-59",IF(A169&lt;70,"60-69",IF(A169&lt;80,"70+"))))))</f>
        <v>50-59</v>
      </c>
      <c r="C169">
        <v>1</v>
      </c>
      <c r="D169">
        <v>0</v>
      </c>
      <c r="E169">
        <v>100</v>
      </c>
      <c r="F169">
        <v>234</v>
      </c>
      <c r="G169">
        <v>0</v>
      </c>
      <c r="H169">
        <v>1</v>
      </c>
      <c r="I169">
        <v>156</v>
      </c>
      <c r="J169">
        <v>0</v>
      </c>
      <c r="K169">
        <v>0.1</v>
      </c>
      <c r="L169">
        <v>2</v>
      </c>
      <c r="M169">
        <v>3</v>
      </c>
      <c r="N169">
        <v>0</v>
      </c>
    </row>
    <row r="170" spans="1:14" x14ac:dyDescent="0.25">
      <c r="A170">
        <v>45</v>
      </c>
      <c r="B170" s="32" t="str">
        <f>IF(A170&lt;30,"20-29",IF(A170&lt;40,"30-39",IF(A170&lt;50,"40-49",IF(A170&lt;60,"50-59",IF(A170&lt;70,"60-69",IF(A170&lt;80,"70+"))))))</f>
        <v>40-49</v>
      </c>
      <c r="C170">
        <v>0</v>
      </c>
      <c r="D170">
        <v>1</v>
      </c>
      <c r="E170">
        <v>130</v>
      </c>
      <c r="F170">
        <v>234</v>
      </c>
      <c r="G170">
        <v>0</v>
      </c>
      <c r="H170">
        <v>0</v>
      </c>
      <c r="I170">
        <v>175</v>
      </c>
      <c r="J170">
        <v>0</v>
      </c>
      <c r="K170">
        <v>0.6</v>
      </c>
      <c r="L170">
        <v>1</v>
      </c>
      <c r="M170">
        <v>2</v>
      </c>
      <c r="N170">
        <v>1</v>
      </c>
    </row>
    <row r="171" spans="1:14" x14ac:dyDescent="0.25">
      <c r="A171">
        <v>59</v>
      </c>
      <c r="B171" s="32" t="str">
        <f>IF(A171&lt;30,"20-29",IF(A171&lt;40,"30-39",IF(A171&lt;50,"40-49",IF(A171&lt;60,"50-59",IF(A171&lt;70,"60-69",IF(A171&lt;80,"70+"))))))</f>
        <v>50-59</v>
      </c>
      <c r="C171">
        <v>1</v>
      </c>
      <c r="D171">
        <v>0</v>
      </c>
      <c r="E171">
        <v>135</v>
      </c>
      <c r="F171">
        <v>234</v>
      </c>
      <c r="G171">
        <v>0</v>
      </c>
      <c r="H171">
        <v>1</v>
      </c>
      <c r="I171">
        <v>161</v>
      </c>
      <c r="J171">
        <v>0</v>
      </c>
      <c r="K171">
        <v>0.5</v>
      </c>
      <c r="L171">
        <v>1</v>
      </c>
      <c r="M171">
        <v>3</v>
      </c>
      <c r="N171">
        <v>1</v>
      </c>
    </row>
    <row r="172" spans="1:14" x14ac:dyDescent="0.25">
      <c r="A172">
        <v>53</v>
      </c>
      <c r="B172" s="32" t="str">
        <f>IF(A172&lt;30,"20-29",IF(A172&lt;40,"30-39",IF(A172&lt;50,"40-49",IF(A172&lt;60,"50-59",IF(A172&lt;70,"60-69",IF(A172&lt;80,"70+"))))))</f>
        <v>50-59</v>
      </c>
      <c r="C172">
        <v>0</v>
      </c>
      <c r="D172">
        <v>0</v>
      </c>
      <c r="E172">
        <v>138</v>
      </c>
      <c r="F172">
        <v>234</v>
      </c>
      <c r="G172">
        <v>0</v>
      </c>
      <c r="H172">
        <v>0</v>
      </c>
      <c r="I172">
        <v>160</v>
      </c>
      <c r="J172">
        <v>0</v>
      </c>
      <c r="K172">
        <v>0</v>
      </c>
      <c r="L172">
        <v>2</v>
      </c>
      <c r="M172">
        <v>2</v>
      </c>
      <c r="N172">
        <v>1</v>
      </c>
    </row>
    <row r="173" spans="1:14" x14ac:dyDescent="0.25">
      <c r="A173">
        <v>44</v>
      </c>
      <c r="B173" s="32" t="str">
        <f>IF(A173&lt;30,"20-29",IF(A173&lt;40,"30-39",IF(A173&lt;50,"40-49",IF(A173&lt;60,"50-59",IF(A173&lt;70,"60-69",IF(A173&lt;80,"70+"))))))</f>
        <v>40-49</v>
      </c>
      <c r="C173">
        <v>1</v>
      </c>
      <c r="D173">
        <v>2</v>
      </c>
      <c r="E173">
        <v>130</v>
      </c>
      <c r="F173">
        <v>233</v>
      </c>
      <c r="G173">
        <v>0</v>
      </c>
      <c r="H173">
        <v>1</v>
      </c>
      <c r="I173">
        <v>179</v>
      </c>
      <c r="J173">
        <v>1</v>
      </c>
      <c r="K173">
        <v>0.4</v>
      </c>
      <c r="L173">
        <v>2</v>
      </c>
      <c r="M173">
        <v>2</v>
      </c>
      <c r="N173">
        <v>1</v>
      </c>
    </row>
    <row r="174" spans="1:14" x14ac:dyDescent="0.25">
      <c r="A174">
        <v>50</v>
      </c>
      <c r="B174" s="32" t="str">
        <f>IF(A174&lt;30,"20-29",IF(A174&lt;40,"30-39",IF(A174&lt;50,"40-49",IF(A174&lt;60,"50-59",IF(A174&lt;70,"60-69",IF(A174&lt;80,"70+"))))))</f>
        <v>50-59</v>
      </c>
      <c r="C174">
        <v>1</v>
      </c>
      <c r="D174">
        <v>2</v>
      </c>
      <c r="E174">
        <v>140</v>
      </c>
      <c r="F174">
        <v>233</v>
      </c>
      <c r="G174">
        <v>0</v>
      </c>
      <c r="H174">
        <v>1</v>
      </c>
      <c r="I174">
        <v>163</v>
      </c>
      <c r="J174">
        <v>0</v>
      </c>
      <c r="K174">
        <v>0.6</v>
      </c>
      <c r="L174">
        <v>1</v>
      </c>
      <c r="M174">
        <v>3</v>
      </c>
      <c r="N174">
        <v>0</v>
      </c>
    </row>
    <row r="175" spans="1:14" x14ac:dyDescent="0.25">
      <c r="A175">
        <v>52</v>
      </c>
      <c r="B175" s="32" t="str">
        <f>IF(A175&lt;30,"20-29",IF(A175&lt;40,"30-39",IF(A175&lt;50,"40-49",IF(A175&lt;60,"50-59",IF(A175&lt;70,"60-69",IF(A175&lt;80,"70+"))))))</f>
        <v>50-59</v>
      </c>
      <c r="C175">
        <v>1</v>
      </c>
      <c r="D175">
        <v>0</v>
      </c>
      <c r="E175">
        <v>108</v>
      </c>
      <c r="F175">
        <v>233</v>
      </c>
      <c r="G175">
        <v>1</v>
      </c>
      <c r="H175">
        <v>1</v>
      </c>
      <c r="I175">
        <v>147</v>
      </c>
      <c r="J175">
        <v>0</v>
      </c>
      <c r="K175">
        <v>0.1</v>
      </c>
      <c r="L175">
        <v>2</v>
      </c>
      <c r="M175">
        <v>3</v>
      </c>
      <c r="N175">
        <v>1</v>
      </c>
    </row>
    <row r="176" spans="1:14" x14ac:dyDescent="0.25">
      <c r="A176">
        <v>63</v>
      </c>
      <c r="B176" s="32" t="str">
        <f>IF(A176&lt;30,"20-29",IF(A176&lt;40,"30-39",IF(A176&lt;50,"40-49",IF(A176&lt;60,"50-59",IF(A176&lt;70,"60-69",IF(A176&lt;80,"70+"))))))</f>
        <v>60-69</v>
      </c>
      <c r="C176">
        <v>1</v>
      </c>
      <c r="D176">
        <v>3</v>
      </c>
      <c r="E176">
        <v>145</v>
      </c>
      <c r="F176">
        <v>233</v>
      </c>
      <c r="G176">
        <v>1</v>
      </c>
      <c r="H176">
        <v>0</v>
      </c>
      <c r="I176">
        <v>150</v>
      </c>
      <c r="J176">
        <v>0</v>
      </c>
      <c r="K176">
        <v>2.2999999999999998</v>
      </c>
      <c r="L176">
        <v>0</v>
      </c>
      <c r="M176">
        <v>1</v>
      </c>
      <c r="N176">
        <v>1</v>
      </c>
    </row>
    <row r="177" spans="1:14" x14ac:dyDescent="0.25">
      <c r="A177">
        <v>57</v>
      </c>
      <c r="B177" s="32" t="str">
        <f>IF(A177&lt;30,"20-29",IF(A177&lt;40,"30-39",IF(A177&lt;50,"40-49",IF(A177&lt;60,"50-59",IF(A177&lt;70,"60-69",IF(A177&lt;80,"70+"))))))</f>
        <v>50-59</v>
      </c>
      <c r="C177">
        <v>1</v>
      </c>
      <c r="D177">
        <v>1</v>
      </c>
      <c r="E177">
        <v>154</v>
      </c>
      <c r="F177">
        <v>232</v>
      </c>
      <c r="G177">
        <v>0</v>
      </c>
      <c r="H177">
        <v>0</v>
      </c>
      <c r="I177">
        <v>164</v>
      </c>
      <c r="J177">
        <v>0</v>
      </c>
      <c r="K177">
        <v>0</v>
      </c>
      <c r="L177">
        <v>2</v>
      </c>
      <c r="M177">
        <v>2</v>
      </c>
      <c r="N177">
        <v>0</v>
      </c>
    </row>
    <row r="178" spans="1:14" x14ac:dyDescent="0.25">
      <c r="A178">
        <v>54</v>
      </c>
      <c r="B178" s="32" t="str">
        <f>IF(A178&lt;30,"20-29",IF(A178&lt;40,"30-39",IF(A178&lt;50,"40-49",IF(A178&lt;60,"50-59",IF(A178&lt;70,"60-69",IF(A178&lt;80,"70+"))))))</f>
        <v>50-59</v>
      </c>
      <c r="C178">
        <v>1</v>
      </c>
      <c r="D178">
        <v>2</v>
      </c>
      <c r="E178">
        <v>150</v>
      </c>
      <c r="F178">
        <v>232</v>
      </c>
      <c r="G178">
        <v>0</v>
      </c>
      <c r="H178">
        <v>0</v>
      </c>
      <c r="I178">
        <v>165</v>
      </c>
      <c r="J178">
        <v>0</v>
      </c>
      <c r="K178">
        <v>1.6</v>
      </c>
      <c r="L178">
        <v>2</v>
      </c>
      <c r="M178">
        <v>3</v>
      </c>
      <c r="N178">
        <v>1</v>
      </c>
    </row>
    <row r="179" spans="1:14" x14ac:dyDescent="0.25">
      <c r="A179">
        <v>46</v>
      </c>
      <c r="B179" s="32" t="str">
        <f>IF(A179&lt;30,"20-29",IF(A179&lt;40,"30-39",IF(A179&lt;50,"40-49",IF(A179&lt;60,"50-59",IF(A179&lt;70,"60-69",IF(A179&lt;80,"70+"))))))</f>
        <v>40-49</v>
      </c>
      <c r="C179">
        <v>1</v>
      </c>
      <c r="D179">
        <v>2</v>
      </c>
      <c r="E179">
        <v>150</v>
      </c>
      <c r="F179">
        <v>231</v>
      </c>
      <c r="G179">
        <v>0</v>
      </c>
      <c r="H179">
        <v>1</v>
      </c>
      <c r="I179">
        <v>147</v>
      </c>
      <c r="J179">
        <v>0</v>
      </c>
      <c r="K179">
        <v>3.6</v>
      </c>
      <c r="L179">
        <v>1</v>
      </c>
      <c r="M179">
        <v>2</v>
      </c>
      <c r="N179">
        <v>0</v>
      </c>
    </row>
    <row r="180" spans="1:14" x14ac:dyDescent="0.25">
      <c r="A180">
        <v>62</v>
      </c>
      <c r="B180" s="32" t="str">
        <f>IF(A180&lt;30,"20-29",IF(A180&lt;40,"30-39",IF(A180&lt;50,"40-49",IF(A180&lt;60,"50-59",IF(A180&lt;70,"60-69",IF(A180&lt;80,"70+"))))))</f>
        <v>60-69</v>
      </c>
      <c r="C180">
        <v>1</v>
      </c>
      <c r="D180">
        <v>2</v>
      </c>
      <c r="E180">
        <v>130</v>
      </c>
      <c r="F180">
        <v>231</v>
      </c>
      <c r="G180">
        <v>0</v>
      </c>
      <c r="H180">
        <v>1</v>
      </c>
      <c r="I180">
        <v>146</v>
      </c>
      <c r="J180">
        <v>0</v>
      </c>
      <c r="K180">
        <v>1.8</v>
      </c>
      <c r="L180">
        <v>1</v>
      </c>
      <c r="M180">
        <v>3</v>
      </c>
      <c r="N180">
        <v>1</v>
      </c>
    </row>
    <row r="181" spans="1:14" x14ac:dyDescent="0.25">
      <c r="A181">
        <v>38</v>
      </c>
      <c r="B181" s="32" t="str">
        <f>IF(A181&lt;30,"20-29",IF(A181&lt;40,"30-39",IF(A181&lt;50,"40-49",IF(A181&lt;60,"50-59",IF(A181&lt;70,"60-69",IF(A181&lt;80,"70+"))))))</f>
        <v>30-39</v>
      </c>
      <c r="C181">
        <v>1</v>
      </c>
      <c r="D181">
        <v>3</v>
      </c>
      <c r="E181">
        <v>120</v>
      </c>
      <c r="F181">
        <v>231</v>
      </c>
      <c r="G181">
        <v>0</v>
      </c>
      <c r="H181">
        <v>1</v>
      </c>
      <c r="I181">
        <v>182</v>
      </c>
      <c r="J181">
        <v>1</v>
      </c>
      <c r="K181">
        <v>3.8</v>
      </c>
      <c r="L181">
        <v>1</v>
      </c>
      <c r="M181">
        <v>3</v>
      </c>
      <c r="N181">
        <v>0</v>
      </c>
    </row>
    <row r="182" spans="1:14" x14ac:dyDescent="0.25">
      <c r="A182">
        <v>60</v>
      </c>
      <c r="B182" s="32" t="str">
        <f>IF(A182&lt;30,"20-29",IF(A182&lt;40,"30-39",IF(A182&lt;50,"40-49",IF(A182&lt;60,"50-59",IF(A182&lt;70,"60-69",IF(A182&lt;80,"70+"))))))</f>
        <v>60-69</v>
      </c>
      <c r="C182">
        <v>1</v>
      </c>
      <c r="D182">
        <v>0</v>
      </c>
      <c r="E182">
        <v>117</v>
      </c>
      <c r="F182">
        <v>230</v>
      </c>
      <c r="G182">
        <v>1</v>
      </c>
      <c r="H182">
        <v>1</v>
      </c>
      <c r="I182">
        <v>160</v>
      </c>
      <c r="J182">
        <v>1</v>
      </c>
      <c r="K182">
        <v>1.4</v>
      </c>
      <c r="L182">
        <v>2</v>
      </c>
      <c r="M182">
        <v>3</v>
      </c>
      <c r="N182">
        <v>0</v>
      </c>
    </row>
    <row r="183" spans="1:14" x14ac:dyDescent="0.25">
      <c r="A183">
        <v>58</v>
      </c>
      <c r="B183" s="32" t="str">
        <f>IF(A183&lt;30,"20-29",IF(A183&lt;40,"30-39",IF(A183&lt;50,"40-49",IF(A183&lt;60,"50-59",IF(A183&lt;70,"60-69",IF(A183&lt;80,"70+"))))))</f>
        <v>50-59</v>
      </c>
      <c r="C183">
        <v>1</v>
      </c>
      <c r="D183">
        <v>2</v>
      </c>
      <c r="E183">
        <v>112</v>
      </c>
      <c r="F183">
        <v>230</v>
      </c>
      <c r="G183">
        <v>0</v>
      </c>
      <c r="H183">
        <v>0</v>
      </c>
      <c r="I183">
        <v>165</v>
      </c>
      <c r="J183">
        <v>0</v>
      </c>
      <c r="K183">
        <v>2.5</v>
      </c>
      <c r="L183">
        <v>1</v>
      </c>
      <c r="M183">
        <v>3</v>
      </c>
      <c r="N183">
        <v>0</v>
      </c>
    </row>
    <row r="184" spans="1:14" x14ac:dyDescent="0.25">
      <c r="A184">
        <v>52</v>
      </c>
      <c r="B184" s="32" t="str">
        <f>IF(A184&lt;30,"20-29",IF(A184&lt;40,"30-39",IF(A184&lt;50,"40-49",IF(A184&lt;60,"50-59",IF(A184&lt;70,"60-69",IF(A184&lt;80,"70+"))))))</f>
        <v>50-59</v>
      </c>
      <c r="C184">
        <v>1</v>
      </c>
      <c r="D184">
        <v>0</v>
      </c>
      <c r="E184">
        <v>112</v>
      </c>
      <c r="F184">
        <v>230</v>
      </c>
      <c r="G184">
        <v>0</v>
      </c>
      <c r="H184">
        <v>1</v>
      </c>
      <c r="I184">
        <v>160</v>
      </c>
      <c r="J184">
        <v>0</v>
      </c>
      <c r="K184">
        <v>0</v>
      </c>
      <c r="L184">
        <v>2</v>
      </c>
      <c r="M184">
        <v>2</v>
      </c>
      <c r="N184">
        <v>0</v>
      </c>
    </row>
    <row r="185" spans="1:14" x14ac:dyDescent="0.25">
      <c r="A185">
        <v>57</v>
      </c>
      <c r="B185" s="32" t="str">
        <f>IF(A185&lt;30,"20-29",IF(A185&lt;40,"30-39",IF(A185&lt;50,"40-49",IF(A185&lt;60,"50-59",IF(A185&lt;70,"60-69",IF(A185&lt;80,"70+"))))))</f>
        <v>50-59</v>
      </c>
      <c r="C185">
        <v>1</v>
      </c>
      <c r="D185">
        <v>2</v>
      </c>
      <c r="E185">
        <v>128</v>
      </c>
      <c r="F185">
        <v>229</v>
      </c>
      <c r="G185">
        <v>0</v>
      </c>
      <c r="H185">
        <v>0</v>
      </c>
      <c r="I185">
        <v>150</v>
      </c>
      <c r="J185">
        <v>0</v>
      </c>
      <c r="K185">
        <v>0.4</v>
      </c>
      <c r="L185">
        <v>1</v>
      </c>
      <c r="M185">
        <v>3</v>
      </c>
      <c r="N185">
        <v>0</v>
      </c>
    </row>
    <row r="186" spans="1:14" x14ac:dyDescent="0.25">
      <c r="A186">
        <v>48</v>
      </c>
      <c r="B186" s="32" t="str">
        <f>IF(A186&lt;30,"20-29",IF(A186&lt;40,"30-39",IF(A186&lt;50,"40-49",IF(A186&lt;60,"50-59",IF(A186&lt;70,"60-69",IF(A186&lt;80,"70+"))))))</f>
        <v>40-49</v>
      </c>
      <c r="C186">
        <v>1</v>
      </c>
      <c r="D186">
        <v>1</v>
      </c>
      <c r="E186">
        <v>110</v>
      </c>
      <c r="F186">
        <v>229</v>
      </c>
      <c r="G186">
        <v>0</v>
      </c>
      <c r="H186">
        <v>1</v>
      </c>
      <c r="I186">
        <v>168</v>
      </c>
      <c r="J186">
        <v>0</v>
      </c>
      <c r="K186">
        <v>1</v>
      </c>
      <c r="L186">
        <v>0</v>
      </c>
      <c r="M186">
        <v>3</v>
      </c>
      <c r="N186">
        <v>0</v>
      </c>
    </row>
    <row r="187" spans="1:14" x14ac:dyDescent="0.25">
      <c r="A187">
        <v>67</v>
      </c>
      <c r="B187" s="32" t="str">
        <f>IF(A187&lt;30,"20-29",IF(A187&lt;40,"30-39",IF(A187&lt;50,"40-49",IF(A187&lt;60,"50-59",IF(A187&lt;70,"60-69",IF(A187&lt;80,"70+"))))))</f>
        <v>60-69</v>
      </c>
      <c r="C187">
        <v>1</v>
      </c>
      <c r="D187">
        <v>0</v>
      </c>
      <c r="E187">
        <v>120</v>
      </c>
      <c r="F187">
        <v>229</v>
      </c>
      <c r="G187">
        <v>0</v>
      </c>
      <c r="H187">
        <v>0</v>
      </c>
      <c r="I187">
        <v>129</v>
      </c>
      <c r="J187">
        <v>1</v>
      </c>
      <c r="K187">
        <v>2.6</v>
      </c>
      <c r="L187">
        <v>1</v>
      </c>
      <c r="M187">
        <v>3</v>
      </c>
      <c r="N187">
        <v>0</v>
      </c>
    </row>
    <row r="188" spans="1:14" x14ac:dyDescent="0.25">
      <c r="A188">
        <v>66</v>
      </c>
      <c r="B188" s="32" t="str">
        <f>IF(A188&lt;30,"20-29",IF(A188&lt;40,"30-39",IF(A188&lt;50,"40-49",IF(A188&lt;60,"50-59",IF(A188&lt;70,"60-69",IF(A188&lt;80,"70+"))))))</f>
        <v>60-69</v>
      </c>
      <c r="C188">
        <v>0</v>
      </c>
      <c r="D188">
        <v>0</v>
      </c>
      <c r="E188">
        <v>178</v>
      </c>
      <c r="F188">
        <v>228</v>
      </c>
      <c r="G188">
        <v>1</v>
      </c>
      <c r="H188">
        <v>1</v>
      </c>
      <c r="I188">
        <v>165</v>
      </c>
      <c r="J188">
        <v>1</v>
      </c>
      <c r="K188">
        <v>1</v>
      </c>
      <c r="L188">
        <v>1</v>
      </c>
      <c r="M188">
        <v>3</v>
      </c>
      <c r="N188">
        <v>0</v>
      </c>
    </row>
    <row r="189" spans="1:14" x14ac:dyDescent="0.25">
      <c r="A189">
        <v>66</v>
      </c>
      <c r="B189" s="32" t="str">
        <f>IF(A189&lt;30,"20-29",IF(A189&lt;40,"30-39",IF(A189&lt;50,"40-49",IF(A189&lt;60,"50-59",IF(A189&lt;70,"60-69",IF(A189&lt;80,"70+"))))))</f>
        <v>60-69</v>
      </c>
      <c r="C189">
        <v>1</v>
      </c>
      <c r="D189">
        <v>0</v>
      </c>
      <c r="E189">
        <v>160</v>
      </c>
      <c r="F189">
        <v>228</v>
      </c>
      <c r="G189">
        <v>0</v>
      </c>
      <c r="H189">
        <v>0</v>
      </c>
      <c r="I189">
        <v>138</v>
      </c>
      <c r="J189">
        <v>0</v>
      </c>
      <c r="K189">
        <v>2.2999999999999998</v>
      </c>
      <c r="L189">
        <v>2</v>
      </c>
      <c r="M189">
        <v>1</v>
      </c>
      <c r="N189">
        <v>1</v>
      </c>
    </row>
    <row r="190" spans="1:14" x14ac:dyDescent="0.25">
      <c r="A190">
        <v>64</v>
      </c>
      <c r="B190" s="32" t="str">
        <f>IF(A190&lt;30,"20-29",IF(A190&lt;40,"30-39",IF(A190&lt;50,"40-49",IF(A190&lt;60,"50-59",IF(A190&lt;70,"60-69",IF(A190&lt;80,"70+"))))))</f>
        <v>60-69</v>
      </c>
      <c r="C190">
        <v>1</v>
      </c>
      <c r="D190">
        <v>3</v>
      </c>
      <c r="E190">
        <v>170</v>
      </c>
      <c r="F190">
        <v>227</v>
      </c>
      <c r="G190">
        <v>0</v>
      </c>
      <c r="H190">
        <v>0</v>
      </c>
      <c r="I190">
        <v>155</v>
      </c>
      <c r="J190">
        <v>0</v>
      </c>
      <c r="K190">
        <v>0.6</v>
      </c>
      <c r="L190">
        <v>1</v>
      </c>
      <c r="M190">
        <v>3</v>
      </c>
      <c r="N190">
        <v>1</v>
      </c>
    </row>
    <row r="191" spans="1:14" x14ac:dyDescent="0.25">
      <c r="A191">
        <v>51</v>
      </c>
      <c r="B191" s="32" t="str">
        <f>IF(A191&lt;30,"20-29",IF(A191&lt;40,"30-39",IF(A191&lt;50,"40-49",IF(A191&lt;60,"50-59",IF(A191&lt;70,"60-69",IF(A191&lt;80,"70+"))))))</f>
        <v>50-59</v>
      </c>
      <c r="C191">
        <v>1</v>
      </c>
      <c r="D191">
        <v>2</v>
      </c>
      <c r="E191">
        <v>94</v>
      </c>
      <c r="F191">
        <v>227</v>
      </c>
      <c r="G191">
        <v>0</v>
      </c>
      <c r="H191">
        <v>1</v>
      </c>
      <c r="I191">
        <v>154</v>
      </c>
      <c r="J191">
        <v>1</v>
      </c>
      <c r="K191">
        <v>0</v>
      </c>
      <c r="L191">
        <v>2</v>
      </c>
      <c r="M191">
        <v>3</v>
      </c>
      <c r="N191">
        <v>1</v>
      </c>
    </row>
    <row r="192" spans="1:14" x14ac:dyDescent="0.25">
      <c r="A192">
        <v>42</v>
      </c>
      <c r="B192" s="32" t="str">
        <f>IF(A192&lt;30,"20-29",IF(A192&lt;40,"30-39",IF(A192&lt;50,"40-49",IF(A192&lt;60,"50-59",IF(A192&lt;70,"60-69",IF(A192&lt;80,"70+"))))))</f>
        <v>40-49</v>
      </c>
      <c r="C192">
        <v>1</v>
      </c>
      <c r="D192">
        <v>0</v>
      </c>
      <c r="E192">
        <v>140</v>
      </c>
      <c r="F192">
        <v>226</v>
      </c>
      <c r="G192">
        <v>0</v>
      </c>
      <c r="H192">
        <v>1</v>
      </c>
      <c r="I192">
        <v>178</v>
      </c>
      <c r="J192">
        <v>0</v>
      </c>
      <c r="K192">
        <v>0</v>
      </c>
      <c r="L192">
        <v>2</v>
      </c>
      <c r="M192">
        <v>2</v>
      </c>
      <c r="N192">
        <v>1</v>
      </c>
    </row>
    <row r="193" spans="1:14" x14ac:dyDescent="0.25">
      <c r="A193">
        <v>53</v>
      </c>
      <c r="B193" s="32" t="str">
        <f>IF(A193&lt;30,"20-29",IF(A193&lt;40,"30-39",IF(A193&lt;50,"40-49",IF(A193&lt;60,"50-59",IF(A193&lt;70,"60-69",IF(A193&lt;80,"70+"))))))</f>
        <v>50-59</v>
      </c>
      <c r="C193">
        <v>1</v>
      </c>
      <c r="D193">
        <v>0</v>
      </c>
      <c r="E193">
        <v>142</v>
      </c>
      <c r="F193">
        <v>226</v>
      </c>
      <c r="G193">
        <v>0</v>
      </c>
      <c r="H193">
        <v>0</v>
      </c>
      <c r="I193">
        <v>111</v>
      </c>
      <c r="J193">
        <v>1</v>
      </c>
      <c r="K193">
        <v>0</v>
      </c>
      <c r="L193">
        <v>2</v>
      </c>
      <c r="M193">
        <v>3</v>
      </c>
      <c r="N193">
        <v>1</v>
      </c>
    </row>
    <row r="194" spans="1:14" x14ac:dyDescent="0.25">
      <c r="A194">
        <v>44</v>
      </c>
      <c r="B194" s="32" t="str">
        <f>IF(A194&lt;30,"20-29",IF(A194&lt;40,"30-39",IF(A194&lt;50,"40-49",IF(A194&lt;60,"50-59",IF(A194&lt;70,"60-69",IF(A194&lt;80,"70+"))))))</f>
        <v>40-49</v>
      </c>
      <c r="C194">
        <v>1</v>
      </c>
      <c r="D194">
        <v>2</v>
      </c>
      <c r="E194">
        <v>120</v>
      </c>
      <c r="F194">
        <v>226</v>
      </c>
      <c r="G194">
        <v>0</v>
      </c>
      <c r="H194">
        <v>1</v>
      </c>
      <c r="I194">
        <v>169</v>
      </c>
      <c r="J194">
        <v>0</v>
      </c>
      <c r="K194">
        <v>0</v>
      </c>
      <c r="L194">
        <v>2</v>
      </c>
      <c r="M194">
        <v>2</v>
      </c>
      <c r="N194">
        <v>1</v>
      </c>
    </row>
    <row r="195" spans="1:14" x14ac:dyDescent="0.25">
      <c r="A195">
        <v>66</v>
      </c>
      <c r="B195" s="32" t="str">
        <f>IF(A195&lt;30,"20-29",IF(A195&lt;40,"30-39",IF(A195&lt;50,"40-49",IF(A195&lt;60,"50-59",IF(A195&lt;70,"60-69",IF(A195&lt;80,"70+"))))))</f>
        <v>60-69</v>
      </c>
      <c r="C195">
        <v>0</v>
      </c>
      <c r="D195">
        <v>3</v>
      </c>
      <c r="E195">
        <v>150</v>
      </c>
      <c r="F195">
        <v>226</v>
      </c>
      <c r="G195">
        <v>0</v>
      </c>
      <c r="H195">
        <v>1</v>
      </c>
      <c r="I195">
        <v>114</v>
      </c>
      <c r="J195">
        <v>0</v>
      </c>
      <c r="K195">
        <v>2.6</v>
      </c>
      <c r="L195">
        <v>0</v>
      </c>
      <c r="M195">
        <v>2</v>
      </c>
      <c r="N195">
        <v>1</v>
      </c>
    </row>
    <row r="196" spans="1:14" x14ac:dyDescent="0.25">
      <c r="A196">
        <v>58</v>
      </c>
      <c r="B196" s="32" t="str">
        <f>IF(A196&lt;30,"20-29",IF(A196&lt;40,"30-39",IF(A196&lt;50,"40-49",IF(A196&lt;60,"50-59",IF(A196&lt;70,"60-69",IF(A196&lt;80,"70+"))))))</f>
        <v>50-59</v>
      </c>
      <c r="C196">
        <v>0</v>
      </c>
      <c r="D196">
        <v>0</v>
      </c>
      <c r="E196">
        <v>170</v>
      </c>
      <c r="F196">
        <v>225</v>
      </c>
      <c r="G196">
        <v>1</v>
      </c>
      <c r="H196">
        <v>0</v>
      </c>
      <c r="I196">
        <v>146</v>
      </c>
      <c r="J196">
        <v>1</v>
      </c>
      <c r="K196">
        <v>2.8</v>
      </c>
      <c r="L196">
        <v>1</v>
      </c>
      <c r="M196">
        <v>1</v>
      </c>
      <c r="N196">
        <v>0</v>
      </c>
    </row>
    <row r="197" spans="1:14" x14ac:dyDescent="0.25">
      <c r="A197">
        <v>65</v>
      </c>
      <c r="B197" s="32" t="str">
        <f>IF(A197&lt;30,"20-29",IF(A197&lt;40,"30-39",IF(A197&lt;50,"40-49",IF(A197&lt;60,"50-59",IF(A197&lt;70,"60-69",IF(A197&lt;80,"70+"))))))</f>
        <v>60-69</v>
      </c>
      <c r="C197">
        <v>0</v>
      </c>
      <c r="D197">
        <v>0</v>
      </c>
      <c r="E197">
        <v>150</v>
      </c>
      <c r="F197">
        <v>225</v>
      </c>
      <c r="G197">
        <v>0</v>
      </c>
      <c r="H197">
        <v>0</v>
      </c>
      <c r="I197">
        <v>114</v>
      </c>
      <c r="J197">
        <v>0</v>
      </c>
      <c r="K197">
        <v>1</v>
      </c>
      <c r="L197">
        <v>1</v>
      </c>
      <c r="M197">
        <v>3</v>
      </c>
      <c r="N197">
        <v>0</v>
      </c>
    </row>
    <row r="198" spans="1:14" x14ac:dyDescent="0.25">
      <c r="A198">
        <v>58</v>
      </c>
      <c r="B198" s="32" t="str">
        <f>IF(A198&lt;30,"20-29",IF(A198&lt;40,"30-39",IF(A198&lt;50,"40-49",IF(A198&lt;60,"50-59",IF(A198&lt;70,"60-69",IF(A198&lt;80,"70+"))))))</f>
        <v>50-59</v>
      </c>
      <c r="C198">
        <v>1</v>
      </c>
      <c r="D198">
        <v>2</v>
      </c>
      <c r="E198">
        <v>132</v>
      </c>
      <c r="F198">
        <v>224</v>
      </c>
      <c r="G198">
        <v>0</v>
      </c>
      <c r="H198">
        <v>0</v>
      </c>
      <c r="I198">
        <v>173</v>
      </c>
      <c r="J198">
        <v>0</v>
      </c>
      <c r="K198">
        <v>3.2</v>
      </c>
      <c r="L198">
        <v>2</v>
      </c>
      <c r="M198">
        <v>3</v>
      </c>
      <c r="N198">
        <v>0</v>
      </c>
    </row>
    <row r="199" spans="1:14" x14ac:dyDescent="0.25">
      <c r="A199">
        <v>67</v>
      </c>
      <c r="B199" s="32" t="str">
        <f>IF(A199&lt;30,"20-29",IF(A199&lt;40,"30-39",IF(A199&lt;50,"40-49",IF(A199&lt;60,"50-59",IF(A199&lt;70,"60-69",IF(A199&lt;80,"70+"))))))</f>
        <v>60-69</v>
      </c>
      <c r="C199">
        <v>0</v>
      </c>
      <c r="D199">
        <v>0</v>
      </c>
      <c r="E199">
        <v>106</v>
      </c>
      <c r="F199">
        <v>223</v>
      </c>
      <c r="G199">
        <v>0</v>
      </c>
      <c r="H199">
        <v>1</v>
      </c>
      <c r="I199">
        <v>142</v>
      </c>
      <c r="J199">
        <v>0</v>
      </c>
      <c r="K199">
        <v>0.3</v>
      </c>
      <c r="L199">
        <v>2</v>
      </c>
      <c r="M199">
        <v>2</v>
      </c>
      <c r="N199">
        <v>1</v>
      </c>
    </row>
    <row r="200" spans="1:14" x14ac:dyDescent="0.25">
      <c r="A200">
        <v>40</v>
      </c>
      <c r="B200" s="32" t="str">
        <f>IF(A200&lt;30,"20-29",IF(A200&lt;40,"30-39",IF(A200&lt;50,"40-49",IF(A200&lt;60,"50-59",IF(A200&lt;70,"60-69",IF(A200&lt;80,"70+"))))))</f>
        <v>40-49</v>
      </c>
      <c r="C200">
        <v>1</v>
      </c>
      <c r="D200">
        <v>0</v>
      </c>
      <c r="E200">
        <v>152</v>
      </c>
      <c r="F200">
        <v>223</v>
      </c>
      <c r="G200">
        <v>0</v>
      </c>
      <c r="H200">
        <v>1</v>
      </c>
      <c r="I200">
        <v>181</v>
      </c>
      <c r="J200">
        <v>0</v>
      </c>
      <c r="K200">
        <v>0</v>
      </c>
      <c r="L200">
        <v>2</v>
      </c>
      <c r="M200">
        <v>3</v>
      </c>
      <c r="N200">
        <v>0</v>
      </c>
    </row>
    <row r="201" spans="1:14" x14ac:dyDescent="0.25">
      <c r="A201">
        <v>52</v>
      </c>
      <c r="B201" s="32" t="str">
        <f>IF(A201&lt;30,"20-29",IF(A201&lt;40,"30-39",IF(A201&lt;50,"40-49",IF(A201&lt;60,"50-59",IF(A201&lt;70,"60-69",IF(A201&lt;80,"70+"))))))</f>
        <v>50-59</v>
      </c>
      <c r="C201">
        <v>1</v>
      </c>
      <c r="D201">
        <v>2</v>
      </c>
      <c r="E201">
        <v>138</v>
      </c>
      <c r="F201">
        <v>223</v>
      </c>
      <c r="G201">
        <v>0</v>
      </c>
      <c r="H201">
        <v>1</v>
      </c>
      <c r="I201">
        <v>169</v>
      </c>
      <c r="J201">
        <v>0</v>
      </c>
      <c r="K201">
        <v>0</v>
      </c>
      <c r="L201">
        <v>2</v>
      </c>
      <c r="M201">
        <v>2</v>
      </c>
      <c r="N201">
        <v>1</v>
      </c>
    </row>
    <row r="202" spans="1:14" x14ac:dyDescent="0.25">
      <c r="A202">
        <v>51</v>
      </c>
      <c r="B202" s="32" t="str">
        <f>IF(A202&lt;30,"20-29",IF(A202&lt;40,"30-39",IF(A202&lt;50,"40-49",IF(A202&lt;60,"50-59",IF(A202&lt;70,"60-69",IF(A202&lt;80,"70+"))))))</f>
        <v>50-59</v>
      </c>
      <c r="C202">
        <v>1</v>
      </c>
      <c r="D202">
        <v>2</v>
      </c>
      <c r="E202">
        <v>100</v>
      </c>
      <c r="F202">
        <v>222</v>
      </c>
      <c r="G202">
        <v>0</v>
      </c>
      <c r="H202">
        <v>1</v>
      </c>
      <c r="I202">
        <v>143</v>
      </c>
      <c r="J202">
        <v>1</v>
      </c>
      <c r="K202">
        <v>1.2</v>
      </c>
      <c r="L202">
        <v>1</v>
      </c>
      <c r="M202">
        <v>2</v>
      </c>
      <c r="N202">
        <v>1</v>
      </c>
    </row>
    <row r="203" spans="1:14" x14ac:dyDescent="0.25">
      <c r="A203">
        <v>48</v>
      </c>
      <c r="B203" s="32" t="str">
        <f>IF(A203&lt;30,"20-29",IF(A203&lt;40,"30-39",IF(A203&lt;50,"40-49",IF(A203&lt;60,"50-59",IF(A203&lt;70,"60-69",IF(A203&lt;80,"70+"))))))</f>
        <v>40-49</v>
      </c>
      <c r="C203">
        <v>1</v>
      </c>
      <c r="D203">
        <v>0</v>
      </c>
      <c r="E203">
        <v>122</v>
      </c>
      <c r="F203">
        <v>222</v>
      </c>
      <c r="G203">
        <v>0</v>
      </c>
      <c r="H203">
        <v>0</v>
      </c>
      <c r="I203">
        <v>186</v>
      </c>
      <c r="J203">
        <v>0</v>
      </c>
      <c r="K203">
        <v>0</v>
      </c>
      <c r="L203">
        <v>2</v>
      </c>
      <c r="M203">
        <v>2</v>
      </c>
      <c r="N203">
        <v>1</v>
      </c>
    </row>
    <row r="204" spans="1:14" x14ac:dyDescent="0.25">
      <c r="A204">
        <v>59</v>
      </c>
      <c r="B204" s="32" t="str">
        <f>IF(A204&lt;30,"20-29",IF(A204&lt;40,"30-39",IF(A204&lt;50,"40-49",IF(A204&lt;60,"50-59",IF(A204&lt;70,"60-69",IF(A204&lt;80,"70+"))))))</f>
        <v>50-59</v>
      </c>
      <c r="C204">
        <v>1</v>
      </c>
      <c r="D204">
        <v>1</v>
      </c>
      <c r="E204">
        <v>140</v>
      </c>
      <c r="F204">
        <v>221</v>
      </c>
      <c r="G204">
        <v>0</v>
      </c>
      <c r="H204">
        <v>1</v>
      </c>
      <c r="I204">
        <v>164</v>
      </c>
      <c r="J204">
        <v>1</v>
      </c>
      <c r="K204">
        <v>0</v>
      </c>
      <c r="L204">
        <v>2</v>
      </c>
      <c r="M204">
        <v>2</v>
      </c>
      <c r="N204">
        <v>1</v>
      </c>
    </row>
    <row r="205" spans="1:14" x14ac:dyDescent="0.25">
      <c r="A205">
        <v>56</v>
      </c>
      <c r="B205" s="32" t="str">
        <f>IF(A205&lt;30,"20-29",IF(A205&lt;40,"30-39",IF(A205&lt;50,"40-49",IF(A205&lt;60,"50-59",IF(A205&lt;70,"60-69",IF(A205&lt;80,"70+"))))))</f>
        <v>50-59</v>
      </c>
      <c r="C205">
        <v>1</v>
      </c>
      <c r="D205">
        <v>1</v>
      </c>
      <c r="E205">
        <v>130</v>
      </c>
      <c r="F205">
        <v>221</v>
      </c>
      <c r="G205">
        <v>0</v>
      </c>
      <c r="H205">
        <v>0</v>
      </c>
      <c r="I205">
        <v>163</v>
      </c>
      <c r="J205">
        <v>0</v>
      </c>
      <c r="K205">
        <v>0</v>
      </c>
      <c r="L205">
        <v>2</v>
      </c>
      <c r="M205">
        <v>3</v>
      </c>
      <c r="N205">
        <v>1</v>
      </c>
    </row>
    <row r="206" spans="1:14" x14ac:dyDescent="0.25">
      <c r="A206">
        <v>44</v>
      </c>
      <c r="B206" s="32" t="str">
        <f>IF(A206&lt;30,"20-29",IF(A206&lt;40,"30-39",IF(A206&lt;50,"40-49",IF(A206&lt;60,"50-59",IF(A206&lt;70,"60-69",IF(A206&lt;80,"70+"))))))</f>
        <v>40-49</v>
      </c>
      <c r="C206">
        <v>1</v>
      </c>
      <c r="D206">
        <v>1</v>
      </c>
      <c r="E206">
        <v>120</v>
      </c>
      <c r="F206">
        <v>220</v>
      </c>
      <c r="G206">
        <v>0</v>
      </c>
      <c r="H206">
        <v>1</v>
      </c>
      <c r="I206">
        <v>170</v>
      </c>
      <c r="J206">
        <v>0</v>
      </c>
      <c r="K206">
        <v>0</v>
      </c>
      <c r="L206">
        <v>2</v>
      </c>
      <c r="M206">
        <v>2</v>
      </c>
      <c r="N206">
        <v>1</v>
      </c>
    </row>
    <row r="207" spans="1:14" x14ac:dyDescent="0.25">
      <c r="A207">
        <v>39</v>
      </c>
      <c r="B207" s="32" t="str">
        <f>IF(A207&lt;30,"20-29",IF(A207&lt;40,"30-39",IF(A207&lt;50,"40-49",IF(A207&lt;60,"50-59",IF(A207&lt;70,"60-69",IF(A207&lt;80,"70+"))))))</f>
        <v>30-39</v>
      </c>
      <c r="C207">
        <v>0</v>
      </c>
      <c r="D207">
        <v>2</v>
      </c>
      <c r="E207">
        <v>138</v>
      </c>
      <c r="F207">
        <v>220</v>
      </c>
      <c r="G207">
        <v>0</v>
      </c>
      <c r="H207">
        <v>1</v>
      </c>
      <c r="I207">
        <v>152</v>
      </c>
      <c r="J207">
        <v>0</v>
      </c>
      <c r="K207">
        <v>0</v>
      </c>
      <c r="L207">
        <v>1</v>
      </c>
      <c r="M207">
        <v>2</v>
      </c>
      <c r="N207">
        <v>1</v>
      </c>
    </row>
    <row r="208" spans="1:14" x14ac:dyDescent="0.25">
      <c r="A208">
        <v>58</v>
      </c>
      <c r="B208" s="32" t="str">
        <f>IF(A208&lt;30,"20-29",IF(A208&lt;40,"30-39",IF(A208&lt;50,"40-49",IF(A208&lt;60,"50-59",IF(A208&lt;70,"60-69",IF(A208&lt;80,"70+"))))))</f>
        <v>50-59</v>
      </c>
      <c r="C208">
        <v>1</v>
      </c>
      <c r="D208">
        <v>1</v>
      </c>
      <c r="E208">
        <v>125</v>
      </c>
      <c r="F208">
        <v>220</v>
      </c>
      <c r="G208">
        <v>0</v>
      </c>
      <c r="H208">
        <v>1</v>
      </c>
      <c r="I208">
        <v>144</v>
      </c>
      <c r="J208">
        <v>0</v>
      </c>
      <c r="K208">
        <v>0.4</v>
      </c>
      <c r="L208">
        <v>1</v>
      </c>
      <c r="M208">
        <v>3</v>
      </c>
      <c r="N208">
        <v>1</v>
      </c>
    </row>
    <row r="209" spans="1:14" x14ac:dyDescent="0.25">
      <c r="A209">
        <v>44</v>
      </c>
      <c r="B209" s="32" t="str">
        <f>IF(A209&lt;30,"20-29",IF(A209&lt;40,"30-39",IF(A209&lt;50,"40-49",IF(A209&lt;60,"50-59",IF(A209&lt;70,"60-69",IF(A209&lt;80,"70+"))))))</f>
        <v>40-49</v>
      </c>
      <c r="C209">
        <v>1</v>
      </c>
      <c r="D209">
        <v>1</v>
      </c>
      <c r="E209">
        <v>130</v>
      </c>
      <c r="F209">
        <v>219</v>
      </c>
      <c r="G209">
        <v>0</v>
      </c>
      <c r="H209">
        <v>0</v>
      </c>
      <c r="I209">
        <v>188</v>
      </c>
      <c r="J209">
        <v>0</v>
      </c>
      <c r="K209">
        <v>0</v>
      </c>
      <c r="L209">
        <v>2</v>
      </c>
      <c r="M209">
        <v>2</v>
      </c>
      <c r="N209">
        <v>1</v>
      </c>
    </row>
    <row r="210" spans="1:14" x14ac:dyDescent="0.25">
      <c r="A210">
        <v>50</v>
      </c>
      <c r="B210" s="32" t="str">
        <f>IF(A210&lt;30,"20-29",IF(A210&lt;40,"30-39",IF(A210&lt;50,"40-49",IF(A210&lt;60,"50-59",IF(A210&lt;70,"60-69",IF(A210&lt;80,"70+"))))))</f>
        <v>50-59</v>
      </c>
      <c r="C210">
        <v>0</v>
      </c>
      <c r="D210">
        <v>2</v>
      </c>
      <c r="E210">
        <v>120</v>
      </c>
      <c r="F210">
        <v>219</v>
      </c>
      <c r="G210">
        <v>0</v>
      </c>
      <c r="H210">
        <v>1</v>
      </c>
      <c r="I210">
        <v>158</v>
      </c>
      <c r="J210">
        <v>0</v>
      </c>
      <c r="K210">
        <v>1.6</v>
      </c>
      <c r="L210">
        <v>1</v>
      </c>
      <c r="M210">
        <v>2</v>
      </c>
      <c r="N210">
        <v>1</v>
      </c>
    </row>
    <row r="211" spans="1:14" x14ac:dyDescent="0.25">
      <c r="A211">
        <v>39</v>
      </c>
      <c r="B211" s="32" t="str">
        <f>IF(A211&lt;30,"20-29",IF(A211&lt;40,"30-39",IF(A211&lt;50,"40-49",IF(A211&lt;60,"50-59",IF(A211&lt;70,"60-69",IF(A211&lt;80,"70+"))))))</f>
        <v>30-39</v>
      </c>
      <c r="C211">
        <v>1</v>
      </c>
      <c r="D211">
        <v>0</v>
      </c>
      <c r="E211">
        <v>118</v>
      </c>
      <c r="F211">
        <v>219</v>
      </c>
      <c r="G211">
        <v>0</v>
      </c>
      <c r="H211">
        <v>1</v>
      </c>
      <c r="I211">
        <v>140</v>
      </c>
      <c r="J211">
        <v>0</v>
      </c>
      <c r="K211">
        <v>1.2</v>
      </c>
      <c r="L211">
        <v>1</v>
      </c>
      <c r="M211">
        <v>3</v>
      </c>
      <c r="N211">
        <v>0</v>
      </c>
    </row>
    <row r="212" spans="1:14" x14ac:dyDescent="0.25">
      <c r="A212">
        <v>59</v>
      </c>
      <c r="B212" s="32" t="str">
        <f>IF(A212&lt;30,"20-29",IF(A212&lt;40,"30-39",IF(A212&lt;50,"40-49",IF(A212&lt;60,"50-59",IF(A212&lt;70,"60-69",IF(A212&lt;80,"70+"))))))</f>
        <v>50-59</v>
      </c>
      <c r="C212">
        <v>1</v>
      </c>
      <c r="D212">
        <v>2</v>
      </c>
      <c r="E212">
        <v>126</v>
      </c>
      <c r="F212">
        <v>218</v>
      </c>
      <c r="G212">
        <v>1</v>
      </c>
      <c r="H212">
        <v>1</v>
      </c>
      <c r="I212">
        <v>134</v>
      </c>
      <c r="J212">
        <v>0</v>
      </c>
      <c r="K212">
        <v>2.2000000000000002</v>
      </c>
      <c r="L212">
        <v>1</v>
      </c>
      <c r="M212">
        <v>1</v>
      </c>
      <c r="N212">
        <v>0</v>
      </c>
    </row>
    <row r="213" spans="1:14" x14ac:dyDescent="0.25">
      <c r="A213">
        <v>58</v>
      </c>
      <c r="B213" s="32" t="str">
        <f>IF(A213&lt;30,"20-29",IF(A213&lt;40,"30-39",IF(A213&lt;50,"40-49",IF(A213&lt;60,"50-59",IF(A213&lt;70,"60-69",IF(A213&lt;80,"70+"))))))</f>
        <v>50-59</v>
      </c>
      <c r="C213">
        <v>1</v>
      </c>
      <c r="D213">
        <v>0</v>
      </c>
      <c r="E213">
        <v>146</v>
      </c>
      <c r="F213">
        <v>218</v>
      </c>
      <c r="G213">
        <v>0</v>
      </c>
      <c r="H213">
        <v>1</v>
      </c>
      <c r="I213">
        <v>105</v>
      </c>
      <c r="J213">
        <v>0</v>
      </c>
      <c r="K213">
        <v>2</v>
      </c>
      <c r="L213">
        <v>1</v>
      </c>
      <c r="M213">
        <v>3</v>
      </c>
      <c r="N213">
        <v>0</v>
      </c>
    </row>
    <row r="214" spans="1:14" x14ac:dyDescent="0.25">
      <c r="A214">
        <v>55</v>
      </c>
      <c r="B214" s="32" t="str">
        <f>IF(A214&lt;30,"20-29",IF(A214&lt;40,"30-39",IF(A214&lt;50,"40-49",IF(A214&lt;60,"50-59",IF(A214&lt;70,"60-69",IF(A214&lt;80,"70+"))))))</f>
        <v>50-59</v>
      </c>
      <c r="C214">
        <v>1</v>
      </c>
      <c r="D214">
        <v>0</v>
      </c>
      <c r="E214">
        <v>140</v>
      </c>
      <c r="F214">
        <v>217</v>
      </c>
      <c r="G214">
        <v>0</v>
      </c>
      <c r="H214">
        <v>1</v>
      </c>
      <c r="I214">
        <v>111</v>
      </c>
      <c r="J214">
        <v>1</v>
      </c>
      <c r="K214">
        <v>5.6</v>
      </c>
      <c r="L214">
        <v>0</v>
      </c>
      <c r="M214">
        <v>3</v>
      </c>
      <c r="N214">
        <v>0</v>
      </c>
    </row>
    <row r="215" spans="1:14" x14ac:dyDescent="0.25">
      <c r="A215">
        <v>58</v>
      </c>
      <c r="B215" s="32" t="str">
        <f>IF(A215&lt;30,"20-29",IF(A215&lt;40,"30-39",IF(A215&lt;50,"40-49",IF(A215&lt;60,"50-59",IF(A215&lt;70,"60-69",IF(A215&lt;80,"70+"))))))</f>
        <v>50-59</v>
      </c>
      <c r="C215">
        <v>1</v>
      </c>
      <c r="D215">
        <v>0</v>
      </c>
      <c r="E215">
        <v>128</v>
      </c>
      <c r="F215">
        <v>216</v>
      </c>
      <c r="G215">
        <v>0</v>
      </c>
      <c r="H215">
        <v>0</v>
      </c>
      <c r="I215">
        <v>131</v>
      </c>
      <c r="J215">
        <v>1</v>
      </c>
      <c r="K215">
        <v>2.2000000000000002</v>
      </c>
      <c r="L215">
        <v>1</v>
      </c>
      <c r="M215">
        <v>3</v>
      </c>
      <c r="N215">
        <v>0</v>
      </c>
    </row>
    <row r="216" spans="1:14" x14ac:dyDescent="0.25">
      <c r="A216">
        <v>53</v>
      </c>
      <c r="B216" s="32" t="str">
        <f>IF(A216&lt;30,"20-29",IF(A216&lt;40,"30-39",IF(A216&lt;50,"40-49",IF(A216&lt;60,"50-59",IF(A216&lt;70,"60-69",IF(A216&lt;80,"70+"))))))</f>
        <v>50-59</v>
      </c>
      <c r="C216">
        <v>0</v>
      </c>
      <c r="D216">
        <v>2</v>
      </c>
      <c r="E216">
        <v>128</v>
      </c>
      <c r="F216">
        <v>216</v>
      </c>
      <c r="G216">
        <v>0</v>
      </c>
      <c r="H216">
        <v>0</v>
      </c>
      <c r="I216">
        <v>115</v>
      </c>
      <c r="J216">
        <v>0</v>
      </c>
      <c r="K216">
        <v>0</v>
      </c>
      <c r="L216">
        <v>2</v>
      </c>
      <c r="M216">
        <v>0</v>
      </c>
      <c r="N216">
        <v>1</v>
      </c>
    </row>
    <row r="217" spans="1:14" x14ac:dyDescent="0.25">
      <c r="A217">
        <v>37</v>
      </c>
      <c r="B217" s="32" t="str">
        <f>IF(A217&lt;30,"20-29",IF(A217&lt;40,"30-39",IF(A217&lt;50,"40-49",IF(A217&lt;60,"50-59",IF(A217&lt;70,"60-69",IF(A217&lt;80,"70+"))))))</f>
        <v>30-39</v>
      </c>
      <c r="C217">
        <v>0</v>
      </c>
      <c r="D217">
        <v>2</v>
      </c>
      <c r="E217">
        <v>120</v>
      </c>
      <c r="F217">
        <v>215</v>
      </c>
      <c r="G217">
        <v>0</v>
      </c>
      <c r="H217">
        <v>1</v>
      </c>
      <c r="I217">
        <v>170</v>
      </c>
      <c r="J217">
        <v>0</v>
      </c>
      <c r="K217">
        <v>0</v>
      </c>
      <c r="L217">
        <v>2</v>
      </c>
      <c r="M217">
        <v>2</v>
      </c>
      <c r="N217">
        <v>1</v>
      </c>
    </row>
    <row r="218" spans="1:14" x14ac:dyDescent="0.25">
      <c r="A218">
        <v>54</v>
      </c>
      <c r="B218" s="32" t="str">
        <f>IF(A218&lt;30,"20-29",IF(A218&lt;40,"30-39",IF(A218&lt;50,"40-49",IF(A218&lt;60,"50-59",IF(A218&lt;70,"60-69",IF(A218&lt;80,"70+"))))))</f>
        <v>50-59</v>
      </c>
      <c r="C218">
        <v>0</v>
      </c>
      <c r="D218">
        <v>2</v>
      </c>
      <c r="E218">
        <v>110</v>
      </c>
      <c r="F218">
        <v>214</v>
      </c>
      <c r="G218">
        <v>0</v>
      </c>
      <c r="H218">
        <v>1</v>
      </c>
      <c r="I218">
        <v>158</v>
      </c>
      <c r="J218">
        <v>0</v>
      </c>
      <c r="K218">
        <v>1.6</v>
      </c>
      <c r="L218">
        <v>1</v>
      </c>
      <c r="M218">
        <v>2</v>
      </c>
      <c r="N218">
        <v>1</v>
      </c>
    </row>
    <row r="219" spans="1:14" x14ac:dyDescent="0.25">
      <c r="A219">
        <v>41</v>
      </c>
      <c r="B219" s="32" t="str">
        <f>IF(A219&lt;30,"20-29",IF(A219&lt;40,"30-39",IF(A219&lt;50,"40-49",IF(A219&lt;60,"50-59",IF(A219&lt;70,"60-69",IF(A219&lt;80,"70+"))))))</f>
        <v>40-49</v>
      </c>
      <c r="C219">
        <v>1</v>
      </c>
      <c r="D219">
        <v>2</v>
      </c>
      <c r="E219">
        <v>130</v>
      </c>
      <c r="F219">
        <v>214</v>
      </c>
      <c r="G219">
        <v>0</v>
      </c>
      <c r="H219">
        <v>0</v>
      </c>
      <c r="I219">
        <v>168</v>
      </c>
      <c r="J219">
        <v>0</v>
      </c>
      <c r="K219">
        <v>2</v>
      </c>
      <c r="L219">
        <v>1</v>
      </c>
      <c r="M219">
        <v>2</v>
      </c>
      <c r="N219">
        <v>1</v>
      </c>
    </row>
    <row r="220" spans="1:14" x14ac:dyDescent="0.25">
      <c r="A220">
        <v>51</v>
      </c>
      <c r="B220" s="32" t="str">
        <f>IF(A220&lt;30,"20-29",IF(A220&lt;40,"30-39",IF(A220&lt;50,"40-49",IF(A220&lt;60,"50-59",IF(A220&lt;70,"60-69",IF(A220&lt;80,"70+"))))))</f>
        <v>50-59</v>
      </c>
      <c r="C220">
        <v>1</v>
      </c>
      <c r="D220">
        <v>3</v>
      </c>
      <c r="E220">
        <v>125</v>
      </c>
      <c r="F220">
        <v>213</v>
      </c>
      <c r="G220">
        <v>0</v>
      </c>
      <c r="H220">
        <v>0</v>
      </c>
      <c r="I220">
        <v>125</v>
      </c>
      <c r="J220">
        <v>1</v>
      </c>
      <c r="K220">
        <v>1.4</v>
      </c>
      <c r="L220">
        <v>2</v>
      </c>
      <c r="M220">
        <v>2</v>
      </c>
      <c r="N220">
        <v>1</v>
      </c>
    </row>
    <row r="221" spans="1:14" x14ac:dyDescent="0.25">
      <c r="A221">
        <v>43</v>
      </c>
      <c r="B221" s="32" t="str">
        <f>IF(A221&lt;30,"20-29",IF(A221&lt;40,"30-39",IF(A221&lt;50,"40-49",IF(A221&lt;60,"50-59",IF(A221&lt;70,"60-69",IF(A221&lt;80,"70+"))))))</f>
        <v>40-49</v>
      </c>
      <c r="C221">
        <v>0</v>
      </c>
      <c r="D221">
        <v>2</v>
      </c>
      <c r="E221">
        <v>122</v>
      </c>
      <c r="F221">
        <v>213</v>
      </c>
      <c r="G221">
        <v>0</v>
      </c>
      <c r="H221">
        <v>1</v>
      </c>
      <c r="I221">
        <v>165</v>
      </c>
      <c r="J221">
        <v>0</v>
      </c>
      <c r="K221">
        <v>0.2</v>
      </c>
      <c r="L221">
        <v>1</v>
      </c>
      <c r="M221">
        <v>2</v>
      </c>
      <c r="N221">
        <v>1</v>
      </c>
    </row>
    <row r="222" spans="1:14" x14ac:dyDescent="0.25">
      <c r="A222">
        <v>52</v>
      </c>
      <c r="B222" s="32" t="str">
        <f>IF(A222&lt;30,"20-29",IF(A222&lt;40,"30-39",IF(A222&lt;50,"40-49",IF(A222&lt;60,"50-59",IF(A222&lt;70,"60-69",IF(A222&lt;80,"70+"))))))</f>
        <v>50-59</v>
      </c>
      <c r="C222">
        <v>1</v>
      </c>
      <c r="D222">
        <v>0</v>
      </c>
      <c r="E222">
        <v>125</v>
      </c>
      <c r="F222">
        <v>212</v>
      </c>
      <c r="G222">
        <v>0</v>
      </c>
      <c r="H222">
        <v>1</v>
      </c>
      <c r="I222">
        <v>168</v>
      </c>
      <c r="J222">
        <v>0</v>
      </c>
      <c r="K222">
        <v>1</v>
      </c>
      <c r="L222">
        <v>2</v>
      </c>
      <c r="M222">
        <v>3</v>
      </c>
      <c r="N222">
        <v>0</v>
      </c>
    </row>
    <row r="223" spans="1:14" x14ac:dyDescent="0.25">
      <c r="A223">
        <v>67</v>
      </c>
      <c r="B223" s="32" t="str">
        <f>IF(A223&lt;30,"20-29",IF(A223&lt;40,"30-39",IF(A223&lt;50,"40-49",IF(A223&lt;60,"50-59",IF(A223&lt;70,"60-69",IF(A223&lt;80,"70+"))))))</f>
        <v>60-69</v>
      </c>
      <c r="C223">
        <v>1</v>
      </c>
      <c r="D223">
        <v>2</v>
      </c>
      <c r="E223">
        <v>152</v>
      </c>
      <c r="F223">
        <v>212</v>
      </c>
      <c r="G223">
        <v>0</v>
      </c>
      <c r="H223">
        <v>0</v>
      </c>
      <c r="I223">
        <v>150</v>
      </c>
      <c r="J223">
        <v>0</v>
      </c>
      <c r="K223">
        <v>0.8</v>
      </c>
      <c r="L223">
        <v>1</v>
      </c>
      <c r="M223">
        <v>3</v>
      </c>
      <c r="N223">
        <v>0</v>
      </c>
    </row>
    <row r="224" spans="1:14" x14ac:dyDescent="0.25">
      <c r="A224">
        <v>59</v>
      </c>
      <c r="B224" s="32" t="str">
        <f>IF(A224&lt;30,"20-29",IF(A224&lt;40,"30-39",IF(A224&lt;50,"40-49",IF(A224&lt;60,"50-59",IF(A224&lt;70,"60-69",IF(A224&lt;80,"70+"))))))</f>
        <v>50-59</v>
      </c>
      <c r="C224">
        <v>1</v>
      </c>
      <c r="D224">
        <v>2</v>
      </c>
      <c r="E224">
        <v>150</v>
      </c>
      <c r="F224">
        <v>212</v>
      </c>
      <c r="G224">
        <v>1</v>
      </c>
      <c r="H224">
        <v>1</v>
      </c>
      <c r="I224">
        <v>157</v>
      </c>
      <c r="J224">
        <v>0</v>
      </c>
      <c r="K224">
        <v>1.6</v>
      </c>
      <c r="L224">
        <v>2</v>
      </c>
      <c r="M224">
        <v>2</v>
      </c>
      <c r="N224">
        <v>1</v>
      </c>
    </row>
    <row r="225" spans="1:14" x14ac:dyDescent="0.25">
      <c r="A225">
        <v>64</v>
      </c>
      <c r="B225" s="32" t="str">
        <f>IF(A225&lt;30,"20-29",IF(A225&lt;40,"30-39",IF(A225&lt;50,"40-49",IF(A225&lt;60,"50-59",IF(A225&lt;70,"60-69",IF(A225&lt;80,"70+"))))))</f>
        <v>60-69</v>
      </c>
      <c r="C225">
        <v>1</v>
      </c>
      <c r="D225">
        <v>0</v>
      </c>
      <c r="E225">
        <v>145</v>
      </c>
      <c r="F225">
        <v>212</v>
      </c>
      <c r="G225">
        <v>0</v>
      </c>
      <c r="H225">
        <v>0</v>
      </c>
      <c r="I225">
        <v>132</v>
      </c>
      <c r="J225">
        <v>0</v>
      </c>
      <c r="K225">
        <v>2</v>
      </c>
      <c r="L225">
        <v>1</v>
      </c>
      <c r="M225">
        <v>1</v>
      </c>
      <c r="N225">
        <v>0</v>
      </c>
    </row>
    <row r="226" spans="1:14" x14ac:dyDescent="0.25">
      <c r="A226">
        <v>66</v>
      </c>
      <c r="B226" s="32" t="str">
        <f>IF(A226&lt;30,"20-29",IF(A226&lt;40,"30-39",IF(A226&lt;50,"40-49",IF(A226&lt;60,"50-59",IF(A226&lt;70,"60-69",IF(A226&lt;80,"70+"))))))</f>
        <v>60-69</v>
      </c>
      <c r="C226">
        <v>1</v>
      </c>
      <c r="D226">
        <v>0</v>
      </c>
      <c r="E226">
        <v>112</v>
      </c>
      <c r="F226">
        <v>212</v>
      </c>
      <c r="G226">
        <v>0</v>
      </c>
      <c r="H226">
        <v>0</v>
      </c>
      <c r="I226">
        <v>132</v>
      </c>
      <c r="J226">
        <v>1</v>
      </c>
      <c r="K226">
        <v>0.1</v>
      </c>
      <c r="L226">
        <v>2</v>
      </c>
      <c r="M226">
        <v>2</v>
      </c>
      <c r="N226">
        <v>0</v>
      </c>
    </row>
    <row r="227" spans="1:14" x14ac:dyDescent="0.25">
      <c r="A227">
        <v>58</v>
      </c>
      <c r="B227" s="32" t="str">
        <f>IF(A227&lt;30,"20-29",IF(A227&lt;40,"30-39",IF(A227&lt;50,"40-49",IF(A227&lt;60,"50-59",IF(A227&lt;70,"60-69",IF(A227&lt;80,"70+"))))))</f>
        <v>50-59</v>
      </c>
      <c r="C227">
        <v>1</v>
      </c>
      <c r="D227">
        <v>2</v>
      </c>
      <c r="E227">
        <v>140</v>
      </c>
      <c r="F227">
        <v>211</v>
      </c>
      <c r="G227">
        <v>1</v>
      </c>
      <c r="H227">
        <v>0</v>
      </c>
      <c r="I227">
        <v>165</v>
      </c>
      <c r="J227">
        <v>0</v>
      </c>
      <c r="K227">
        <v>0</v>
      </c>
      <c r="L227">
        <v>2</v>
      </c>
      <c r="M227">
        <v>2</v>
      </c>
      <c r="N227">
        <v>1</v>
      </c>
    </row>
    <row r="228" spans="1:14" x14ac:dyDescent="0.25">
      <c r="A228">
        <v>64</v>
      </c>
      <c r="B228" s="32" t="str">
        <f>IF(A228&lt;30,"20-29",IF(A228&lt;40,"30-39",IF(A228&lt;50,"40-49",IF(A228&lt;60,"50-59",IF(A228&lt;70,"60-69",IF(A228&lt;80,"70+"))))))</f>
        <v>60-69</v>
      </c>
      <c r="C228">
        <v>1</v>
      </c>
      <c r="D228">
        <v>3</v>
      </c>
      <c r="E228">
        <v>110</v>
      </c>
      <c r="F228">
        <v>211</v>
      </c>
      <c r="G228">
        <v>0</v>
      </c>
      <c r="H228">
        <v>0</v>
      </c>
      <c r="I228">
        <v>144</v>
      </c>
      <c r="J228">
        <v>1</v>
      </c>
      <c r="K228">
        <v>1.8</v>
      </c>
      <c r="L228">
        <v>1</v>
      </c>
      <c r="M228">
        <v>2</v>
      </c>
      <c r="N228">
        <v>1</v>
      </c>
    </row>
    <row r="229" spans="1:14" x14ac:dyDescent="0.25">
      <c r="A229">
        <v>43</v>
      </c>
      <c r="B229" s="32" t="str">
        <f>IF(A229&lt;30,"20-29",IF(A229&lt;40,"30-39",IF(A229&lt;50,"40-49",IF(A229&lt;60,"50-59",IF(A229&lt;70,"60-69",IF(A229&lt;80,"70+"))))))</f>
        <v>40-49</v>
      </c>
      <c r="C229">
        <v>1</v>
      </c>
      <c r="D229">
        <v>0</v>
      </c>
      <c r="E229">
        <v>110</v>
      </c>
      <c r="F229">
        <v>211</v>
      </c>
      <c r="G229">
        <v>0</v>
      </c>
      <c r="H229">
        <v>1</v>
      </c>
      <c r="I229">
        <v>161</v>
      </c>
      <c r="J229">
        <v>0</v>
      </c>
      <c r="K229">
        <v>0</v>
      </c>
      <c r="L229">
        <v>2</v>
      </c>
      <c r="M229">
        <v>3</v>
      </c>
      <c r="N229">
        <v>1</v>
      </c>
    </row>
    <row r="230" spans="1:14" x14ac:dyDescent="0.25">
      <c r="A230">
        <v>68</v>
      </c>
      <c r="B230" s="32" t="str">
        <f>IF(A230&lt;30,"20-29",IF(A230&lt;40,"30-39",IF(A230&lt;50,"40-49",IF(A230&lt;60,"50-59",IF(A230&lt;70,"60-69",IF(A230&lt;80,"70+"))))))</f>
        <v>60-69</v>
      </c>
      <c r="C230">
        <v>0</v>
      </c>
      <c r="D230">
        <v>2</v>
      </c>
      <c r="E230">
        <v>120</v>
      </c>
      <c r="F230">
        <v>211</v>
      </c>
      <c r="G230">
        <v>0</v>
      </c>
      <c r="H230">
        <v>0</v>
      </c>
      <c r="I230">
        <v>115</v>
      </c>
      <c r="J230">
        <v>0</v>
      </c>
      <c r="K230">
        <v>1.5</v>
      </c>
      <c r="L230">
        <v>1</v>
      </c>
      <c r="M230">
        <v>2</v>
      </c>
      <c r="N230">
        <v>1</v>
      </c>
    </row>
    <row r="231" spans="1:14" x14ac:dyDescent="0.25">
      <c r="A231">
        <v>34</v>
      </c>
      <c r="B231" s="32" t="str">
        <f>IF(A231&lt;30,"20-29",IF(A231&lt;40,"30-39",IF(A231&lt;50,"40-49",IF(A231&lt;60,"50-59",IF(A231&lt;70,"60-69",IF(A231&lt;80,"70+"))))))</f>
        <v>30-39</v>
      </c>
      <c r="C231">
        <v>0</v>
      </c>
      <c r="D231">
        <v>1</v>
      </c>
      <c r="E231">
        <v>118</v>
      </c>
      <c r="F231">
        <v>210</v>
      </c>
      <c r="G231">
        <v>0</v>
      </c>
      <c r="H231">
        <v>1</v>
      </c>
      <c r="I231">
        <v>192</v>
      </c>
      <c r="J231">
        <v>0</v>
      </c>
      <c r="K231">
        <v>0.7</v>
      </c>
      <c r="L231">
        <v>2</v>
      </c>
      <c r="M231">
        <v>2</v>
      </c>
      <c r="N231">
        <v>1</v>
      </c>
    </row>
    <row r="232" spans="1:14" x14ac:dyDescent="0.25">
      <c r="A232">
        <v>42</v>
      </c>
      <c r="B232" s="32" t="str">
        <f>IF(A232&lt;30,"20-29",IF(A232&lt;40,"30-39",IF(A232&lt;50,"40-49",IF(A232&lt;60,"50-59",IF(A232&lt;70,"60-69",IF(A232&lt;80,"70+"))))))</f>
        <v>40-49</v>
      </c>
      <c r="C232">
        <v>0</v>
      </c>
      <c r="D232">
        <v>2</v>
      </c>
      <c r="E232">
        <v>120</v>
      </c>
      <c r="F232">
        <v>209</v>
      </c>
      <c r="G232">
        <v>0</v>
      </c>
      <c r="H232">
        <v>1</v>
      </c>
      <c r="I232">
        <v>173</v>
      </c>
      <c r="J232">
        <v>0</v>
      </c>
      <c r="K232">
        <v>0</v>
      </c>
      <c r="L232">
        <v>1</v>
      </c>
      <c r="M232">
        <v>2</v>
      </c>
      <c r="N232">
        <v>1</v>
      </c>
    </row>
    <row r="233" spans="1:14" x14ac:dyDescent="0.25">
      <c r="A233">
        <v>62</v>
      </c>
      <c r="B233" s="32" t="str">
        <f>IF(A233&lt;30,"20-29",IF(A233&lt;40,"30-39",IF(A233&lt;50,"40-49",IF(A233&lt;60,"50-59",IF(A233&lt;70,"60-69",IF(A233&lt;80,"70+"))))))</f>
        <v>60-69</v>
      </c>
      <c r="C233">
        <v>0</v>
      </c>
      <c r="D233">
        <v>0</v>
      </c>
      <c r="E233">
        <v>124</v>
      </c>
      <c r="F233">
        <v>209</v>
      </c>
      <c r="G233">
        <v>0</v>
      </c>
      <c r="H233">
        <v>1</v>
      </c>
      <c r="I233">
        <v>163</v>
      </c>
      <c r="J233">
        <v>0</v>
      </c>
      <c r="K233">
        <v>0</v>
      </c>
      <c r="L233">
        <v>2</v>
      </c>
      <c r="M233">
        <v>2</v>
      </c>
      <c r="N233">
        <v>1</v>
      </c>
    </row>
    <row r="234" spans="1:14" x14ac:dyDescent="0.25">
      <c r="A234">
        <v>45</v>
      </c>
      <c r="B234" s="32" t="str">
        <f>IF(A234&lt;30,"20-29",IF(A234&lt;40,"30-39",IF(A234&lt;50,"40-49",IF(A234&lt;60,"50-59",IF(A234&lt;70,"60-69",IF(A234&lt;80,"70+"))))))</f>
        <v>40-49</v>
      </c>
      <c r="C234">
        <v>1</v>
      </c>
      <c r="D234">
        <v>0</v>
      </c>
      <c r="E234">
        <v>104</v>
      </c>
      <c r="F234">
        <v>208</v>
      </c>
      <c r="G234">
        <v>0</v>
      </c>
      <c r="H234">
        <v>0</v>
      </c>
      <c r="I234">
        <v>148</v>
      </c>
      <c r="J234">
        <v>1</v>
      </c>
      <c r="K234">
        <v>3</v>
      </c>
      <c r="L234">
        <v>1</v>
      </c>
      <c r="M234">
        <v>2</v>
      </c>
      <c r="N234">
        <v>1</v>
      </c>
    </row>
    <row r="235" spans="1:14" x14ac:dyDescent="0.25">
      <c r="A235">
        <v>62</v>
      </c>
      <c r="B235" s="32" t="str">
        <f>IF(A235&lt;30,"20-29",IF(A235&lt;40,"30-39",IF(A235&lt;50,"40-49",IF(A235&lt;60,"50-59",IF(A235&lt;70,"60-69",IF(A235&lt;80,"70+"))))))</f>
        <v>60-69</v>
      </c>
      <c r="C235">
        <v>1</v>
      </c>
      <c r="D235">
        <v>1</v>
      </c>
      <c r="E235">
        <v>128</v>
      </c>
      <c r="F235">
        <v>208</v>
      </c>
      <c r="G235">
        <v>1</v>
      </c>
      <c r="H235">
        <v>0</v>
      </c>
      <c r="I235">
        <v>140</v>
      </c>
      <c r="J235">
        <v>0</v>
      </c>
      <c r="K235">
        <v>0</v>
      </c>
      <c r="L235">
        <v>2</v>
      </c>
      <c r="M235">
        <v>2</v>
      </c>
      <c r="N235">
        <v>1</v>
      </c>
    </row>
    <row r="236" spans="1:14" x14ac:dyDescent="0.25">
      <c r="A236">
        <v>61</v>
      </c>
      <c r="B236" s="32" t="str">
        <f>IF(A236&lt;30,"20-29",IF(A236&lt;40,"30-39",IF(A236&lt;50,"40-49",IF(A236&lt;60,"50-59",IF(A236&lt;70,"60-69",IF(A236&lt;80,"70+"))))))</f>
        <v>60-69</v>
      </c>
      <c r="C236">
        <v>1</v>
      </c>
      <c r="D236">
        <v>0</v>
      </c>
      <c r="E236">
        <v>140</v>
      </c>
      <c r="F236">
        <v>207</v>
      </c>
      <c r="G236">
        <v>0</v>
      </c>
      <c r="H236">
        <v>0</v>
      </c>
      <c r="I236">
        <v>138</v>
      </c>
      <c r="J236">
        <v>1</v>
      </c>
      <c r="K236">
        <v>1.9</v>
      </c>
      <c r="L236">
        <v>2</v>
      </c>
      <c r="M236">
        <v>3</v>
      </c>
      <c r="N236">
        <v>0</v>
      </c>
    </row>
    <row r="237" spans="1:14" x14ac:dyDescent="0.25">
      <c r="A237">
        <v>57</v>
      </c>
      <c r="B237" s="32" t="str">
        <f>IF(A237&lt;30,"20-29",IF(A237&lt;40,"30-39",IF(A237&lt;50,"40-49",IF(A237&lt;60,"50-59",IF(A237&lt;70,"60-69",IF(A237&lt;80,"70+"))))))</f>
        <v>50-59</v>
      </c>
      <c r="C237">
        <v>1</v>
      </c>
      <c r="D237">
        <v>0</v>
      </c>
      <c r="E237">
        <v>132</v>
      </c>
      <c r="F237">
        <v>207</v>
      </c>
      <c r="G237">
        <v>0</v>
      </c>
      <c r="H237">
        <v>1</v>
      </c>
      <c r="I237">
        <v>168</v>
      </c>
      <c r="J237">
        <v>1</v>
      </c>
      <c r="K237">
        <v>0</v>
      </c>
      <c r="L237">
        <v>2</v>
      </c>
      <c r="M237">
        <v>3</v>
      </c>
      <c r="N237">
        <v>1</v>
      </c>
    </row>
    <row r="238" spans="1:14" x14ac:dyDescent="0.25">
      <c r="A238">
        <v>54</v>
      </c>
      <c r="B238" s="32" t="str">
        <f>IF(A238&lt;30,"20-29",IF(A238&lt;40,"30-39",IF(A238&lt;50,"40-49",IF(A238&lt;60,"50-59",IF(A238&lt;70,"60-69",IF(A238&lt;80,"70+"))))))</f>
        <v>50-59</v>
      </c>
      <c r="C238">
        <v>1</v>
      </c>
      <c r="D238">
        <v>0</v>
      </c>
      <c r="E238">
        <v>110</v>
      </c>
      <c r="F238">
        <v>206</v>
      </c>
      <c r="G238">
        <v>0</v>
      </c>
      <c r="H238">
        <v>0</v>
      </c>
      <c r="I238">
        <v>108</v>
      </c>
      <c r="J238">
        <v>1</v>
      </c>
      <c r="K238">
        <v>0</v>
      </c>
      <c r="L238">
        <v>1</v>
      </c>
      <c r="M238">
        <v>2</v>
      </c>
      <c r="N238">
        <v>0</v>
      </c>
    </row>
    <row r="239" spans="1:14" x14ac:dyDescent="0.25">
      <c r="A239">
        <v>60</v>
      </c>
      <c r="B239" s="32" t="str">
        <f>IF(A239&lt;30,"20-29",IF(A239&lt;40,"30-39",IF(A239&lt;50,"40-49",IF(A239&lt;60,"50-59",IF(A239&lt;70,"60-69",IF(A239&lt;80,"70+"))))))</f>
        <v>60-69</v>
      </c>
      <c r="C239">
        <v>1</v>
      </c>
      <c r="D239">
        <v>0</v>
      </c>
      <c r="E239">
        <v>130</v>
      </c>
      <c r="F239">
        <v>206</v>
      </c>
      <c r="G239">
        <v>0</v>
      </c>
      <c r="H239">
        <v>0</v>
      </c>
      <c r="I239">
        <v>132</v>
      </c>
      <c r="J239">
        <v>1</v>
      </c>
      <c r="K239">
        <v>2.4</v>
      </c>
      <c r="L239">
        <v>1</v>
      </c>
      <c r="M239">
        <v>3</v>
      </c>
      <c r="N239">
        <v>0</v>
      </c>
    </row>
    <row r="240" spans="1:14" x14ac:dyDescent="0.25">
      <c r="A240">
        <v>55</v>
      </c>
      <c r="B240" s="32" t="str">
        <f>IF(A240&lt;30,"20-29",IF(A240&lt;40,"30-39",IF(A240&lt;50,"40-49",IF(A240&lt;60,"50-59",IF(A240&lt;70,"60-69",IF(A240&lt;80,"70+"))))))</f>
        <v>50-59</v>
      </c>
      <c r="C240">
        <v>0</v>
      </c>
      <c r="D240">
        <v>0</v>
      </c>
      <c r="E240">
        <v>128</v>
      </c>
      <c r="F240">
        <v>205</v>
      </c>
      <c r="G240">
        <v>0</v>
      </c>
      <c r="H240">
        <v>2</v>
      </c>
      <c r="I240">
        <v>130</v>
      </c>
      <c r="J240">
        <v>1</v>
      </c>
      <c r="K240">
        <v>2</v>
      </c>
      <c r="L240">
        <v>1</v>
      </c>
      <c r="M240">
        <v>3</v>
      </c>
      <c r="N240">
        <v>0</v>
      </c>
    </row>
    <row r="241" spans="1:14" x14ac:dyDescent="0.25">
      <c r="A241">
        <v>52</v>
      </c>
      <c r="B241" s="32" t="str">
        <f>IF(A241&lt;30,"20-29",IF(A241&lt;40,"30-39",IF(A241&lt;50,"40-49",IF(A241&lt;60,"50-59",IF(A241&lt;70,"60-69",IF(A241&lt;80,"70+"))))))</f>
        <v>50-59</v>
      </c>
      <c r="C241">
        <v>1</v>
      </c>
      <c r="D241">
        <v>1</v>
      </c>
      <c r="E241">
        <v>128</v>
      </c>
      <c r="F241">
        <v>205</v>
      </c>
      <c r="G241">
        <v>1</v>
      </c>
      <c r="H241">
        <v>1</v>
      </c>
      <c r="I241">
        <v>184</v>
      </c>
      <c r="J241">
        <v>0</v>
      </c>
      <c r="K241">
        <v>0</v>
      </c>
      <c r="L241">
        <v>2</v>
      </c>
      <c r="M241">
        <v>2</v>
      </c>
      <c r="N241">
        <v>1</v>
      </c>
    </row>
    <row r="242" spans="1:14" x14ac:dyDescent="0.25">
      <c r="A242">
        <v>52</v>
      </c>
      <c r="B242" s="32" t="str">
        <f>IF(A242&lt;30,"20-29",IF(A242&lt;40,"30-39",IF(A242&lt;50,"40-49",IF(A242&lt;60,"50-59",IF(A242&lt;70,"60-69",IF(A242&lt;80,"70+"))))))</f>
        <v>50-59</v>
      </c>
      <c r="C242">
        <v>1</v>
      </c>
      <c r="D242">
        <v>0</v>
      </c>
      <c r="E242">
        <v>128</v>
      </c>
      <c r="F242">
        <v>204</v>
      </c>
      <c r="G242">
        <v>1</v>
      </c>
      <c r="H242">
        <v>1</v>
      </c>
      <c r="I242">
        <v>156</v>
      </c>
      <c r="J242">
        <v>1</v>
      </c>
      <c r="K242">
        <v>1</v>
      </c>
      <c r="L242">
        <v>1</v>
      </c>
      <c r="M242">
        <v>0</v>
      </c>
      <c r="N242">
        <v>0</v>
      </c>
    </row>
    <row r="243" spans="1:14" x14ac:dyDescent="0.25">
      <c r="A243">
        <v>29</v>
      </c>
      <c r="B243" s="32" t="str">
        <f>IF(A243&lt;30,"20-29",IF(A243&lt;40,"30-39",IF(A243&lt;50,"40-49",IF(A243&lt;60,"50-59",IF(A243&lt;70,"60-69",IF(A243&lt;80,"70+"))))))</f>
        <v>20-29</v>
      </c>
      <c r="C243">
        <v>1</v>
      </c>
      <c r="D243">
        <v>1</v>
      </c>
      <c r="E243">
        <v>130</v>
      </c>
      <c r="F243">
        <v>204</v>
      </c>
      <c r="G243">
        <v>0</v>
      </c>
      <c r="H243">
        <v>0</v>
      </c>
      <c r="I243">
        <v>202</v>
      </c>
      <c r="J243">
        <v>0</v>
      </c>
      <c r="K243">
        <v>0</v>
      </c>
      <c r="L243">
        <v>2</v>
      </c>
      <c r="M243">
        <v>2</v>
      </c>
      <c r="N243">
        <v>1</v>
      </c>
    </row>
    <row r="244" spans="1:14" x14ac:dyDescent="0.25">
      <c r="A244">
        <v>47</v>
      </c>
      <c r="B244" s="32" t="str">
        <f>IF(A244&lt;30,"20-29",IF(A244&lt;40,"30-39",IF(A244&lt;50,"40-49",IF(A244&lt;60,"50-59",IF(A244&lt;70,"60-69",IF(A244&lt;80,"70+"))))))</f>
        <v>40-49</v>
      </c>
      <c r="C244">
        <v>1</v>
      </c>
      <c r="D244">
        <v>0</v>
      </c>
      <c r="E244">
        <v>112</v>
      </c>
      <c r="F244">
        <v>204</v>
      </c>
      <c r="G244">
        <v>0</v>
      </c>
      <c r="H244">
        <v>1</v>
      </c>
      <c r="I244">
        <v>143</v>
      </c>
      <c r="J244">
        <v>0</v>
      </c>
      <c r="K244">
        <v>0.1</v>
      </c>
      <c r="L244">
        <v>2</v>
      </c>
      <c r="M244">
        <v>2</v>
      </c>
      <c r="N244">
        <v>1</v>
      </c>
    </row>
    <row r="245" spans="1:14" x14ac:dyDescent="0.25">
      <c r="A245">
        <v>41</v>
      </c>
      <c r="B245" s="32" t="str">
        <f>IF(A245&lt;30,"20-29",IF(A245&lt;40,"30-39",IF(A245&lt;50,"40-49",IF(A245&lt;60,"50-59",IF(A245&lt;70,"60-69",IF(A245&lt;80,"70+"))))))</f>
        <v>40-49</v>
      </c>
      <c r="C245">
        <v>0</v>
      </c>
      <c r="D245">
        <v>1</v>
      </c>
      <c r="E245">
        <v>130</v>
      </c>
      <c r="F245">
        <v>204</v>
      </c>
      <c r="G245">
        <v>0</v>
      </c>
      <c r="H245">
        <v>0</v>
      </c>
      <c r="I245">
        <v>172</v>
      </c>
      <c r="J245">
        <v>0</v>
      </c>
      <c r="K245">
        <v>1.4</v>
      </c>
      <c r="L245">
        <v>2</v>
      </c>
      <c r="M245">
        <v>2</v>
      </c>
      <c r="N245">
        <v>1</v>
      </c>
    </row>
    <row r="246" spans="1:14" x14ac:dyDescent="0.25">
      <c r="A246">
        <v>46</v>
      </c>
      <c r="B246" s="32" t="str">
        <f>IF(A246&lt;30,"20-29",IF(A246&lt;40,"30-39",IF(A246&lt;50,"40-49",IF(A246&lt;60,"50-59",IF(A246&lt;70,"60-69",IF(A246&lt;80,"70+"))))))</f>
        <v>40-49</v>
      </c>
      <c r="C246">
        <v>0</v>
      </c>
      <c r="D246">
        <v>1</v>
      </c>
      <c r="E246">
        <v>105</v>
      </c>
      <c r="F246">
        <v>204</v>
      </c>
      <c r="G246">
        <v>0</v>
      </c>
      <c r="H246">
        <v>1</v>
      </c>
      <c r="I246">
        <v>172</v>
      </c>
      <c r="J246">
        <v>0</v>
      </c>
      <c r="K246">
        <v>0</v>
      </c>
      <c r="L246">
        <v>2</v>
      </c>
      <c r="M246">
        <v>2</v>
      </c>
      <c r="N246">
        <v>1</v>
      </c>
    </row>
    <row r="247" spans="1:14" x14ac:dyDescent="0.25">
      <c r="A247">
        <v>59</v>
      </c>
      <c r="B247" s="32" t="str">
        <f>IF(A247&lt;30,"20-29",IF(A247&lt;40,"30-39",IF(A247&lt;50,"40-49",IF(A247&lt;60,"50-59",IF(A247&lt;70,"60-69",IF(A247&lt;80,"70+"))))))</f>
        <v>50-59</v>
      </c>
      <c r="C247">
        <v>1</v>
      </c>
      <c r="D247">
        <v>3</v>
      </c>
      <c r="E247">
        <v>134</v>
      </c>
      <c r="F247">
        <v>204</v>
      </c>
      <c r="G247">
        <v>0</v>
      </c>
      <c r="H247">
        <v>1</v>
      </c>
      <c r="I247">
        <v>162</v>
      </c>
      <c r="J247">
        <v>0</v>
      </c>
      <c r="K247">
        <v>0.8</v>
      </c>
      <c r="L247">
        <v>2</v>
      </c>
      <c r="M247">
        <v>2</v>
      </c>
      <c r="N247">
        <v>0</v>
      </c>
    </row>
    <row r="248" spans="1:14" x14ac:dyDescent="0.25">
      <c r="A248">
        <v>53</v>
      </c>
      <c r="B248" s="32" t="str">
        <f>IF(A248&lt;30,"20-29",IF(A248&lt;40,"30-39",IF(A248&lt;50,"40-49",IF(A248&lt;60,"50-59",IF(A248&lt;70,"60-69",IF(A248&lt;80,"70+"))))))</f>
        <v>50-59</v>
      </c>
      <c r="C248">
        <v>1</v>
      </c>
      <c r="D248">
        <v>0</v>
      </c>
      <c r="E248">
        <v>140</v>
      </c>
      <c r="F248">
        <v>203</v>
      </c>
      <c r="G248">
        <v>1</v>
      </c>
      <c r="H248">
        <v>0</v>
      </c>
      <c r="I248">
        <v>155</v>
      </c>
      <c r="J248">
        <v>1</v>
      </c>
      <c r="K248">
        <v>3.1</v>
      </c>
      <c r="L248">
        <v>0</v>
      </c>
      <c r="M248">
        <v>3</v>
      </c>
      <c r="N248">
        <v>0</v>
      </c>
    </row>
    <row r="249" spans="1:14" x14ac:dyDescent="0.25">
      <c r="A249">
        <v>61</v>
      </c>
      <c r="B249" s="32" t="str">
        <f>IF(A249&lt;30,"20-29",IF(A249&lt;40,"30-39",IF(A249&lt;50,"40-49",IF(A249&lt;60,"50-59",IF(A249&lt;70,"60-69",IF(A249&lt;80,"70+"))))))</f>
        <v>60-69</v>
      </c>
      <c r="C249">
        <v>1</v>
      </c>
      <c r="D249">
        <v>0</v>
      </c>
      <c r="E249">
        <v>148</v>
      </c>
      <c r="F249">
        <v>203</v>
      </c>
      <c r="G249">
        <v>0</v>
      </c>
      <c r="H249">
        <v>1</v>
      </c>
      <c r="I249">
        <v>161</v>
      </c>
      <c r="J249">
        <v>0</v>
      </c>
      <c r="K249">
        <v>0</v>
      </c>
      <c r="L249">
        <v>2</v>
      </c>
      <c r="M249">
        <v>3</v>
      </c>
      <c r="N249">
        <v>0</v>
      </c>
    </row>
    <row r="250" spans="1:14" x14ac:dyDescent="0.25">
      <c r="A250">
        <v>41</v>
      </c>
      <c r="B250" s="32" t="str">
        <f>IF(A250&lt;30,"20-29",IF(A250&lt;40,"30-39",IF(A250&lt;50,"40-49",IF(A250&lt;60,"50-59",IF(A250&lt;70,"60-69",IF(A250&lt;80,"70+"))))))</f>
        <v>40-49</v>
      </c>
      <c r="C250">
        <v>1</v>
      </c>
      <c r="D250">
        <v>1</v>
      </c>
      <c r="E250">
        <v>135</v>
      </c>
      <c r="F250">
        <v>203</v>
      </c>
      <c r="G250">
        <v>0</v>
      </c>
      <c r="H250">
        <v>1</v>
      </c>
      <c r="I250">
        <v>132</v>
      </c>
      <c r="J250">
        <v>0</v>
      </c>
      <c r="K250">
        <v>0</v>
      </c>
      <c r="L250">
        <v>1</v>
      </c>
      <c r="M250">
        <v>1</v>
      </c>
      <c r="N250">
        <v>1</v>
      </c>
    </row>
    <row r="251" spans="1:14" x14ac:dyDescent="0.25">
      <c r="A251">
        <v>52</v>
      </c>
      <c r="B251" s="32" t="str">
        <f>IF(A251&lt;30,"20-29",IF(A251&lt;40,"30-39",IF(A251&lt;50,"40-49",IF(A251&lt;60,"50-59",IF(A251&lt;70,"60-69",IF(A251&lt;80,"70+"))))))</f>
        <v>50-59</v>
      </c>
      <c r="C251">
        <v>1</v>
      </c>
      <c r="D251">
        <v>1</v>
      </c>
      <c r="E251">
        <v>134</v>
      </c>
      <c r="F251">
        <v>201</v>
      </c>
      <c r="G251">
        <v>0</v>
      </c>
      <c r="H251">
        <v>1</v>
      </c>
      <c r="I251">
        <v>158</v>
      </c>
      <c r="J251">
        <v>0</v>
      </c>
      <c r="K251">
        <v>0.8</v>
      </c>
      <c r="L251">
        <v>2</v>
      </c>
      <c r="M251">
        <v>2</v>
      </c>
      <c r="N251">
        <v>1</v>
      </c>
    </row>
    <row r="252" spans="1:14" x14ac:dyDescent="0.25">
      <c r="A252">
        <v>57</v>
      </c>
      <c r="B252" s="32" t="str">
        <f>IF(A252&lt;30,"20-29",IF(A252&lt;40,"30-39",IF(A252&lt;50,"40-49",IF(A252&lt;60,"50-59",IF(A252&lt;70,"60-69",IF(A252&lt;80,"70+"))))))</f>
        <v>50-59</v>
      </c>
      <c r="C252">
        <v>1</v>
      </c>
      <c r="D252">
        <v>0</v>
      </c>
      <c r="E252">
        <v>110</v>
      </c>
      <c r="F252">
        <v>201</v>
      </c>
      <c r="G252">
        <v>0</v>
      </c>
      <c r="H252">
        <v>1</v>
      </c>
      <c r="I252">
        <v>126</v>
      </c>
      <c r="J252">
        <v>1</v>
      </c>
      <c r="K252">
        <v>1.5</v>
      </c>
      <c r="L252">
        <v>1</v>
      </c>
      <c r="M252">
        <v>1</v>
      </c>
      <c r="N252">
        <v>1</v>
      </c>
    </row>
    <row r="253" spans="1:14" x14ac:dyDescent="0.25">
      <c r="A253">
        <v>54</v>
      </c>
      <c r="B253" s="32" t="str">
        <f>IF(A253&lt;30,"20-29",IF(A253&lt;40,"30-39",IF(A253&lt;50,"40-49",IF(A253&lt;60,"50-59",IF(A253&lt;70,"60-69",IF(A253&lt;80,"70+"))))))</f>
        <v>50-59</v>
      </c>
      <c r="C253">
        <v>0</v>
      </c>
      <c r="D253">
        <v>2</v>
      </c>
      <c r="E253">
        <v>160</v>
      </c>
      <c r="F253">
        <v>201</v>
      </c>
      <c r="G253">
        <v>0</v>
      </c>
      <c r="H253">
        <v>1</v>
      </c>
      <c r="I253">
        <v>163</v>
      </c>
      <c r="J253">
        <v>0</v>
      </c>
      <c r="K253">
        <v>0</v>
      </c>
      <c r="L253">
        <v>2</v>
      </c>
      <c r="M253">
        <v>2</v>
      </c>
      <c r="N253">
        <v>1</v>
      </c>
    </row>
    <row r="254" spans="1:14" x14ac:dyDescent="0.25">
      <c r="A254">
        <v>50</v>
      </c>
      <c r="B254" s="32" t="str">
        <f>IF(A254&lt;30,"20-29",IF(A254&lt;40,"30-39",IF(A254&lt;50,"40-49",IF(A254&lt;60,"50-59",IF(A254&lt;70,"60-69",IF(A254&lt;80,"70+"))))))</f>
        <v>50-59</v>
      </c>
      <c r="C254">
        <v>1</v>
      </c>
      <c r="D254">
        <v>0</v>
      </c>
      <c r="E254">
        <v>144</v>
      </c>
      <c r="F254">
        <v>200</v>
      </c>
      <c r="G254">
        <v>0</v>
      </c>
      <c r="H254">
        <v>0</v>
      </c>
      <c r="I254">
        <v>126</v>
      </c>
      <c r="J254">
        <v>1</v>
      </c>
      <c r="K254">
        <v>0.9</v>
      </c>
      <c r="L254">
        <v>1</v>
      </c>
      <c r="M254">
        <v>3</v>
      </c>
      <c r="N254">
        <v>0</v>
      </c>
    </row>
    <row r="255" spans="1:14" x14ac:dyDescent="0.25">
      <c r="A255">
        <v>40</v>
      </c>
      <c r="B255" s="32" t="str">
        <f>IF(A255&lt;30,"20-29",IF(A255&lt;40,"30-39",IF(A255&lt;50,"40-49",IF(A255&lt;60,"50-59",IF(A255&lt;70,"60-69",IF(A255&lt;80,"70+"))))))</f>
        <v>40-49</v>
      </c>
      <c r="C255">
        <v>1</v>
      </c>
      <c r="D255">
        <v>3</v>
      </c>
      <c r="E255">
        <v>140</v>
      </c>
      <c r="F255">
        <v>199</v>
      </c>
      <c r="G255">
        <v>0</v>
      </c>
      <c r="H255">
        <v>1</v>
      </c>
      <c r="I255">
        <v>178</v>
      </c>
      <c r="J255">
        <v>1</v>
      </c>
      <c r="K255">
        <v>1.4</v>
      </c>
      <c r="L255">
        <v>2</v>
      </c>
      <c r="M255">
        <v>3</v>
      </c>
      <c r="N255">
        <v>1</v>
      </c>
    </row>
    <row r="256" spans="1:14" x14ac:dyDescent="0.25">
      <c r="A256">
        <v>39</v>
      </c>
      <c r="B256" s="32" t="str">
        <f>IF(A256&lt;30,"20-29",IF(A256&lt;40,"30-39",IF(A256&lt;50,"40-49",IF(A256&lt;60,"50-59",IF(A256&lt;70,"60-69",IF(A256&lt;80,"70+"))))))</f>
        <v>30-39</v>
      </c>
      <c r="C256">
        <v>0</v>
      </c>
      <c r="D256">
        <v>2</v>
      </c>
      <c r="E256">
        <v>94</v>
      </c>
      <c r="F256">
        <v>199</v>
      </c>
      <c r="G256">
        <v>0</v>
      </c>
      <c r="H256">
        <v>1</v>
      </c>
      <c r="I256">
        <v>179</v>
      </c>
      <c r="J256">
        <v>0</v>
      </c>
      <c r="K256">
        <v>0</v>
      </c>
      <c r="L256">
        <v>2</v>
      </c>
      <c r="M256">
        <v>2</v>
      </c>
      <c r="N256">
        <v>1</v>
      </c>
    </row>
    <row r="257" spans="1:14" x14ac:dyDescent="0.25">
      <c r="A257">
        <v>52</v>
      </c>
      <c r="B257" s="32" t="str">
        <f>IF(A257&lt;30,"20-29",IF(A257&lt;40,"30-39",IF(A257&lt;50,"40-49",IF(A257&lt;60,"50-59",IF(A257&lt;70,"60-69",IF(A257&lt;80,"70+"))))))</f>
        <v>50-59</v>
      </c>
      <c r="C257">
        <v>1</v>
      </c>
      <c r="D257">
        <v>2</v>
      </c>
      <c r="E257">
        <v>172</v>
      </c>
      <c r="F257">
        <v>199</v>
      </c>
      <c r="G257">
        <v>1</v>
      </c>
      <c r="H257">
        <v>1</v>
      </c>
      <c r="I257">
        <v>162</v>
      </c>
      <c r="J257">
        <v>0</v>
      </c>
      <c r="K257">
        <v>0.5</v>
      </c>
      <c r="L257">
        <v>2</v>
      </c>
      <c r="M257">
        <v>3</v>
      </c>
      <c r="N257">
        <v>1</v>
      </c>
    </row>
    <row r="258" spans="1:14" x14ac:dyDescent="0.25">
      <c r="A258">
        <v>35</v>
      </c>
      <c r="B258" s="32" t="str">
        <f>IF(A258&lt;30,"20-29",IF(A258&lt;40,"30-39",IF(A258&lt;50,"40-49",IF(A258&lt;60,"50-59",IF(A258&lt;70,"60-69",IF(A258&lt;80,"70+"))))))</f>
        <v>30-39</v>
      </c>
      <c r="C258">
        <v>1</v>
      </c>
      <c r="D258">
        <v>0</v>
      </c>
      <c r="E258">
        <v>120</v>
      </c>
      <c r="F258">
        <v>198</v>
      </c>
      <c r="G258">
        <v>0</v>
      </c>
      <c r="H258">
        <v>1</v>
      </c>
      <c r="I258">
        <v>130</v>
      </c>
      <c r="J258">
        <v>1</v>
      </c>
      <c r="K258">
        <v>1.6</v>
      </c>
      <c r="L258">
        <v>1</v>
      </c>
      <c r="M258">
        <v>3</v>
      </c>
      <c r="N258">
        <v>0</v>
      </c>
    </row>
    <row r="259" spans="1:14" x14ac:dyDescent="0.25">
      <c r="A259">
        <v>41</v>
      </c>
      <c r="B259" s="32" t="str">
        <f>IF(A259&lt;30,"20-29",IF(A259&lt;40,"30-39",IF(A259&lt;50,"40-49",IF(A259&lt;60,"50-59",IF(A259&lt;70,"60-69",IF(A259&lt;80,"70+"))))))</f>
        <v>40-49</v>
      </c>
      <c r="C259">
        <v>0</v>
      </c>
      <c r="D259">
        <v>1</v>
      </c>
      <c r="E259">
        <v>105</v>
      </c>
      <c r="F259">
        <v>198</v>
      </c>
      <c r="G259">
        <v>0</v>
      </c>
      <c r="H259">
        <v>1</v>
      </c>
      <c r="I259">
        <v>168</v>
      </c>
      <c r="J259">
        <v>0</v>
      </c>
      <c r="K259">
        <v>0</v>
      </c>
      <c r="L259">
        <v>2</v>
      </c>
      <c r="M259">
        <v>2</v>
      </c>
      <c r="N259">
        <v>1</v>
      </c>
    </row>
    <row r="260" spans="1:14" x14ac:dyDescent="0.25">
      <c r="A260">
        <v>53</v>
      </c>
      <c r="B260" s="32" t="str">
        <f>IF(A260&lt;30,"20-29",IF(A260&lt;40,"30-39",IF(A260&lt;50,"40-49",IF(A260&lt;60,"50-59",IF(A260&lt;70,"60-69",IF(A260&lt;80,"70+"))))))</f>
        <v>50-59</v>
      </c>
      <c r="C260">
        <v>1</v>
      </c>
      <c r="D260">
        <v>2</v>
      </c>
      <c r="E260">
        <v>130</v>
      </c>
      <c r="F260">
        <v>197</v>
      </c>
      <c r="G260">
        <v>1</v>
      </c>
      <c r="H260">
        <v>0</v>
      </c>
      <c r="I260">
        <v>152</v>
      </c>
      <c r="J260">
        <v>0</v>
      </c>
      <c r="K260">
        <v>1.2</v>
      </c>
      <c r="L260">
        <v>0</v>
      </c>
      <c r="M260">
        <v>2</v>
      </c>
      <c r="N260">
        <v>1</v>
      </c>
    </row>
    <row r="261" spans="1:14" x14ac:dyDescent="0.25">
      <c r="A261">
        <v>76</v>
      </c>
      <c r="B261" s="32" t="str">
        <f>IF(A261&lt;30,"20-29",IF(A261&lt;40,"30-39",IF(A261&lt;50,"40-49",IF(A261&lt;60,"50-59",IF(A261&lt;70,"60-69",IF(A261&lt;80,"70+"))))))</f>
        <v>70+</v>
      </c>
      <c r="C261">
        <v>0</v>
      </c>
      <c r="D261">
        <v>2</v>
      </c>
      <c r="E261">
        <v>140</v>
      </c>
      <c r="F261">
        <v>197</v>
      </c>
      <c r="G261">
        <v>0</v>
      </c>
      <c r="H261">
        <v>2</v>
      </c>
      <c r="I261">
        <v>116</v>
      </c>
      <c r="J261">
        <v>0</v>
      </c>
      <c r="K261">
        <v>1.1000000000000001</v>
      </c>
      <c r="L261">
        <v>1</v>
      </c>
      <c r="M261">
        <v>2</v>
      </c>
      <c r="N261">
        <v>1</v>
      </c>
    </row>
    <row r="262" spans="1:14" x14ac:dyDescent="0.25">
      <c r="A262">
        <v>44</v>
      </c>
      <c r="B262" s="32" t="str">
        <f>IF(A262&lt;30,"20-29",IF(A262&lt;40,"30-39",IF(A262&lt;50,"40-49",IF(A262&lt;60,"50-59",IF(A262&lt;70,"60-69",IF(A262&lt;80,"70+"))))))</f>
        <v>40-49</v>
      </c>
      <c r="C262">
        <v>1</v>
      </c>
      <c r="D262">
        <v>0</v>
      </c>
      <c r="E262">
        <v>110</v>
      </c>
      <c r="F262">
        <v>197</v>
      </c>
      <c r="G262">
        <v>0</v>
      </c>
      <c r="H262">
        <v>0</v>
      </c>
      <c r="I262">
        <v>177</v>
      </c>
      <c r="J262">
        <v>0</v>
      </c>
      <c r="K262">
        <v>0</v>
      </c>
      <c r="L262">
        <v>2</v>
      </c>
      <c r="M262">
        <v>2</v>
      </c>
      <c r="N262">
        <v>0</v>
      </c>
    </row>
    <row r="263" spans="1:14" x14ac:dyDescent="0.25">
      <c r="A263">
        <v>63</v>
      </c>
      <c r="B263" s="32" t="str">
        <f>IF(A263&lt;30,"20-29",IF(A263&lt;40,"30-39",IF(A263&lt;50,"40-49",IF(A263&lt;60,"50-59",IF(A263&lt;70,"60-69",IF(A263&lt;80,"70+"))))))</f>
        <v>60-69</v>
      </c>
      <c r="C263">
        <v>0</v>
      </c>
      <c r="D263">
        <v>0</v>
      </c>
      <c r="E263">
        <v>124</v>
      </c>
      <c r="F263">
        <v>197</v>
      </c>
      <c r="G263">
        <v>0</v>
      </c>
      <c r="H263">
        <v>1</v>
      </c>
      <c r="I263">
        <v>136</v>
      </c>
      <c r="J263">
        <v>1</v>
      </c>
      <c r="K263">
        <v>0</v>
      </c>
      <c r="L263">
        <v>1</v>
      </c>
      <c r="M263">
        <v>2</v>
      </c>
      <c r="N263">
        <v>0</v>
      </c>
    </row>
    <row r="264" spans="1:14" x14ac:dyDescent="0.25">
      <c r="A264">
        <v>58</v>
      </c>
      <c r="B264" s="32" t="str">
        <f>IF(A264&lt;30,"20-29",IF(A264&lt;40,"30-39",IF(A264&lt;50,"40-49",IF(A264&lt;60,"50-59",IF(A264&lt;70,"60-69",IF(A264&lt;80,"70+"))))))</f>
        <v>50-59</v>
      </c>
      <c r="C264">
        <v>0</v>
      </c>
      <c r="D264">
        <v>0</v>
      </c>
      <c r="E264">
        <v>130</v>
      </c>
      <c r="F264">
        <v>197</v>
      </c>
      <c r="G264">
        <v>0</v>
      </c>
      <c r="H264">
        <v>1</v>
      </c>
      <c r="I264">
        <v>131</v>
      </c>
      <c r="J264">
        <v>0</v>
      </c>
      <c r="K264">
        <v>0.6</v>
      </c>
      <c r="L264">
        <v>1</v>
      </c>
      <c r="M264">
        <v>2</v>
      </c>
      <c r="N264">
        <v>1</v>
      </c>
    </row>
    <row r="265" spans="1:14" x14ac:dyDescent="0.25">
      <c r="A265">
        <v>46</v>
      </c>
      <c r="B265" s="32" t="str">
        <f>IF(A265&lt;30,"20-29",IF(A265&lt;40,"30-39",IF(A265&lt;50,"40-49",IF(A265&lt;60,"50-59",IF(A265&lt;70,"60-69",IF(A265&lt;80,"70+"))))))</f>
        <v>40-49</v>
      </c>
      <c r="C265">
        <v>1</v>
      </c>
      <c r="D265">
        <v>1</v>
      </c>
      <c r="E265">
        <v>101</v>
      </c>
      <c r="F265">
        <v>197</v>
      </c>
      <c r="G265">
        <v>1</v>
      </c>
      <c r="H265">
        <v>1</v>
      </c>
      <c r="I265">
        <v>156</v>
      </c>
      <c r="J265">
        <v>0</v>
      </c>
      <c r="K265">
        <v>0</v>
      </c>
      <c r="L265">
        <v>2</v>
      </c>
      <c r="M265">
        <v>3</v>
      </c>
      <c r="N265">
        <v>1</v>
      </c>
    </row>
    <row r="266" spans="1:14" x14ac:dyDescent="0.25">
      <c r="A266">
        <v>50</v>
      </c>
      <c r="B266" s="32" t="str">
        <f>IF(A266&lt;30,"20-29",IF(A266&lt;40,"30-39",IF(A266&lt;50,"40-49",IF(A266&lt;60,"50-59",IF(A266&lt;70,"60-69",IF(A266&lt;80,"70+"))))))</f>
        <v>50-59</v>
      </c>
      <c r="C266">
        <v>1</v>
      </c>
      <c r="D266">
        <v>2</v>
      </c>
      <c r="E266">
        <v>129</v>
      </c>
      <c r="F266">
        <v>196</v>
      </c>
      <c r="G266">
        <v>0</v>
      </c>
      <c r="H266">
        <v>1</v>
      </c>
      <c r="I266">
        <v>163</v>
      </c>
      <c r="J266">
        <v>0</v>
      </c>
      <c r="K266">
        <v>0</v>
      </c>
      <c r="L266">
        <v>2</v>
      </c>
      <c r="M266">
        <v>2</v>
      </c>
      <c r="N266">
        <v>1</v>
      </c>
    </row>
    <row r="267" spans="1:14" x14ac:dyDescent="0.25">
      <c r="A267">
        <v>52</v>
      </c>
      <c r="B267" s="32" t="str">
        <f>IF(A267&lt;30,"20-29",IF(A267&lt;40,"30-39",IF(A267&lt;50,"40-49",IF(A267&lt;60,"50-59",IF(A267&lt;70,"60-69",IF(A267&lt;80,"70+"))))))</f>
        <v>50-59</v>
      </c>
      <c r="C267">
        <v>0</v>
      </c>
      <c r="D267">
        <v>2</v>
      </c>
      <c r="E267">
        <v>136</v>
      </c>
      <c r="F267">
        <v>196</v>
      </c>
      <c r="G267">
        <v>0</v>
      </c>
      <c r="H267">
        <v>0</v>
      </c>
      <c r="I267">
        <v>169</v>
      </c>
      <c r="J267">
        <v>0</v>
      </c>
      <c r="K267">
        <v>0.1</v>
      </c>
      <c r="L267">
        <v>1</v>
      </c>
      <c r="M267">
        <v>2</v>
      </c>
      <c r="N267">
        <v>1</v>
      </c>
    </row>
    <row r="268" spans="1:14" x14ac:dyDescent="0.25">
      <c r="A268">
        <v>63</v>
      </c>
      <c r="B268" s="32" t="str">
        <f>IF(A268&lt;30,"20-29",IF(A268&lt;40,"30-39",IF(A268&lt;50,"40-49",IF(A268&lt;60,"50-59",IF(A268&lt;70,"60-69",IF(A268&lt;80,"70+"))))))</f>
        <v>60-69</v>
      </c>
      <c r="C268">
        <v>0</v>
      </c>
      <c r="D268">
        <v>1</v>
      </c>
      <c r="E268">
        <v>140</v>
      </c>
      <c r="F268">
        <v>195</v>
      </c>
      <c r="G268">
        <v>0</v>
      </c>
      <c r="H268">
        <v>1</v>
      </c>
      <c r="I268">
        <v>179</v>
      </c>
      <c r="J268">
        <v>0</v>
      </c>
      <c r="K268">
        <v>0</v>
      </c>
      <c r="L268">
        <v>2</v>
      </c>
      <c r="M268">
        <v>2</v>
      </c>
      <c r="N268">
        <v>1</v>
      </c>
    </row>
    <row r="269" spans="1:14" x14ac:dyDescent="0.25">
      <c r="A269">
        <v>56</v>
      </c>
      <c r="B269" s="32" t="str">
        <f>IF(A269&lt;30,"20-29",IF(A269&lt;40,"30-39",IF(A269&lt;50,"40-49",IF(A269&lt;60,"50-59",IF(A269&lt;70,"60-69",IF(A269&lt;80,"70+"))))))</f>
        <v>50-59</v>
      </c>
      <c r="C269">
        <v>1</v>
      </c>
      <c r="D269">
        <v>3</v>
      </c>
      <c r="E269">
        <v>120</v>
      </c>
      <c r="F269">
        <v>193</v>
      </c>
      <c r="G269">
        <v>0</v>
      </c>
      <c r="H269">
        <v>0</v>
      </c>
      <c r="I269">
        <v>162</v>
      </c>
      <c r="J269">
        <v>0</v>
      </c>
      <c r="K269">
        <v>1.9</v>
      </c>
      <c r="L269">
        <v>1</v>
      </c>
      <c r="M269">
        <v>3</v>
      </c>
      <c r="N269">
        <v>1</v>
      </c>
    </row>
    <row r="270" spans="1:14" x14ac:dyDescent="0.25">
      <c r="A270">
        <v>68</v>
      </c>
      <c r="B270" s="32" t="str">
        <f>IF(A270&lt;30,"20-29",IF(A270&lt;40,"30-39",IF(A270&lt;50,"40-49",IF(A270&lt;60,"50-59",IF(A270&lt;70,"60-69",IF(A270&lt;80,"70+"))))))</f>
        <v>60-69</v>
      </c>
      <c r="C270">
        <v>1</v>
      </c>
      <c r="D270">
        <v>0</v>
      </c>
      <c r="E270">
        <v>144</v>
      </c>
      <c r="F270">
        <v>193</v>
      </c>
      <c r="G270">
        <v>1</v>
      </c>
      <c r="H270">
        <v>1</v>
      </c>
      <c r="I270">
        <v>141</v>
      </c>
      <c r="J270">
        <v>0</v>
      </c>
      <c r="K270">
        <v>3.4</v>
      </c>
      <c r="L270">
        <v>1</v>
      </c>
      <c r="M270">
        <v>3</v>
      </c>
      <c r="N270">
        <v>0</v>
      </c>
    </row>
    <row r="271" spans="1:14" x14ac:dyDescent="0.25">
      <c r="A271">
        <v>57</v>
      </c>
      <c r="B271" s="32" t="str">
        <f>IF(A271&lt;30,"20-29",IF(A271&lt;40,"30-39",IF(A271&lt;50,"40-49",IF(A271&lt;60,"50-59",IF(A271&lt;70,"60-69",IF(A271&lt;80,"70+"))))))</f>
        <v>50-59</v>
      </c>
      <c r="C271">
        <v>1</v>
      </c>
      <c r="D271">
        <v>0</v>
      </c>
      <c r="E271">
        <v>140</v>
      </c>
      <c r="F271">
        <v>192</v>
      </c>
      <c r="G271">
        <v>0</v>
      </c>
      <c r="H271">
        <v>1</v>
      </c>
      <c r="I271">
        <v>148</v>
      </c>
      <c r="J271">
        <v>0</v>
      </c>
      <c r="K271">
        <v>0.4</v>
      </c>
      <c r="L271">
        <v>1</v>
      </c>
      <c r="M271">
        <v>1</v>
      </c>
      <c r="N271">
        <v>1</v>
      </c>
    </row>
    <row r="272" spans="1:14" x14ac:dyDescent="0.25">
      <c r="A272">
        <v>35</v>
      </c>
      <c r="B272" s="32" t="str">
        <f>IF(A272&lt;30,"20-29",IF(A272&lt;40,"30-39",IF(A272&lt;50,"40-49",IF(A272&lt;60,"50-59",IF(A272&lt;70,"60-69",IF(A272&lt;80,"70+"))))))</f>
        <v>30-39</v>
      </c>
      <c r="C272">
        <v>1</v>
      </c>
      <c r="D272">
        <v>1</v>
      </c>
      <c r="E272">
        <v>122</v>
      </c>
      <c r="F272">
        <v>192</v>
      </c>
      <c r="G272">
        <v>0</v>
      </c>
      <c r="H272">
        <v>1</v>
      </c>
      <c r="I272">
        <v>174</v>
      </c>
      <c r="J272">
        <v>0</v>
      </c>
      <c r="K272">
        <v>0</v>
      </c>
      <c r="L272">
        <v>2</v>
      </c>
      <c r="M272">
        <v>2</v>
      </c>
      <c r="N272">
        <v>1</v>
      </c>
    </row>
    <row r="273" spans="1:14" x14ac:dyDescent="0.25">
      <c r="A273">
        <v>49</v>
      </c>
      <c r="B273" s="32" t="str">
        <f>IF(A273&lt;30,"20-29",IF(A273&lt;40,"30-39",IF(A273&lt;50,"40-49",IF(A273&lt;60,"50-59",IF(A273&lt;70,"60-69",IF(A273&lt;80,"70+"))))))</f>
        <v>40-49</v>
      </c>
      <c r="C273">
        <v>1</v>
      </c>
      <c r="D273">
        <v>2</v>
      </c>
      <c r="E273">
        <v>120</v>
      </c>
      <c r="F273">
        <v>188</v>
      </c>
      <c r="G273">
        <v>0</v>
      </c>
      <c r="H273">
        <v>1</v>
      </c>
      <c r="I273">
        <v>139</v>
      </c>
      <c r="J273">
        <v>0</v>
      </c>
      <c r="K273">
        <v>2</v>
      </c>
      <c r="L273">
        <v>1</v>
      </c>
      <c r="M273">
        <v>3</v>
      </c>
      <c r="N273">
        <v>0</v>
      </c>
    </row>
    <row r="274" spans="1:14" x14ac:dyDescent="0.25">
      <c r="A274">
        <v>54</v>
      </c>
      <c r="B274" s="32" t="str">
        <f>IF(A274&lt;30,"20-29",IF(A274&lt;40,"30-39",IF(A274&lt;50,"40-49",IF(A274&lt;60,"50-59",IF(A274&lt;70,"60-69",IF(A274&lt;80,"70+"))))))</f>
        <v>50-59</v>
      </c>
      <c r="C274">
        <v>1</v>
      </c>
      <c r="D274">
        <v>0</v>
      </c>
      <c r="E274">
        <v>120</v>
      </c>
      <c r="F274">
        <v>188</v>
      </c>
      <c r="G274">
        <v>0</v>
      </c>
      <c r="H274">
        <v>1</v>
      </c>
      <c r="I274">
        <v>113</v>
      </c>
      <c r="J274">
        <v>0</v>
      </c>
      <c r="K274">
        <v>1.4</v>
      </c>
      <c r="L274">
        <v>1</v>
      </c>
      <c r="M274">
        <v>3</v>
      </c>
      <c r="N274">
        <v>0</v>
      </c>
    </row>
    <row r="275" spans="1:14" x14ac:dyDescent="0.25">
      <c r="A275">
        <v>63</v>
      </c>
      <c r="B275" s="32" t="str">
        <f>IF(A275&lt;30,"20-29",IF(A275&lt;40,"30-39",IF(A275&lt;50,"40-49",IF(A275&lt;60,"50-59",IF(A275&lt;70,"60-69",IF(A275&lt;80,"70+"))))))</f>
        <v>60-69</v>
      </c>
      <c r="C275">
        <v>1</v>
      </c>
      <c r="D275">
        <v>0</v>
      </c>
      <c r="E275">
        <v>140</v>
      </c>
      <c r="F275">
        <v>187</v>
      </c>
      <c r="G275">
        <v>0</v>
      </c>
      <c r="H275">
        <v>0</v>
      </c>
      <c r="I275">
        <v>144</v>
      </c>
      <c r="J275">
        <v>1</v>
      </c>
      <c r="K275">
        <v>4</v>
      </c>
      <c r="L275">
        <v>2</v>
      </c>
      <c r="M275">
        <v>3</v>
      </c>
      <c r="N275">
        <v>0</v>
      </c>
    </row>
    <row r="276" spans="1:14" x14ac:dyDescent="0.25">
      <c r="A276">
        <v>52</v>
      </c>
      <c r="B276" s="32" t="str">
        <f>IF(A276&lt;30,"20-29",IF(A276&lt;40,"30-39",IF(A276&lt;50,"40-49",IF(A276&lt;60,"50-59",IF(A276&lt;70,"60-69",IF(A276&lt;80,"70+"))))))</f>
        <v>50-59</v>
      </c>
      <c r="C276">
        <v>1</v>
      </c>
      <c r="D276">
        <v>3</v>
      </c>
      <c r="E276">
        <v>118</v>
      </c>
      <c r="F276">
        <v>186</v>
      </c>
      <c r="G276">
        <v>0</v>
      </c>
      <c r="H276">
        <v>0</v>
      </c>
      <c r="I276">
        <v>190</v>
      </c>
      <c r="J276">
        <v>0</v>
      </c>
      <c r="K276">
        <v>0</v>
      </c>
      <c r="L276">
        <v>1</v>
      </c>
      <c r="M276">
        <v>1</v>
      </c>
      <c r="N276">
        <v>1</v>
      </c>
    </row>
    <row r="277" spans="1:14" x14ac:dyDescent="0.25">
      <c r="A277">
        <v>60</v>
      </c>
      <c r="B277" s="32" t="str">
        <f>IF(A277&lt;30,"20-29",IF(A277&lt;40,"30-39",IF(A277&lt;50,"40-49",IF(A277&lt;60,"50-59",IF(A277&lt;70,"60-69",IF(A277&lt;80,"70+"))))))</f>
        <v>60-69</v>
      </c>
      <c r="C277">
        <v>1</v>
      </c>
      <c r="D277">
        <v>2</v>
      </c>
      <c r="E277">
        <v>140</v>
      </c>
      <c r="F277">
        <v>185</v>
      </c>
      <c r="G277">
        <v>0</v>
      </c>
      <c r="H277">
        <v>0</v>
      </c>
      <c r="I277">
        <v>155</v>
      </c>
      <c r="J277">
        <v>0</v>
      </c>
      <c r="K277">
        <v>3</v>
      </c>
      <c r="L277">
        <v>1</v>
      </c>
      <c r="M277">
        <v>2</v>
      </c>
      <c r="N277">
        <v>0</v>
      </c>
    </row>
    <row r="278" spans="1:14" x14ac:dyDescent="0.25">
      <c r="A278">
        <v>56</v>
      </c>
      <c r="B278" s="32" t="str">
        <f>IF(A278&lt;30,"20-29",IF(A278&lt;40,"30-39",IF(A278&lt;50,"40-49",IF(A278&lt;60,"50-59",IF(A278&lt;70,"60-69",IF(A278&lt;80,"70+"))))))</f>
        <v>50-59</v>
      </c>
      <c r="C278">
        <v>1</v>
      </c>
      <c r="D278">
        <v>0</v>
      </c>
      <c r="E278">
        <v>132</v>
      </c>
      <c r="F278">
        <v>184</v>
      </c>
      <c r="G278">
        <v>0</v>
      </c>
      <c r="H278">
        <v>0</v>
      </c>
      <c r="I278">
        <v>105</v>
      </c>
      <c r="J278">
        <v>1</v>
      </c>
      <c r="K278">
        <v>2.1</v>
      </c>
      <c r="L278">
        <v>1</v>
      </c>
      <c r="M278">
        <v>1</v>
      </c>
      <c r="N278">
        <v>0</v>
      </c>
    </row>
    <row r="279" spans="1:14" x14ac:dyDescent="0.25">
      <c r="A279">
        <v>35</v>
      </c>
      <c r="B279" s="32" t="str">
        <f>IF(A279&lt;30,"20-29",IF(A279&lt;40,"30-39",IF(A279&lt;50,"40-49",IF(A279&lt;60,"50-59",IF(A279&lt;70,"60-69",IF(A279&lt;80,"70+"))))))</f>
        <v>30-39</v>
      </c>
      <c r="C279">
        <v>0</v>
      </c>
      <c r="D279">
        <v>0</v>
      </c>
      <c r="E279">
        <v>138</v>
      </c>
      <c r="F279">
        <v>183</v>
      </c>
      <c r="G279">
        <v>0</v>
      </c>
      <c r="H279">
        <v>1</v>
      </c>
      <c r="I279">
        <v>182</v>
      </c>
      <c r="J279">
        <v>0</v>
      </c>
      <c r="K279">
        <v>1.4</v>
      </c>
      <c r="L279">
        <v>2</v>
      </c>
      <c r="M279">
        <v>2</v>
      </c>
      <c r="N279">
        <v>1</v>
      </c>
    </row>
    <row r="280" spans="1:14" x14ac:dyDescent="0.25">
      <c r="A280">
        <v>34</v>
      </c>
      <c r="B280" s="32" t="str">
        <f>IF(A280&lt;30,"20-29",IF(A280&lt;40,"30-39",IF(A280&lt;50,"40-49",IF(A280&lt;60,"50-59",IF(A280&lt;70,"60-69",IF(A280&lt;80,"70+"))))))</f>
        <v>30-39</v>
      </c>
      <c r="C280">
        <v>1</v>
      </c>
      <c r="D280">
        <v>3</v>
      </c>
      <c r="E280">
        <v>118</v>
      </c>
      <c r="F280">
        <v>182</v>
      </c>
      <c r="G280">
        <v>0</v>
      </c>
      <c r="H280">
        <v>0</v>
      </c>
      <c r="I280">
        <v>174</v>
      </c>
      <c r="J280">
        <v>0</v>
      </c>
      <c r="K280">
        <v>0</v>
      </c>
      <c r="L280">
        <v>2</v>
      </c>
      <c r="M280">
        <v>2</v>
      </c>
      <c r="N280">
        <v>1</v>
      </c>
    </row>
    <row r="281" spans="1:14" x14ac:dyDescent="0.25">
      <c r="A281">
        <v>42</v>
      </c>
      <c r="B281" s="32" t="str">
        <f>IF(A281&lt;30,"20-29",IF(A281&lt;40,"30-39",IF(A281&lt;50,"40-49",IF(A281&lt;60,"50-59",IF(A281&lt;70,"60-69",IF(A281&lt;80,"70+"))))))</f>
        <v>40-49</v>
      </c>
      <c r="C281">
        <v>1</v>
      </c>
      <c r="D281">
        <v>2</v>
      </c>
      <c r="E281">
        <v>130</v>
      </c>
      <c r="F281">
        <v>180</v>
      </c>
      <c r="G281">
        <v>0</v>
      </c>
      <c r="H281">
        <v>1</v>
      </c>
      <c r="I281">
        <v>150</v>
      </c>
      <c r="J281">
        <v>0</v>
      </c>
      <c r="K281">
        <v>0</v>
      </c>
      <c r="L281">
        <v>2</v>
      </c>
      <c r="M281">
        <v>2</v>
      </c>
      <c r="N281">
        <v>1</v>
      </c>
    </row>
    <row r="282" spans="1:14" x14ac:dyDescent="0.25">
      <c r="A282">
        <v>60</v>
      </c>
      <c r="B282" s="32" t="str">
        <f>IF(A282&lt;30,"20-29",IF(A282&lt;40,"30-39",IF(A282&lt;50,"40-49",IF(A282&lt;60,"50-59",IF(A282&lt;70,"60-69",IF(A282&lt;80,"70+"))))))</f>
        <v>60-69</v>
      </c>
      <c r="C282">
        <v>0</v>
      </c>
      <c r="D282">
        <v>2</v>
      </c>
      <c r="E282">
        <v>120</v>
      </c>
      <c r="F282">
        <v>178</v>
      </c>
      <c r="G282">
        <v>1</v>
      </c>
      <c r="H282">
        <v>1</v>
      </c>
      <c r="I282">
        <v>96</v>
      </c>
      <c r="J282">
        <v>0</v>
      </c>
      <c r="K282">
        <v>0</v>
      </c>
      <c r="L282">
        <v>2</v>
      </c>
      <c r="M282">
        <v>2</v>
      </c>
      <c r="N282">
        <v>1</v>
      </c>
    </row>
    <row r="283" spans="1:14" x14ac:dyDescent="0.25">
      <c r="A283">
        <v>59</v>
      </c>
      <c r="B283" s="32" t="str">
        <f>IF(A283&lt;30,"20-29",IF(A283&lt;40,"30-39",IF(A283&lt;50,"40-49",IF(A283&lt;60,"50-59",IF(A283&lt;70,"60-69",IF(A283&lt;80,"70+"))))))</f>
        <v>50-59</v>
      </c>
      <c r="C283">
        <v>1</v>
      </c>
      <c r="D283">
        <v>0</v>
      </c>
      <c r="E283">
        <v>140</v>
      </c>
      <c r="F283">
        <v>177</v>
      </c>
      <c r="G283">
        <v>0</v>
      </c>
      <c r="H283">
        <v>1</v>
      </c>
      <c r="I283">
        <v>162</v>
      </c>
      <c r="J283">
        <v>1</v>
      </c>
      <c r="K283">
        <v>0</v>
      </c>
      <c r="L283">
        <v>2</v>
      </c>
      <c r="M283">
        <v>3</v>
      </c>
      <c r="N283">
        <v>0</v>
      </c>
    </row>
    <row r="284" spans="1:14" x14ac:dyDescent="0.25">
      <c r="A284">
        <v>43</v>
      </c>
      <c r="B284" s="32" t="str">
        <f>IF(A284&lt;30,"20-29",IF(A284&lt;40,"30-39",IF(A284&lt;50,"40-49",IF(A284&lt;60,"50-59",IF(A284&lt;70,"60-69",IF(A284&lt;80,"70+"))))))</f>
        <v>40-49</v>
      </c>
      <c r="C284">
        <v>1</v>
      </c>
      <c r="D284">
        <v>0</v>
      </c>
      <c r="E284">
        <v>120</v>
      </c>
      <c r="F284">
        <v>177</v>
      </c>
      <c r="G284">
        <v>0</v>
      </c>
      <c r="H284">
        <v>0</v>
      </c>
      <c r="I284">
        <v>120</v>
      </c>
      <c r="J284">
        <v>1</v>
      </c>
      <c r="K284">
        <v>2.5</v>
      </c>
      <c r="L284">
        <v>1</v>
      </c>
      <c r="M284">
        <v>3</v>
      </c>
      <c r="N284">
        <v>0</v>
      </c>
    </row>
    <row r="285" spans="1:14" x14ac:dyDescent="0.25">
      <c r="A285">
        <v>46</v>
      </c>
      <c r="B285" s="32" t="str">
        <f>IF(A285&lt;30,"20-29",IF(A285&lt;40,"30-39",IF(A285&lt;50,"40-49",IF(A285&lt;60,"50-59",IF(A285&lt;70,"60-69",IF(A285&lt;80,"70+"))))))</f>
        <v>40-49</v>
      </c>
      <c r="C285">
        <v>0</v>
      </c>
      <c r="D285">
        <v>2</v>
      </c>
      <c r="E285">
        <v>142</v>
      </c>
      <c r="F285">
        <v>177</v>
      </c>
      <c r="G285">
        <v>0</v>
      </c>
      <c r="H285">
        <v>0</v>
      </c>
      <c r="I285">
        <v>160</v>
      </c>
      <c r="J285">
        <v>1</v>
      </c>
      <c r="K285">
        <v>1.4</v>
      </c>
      <c r="L285">
        <v>0</v>
      </c>
      <c r="M285">
        <v>2</v>
      </c>
      <c r="N285">
        <v>1</v>
      </c>
    </row>
    <row r="286" spans="1:14" x14ac:dyDescent="0.25">
      <c r="A286">
        <v>65</v>
      </c>
      <c r="B286" s="32" t="str">
        <f>IF(A286&lt;30,"20-29",IF(A286&lt;40,"30-39",IF(A286&lt;50,"40-49",IF(A286&lt;60,"50-59",IF(A286&lt;70,"60-69",IF(A286&lt;80,"70+"))))))</f>
        <v>60-69</v>
      </c>
      <c r="C286">
        <v>1</v>
      </c>
      <c r="D286">
        <v>0</v>
      </c>
      <c r="E286">
        <v>120</v>
      </c>
      <c r="F286">
        <v>177</v>
      </c>
      <c r="G286">
        <v>0</v>
      </c>
      <c r="H286">
        <v>1</v>
      </c>
      <c r="I286">
        <v>140</v>
      </c>
      <c r="J286">
        <v>0</v>
      </c>
      <c r="K286">
        <v>0.4</v>
      </c>
      <c r="L286">
        <v>2</v>
      </c>
      <c r="M286">
        <v>3</v>
      </c>
      <c r="N286">
        <v>1</v>
      </c>
    </row>
    <row r="287" spans="1:14" x14ac:dyDescent="0.25">
      <c r="A287">
        <v>59</v>
      </c>
      <c r="B287" s="32" t="str">
        <f>IF(A287&lt;30,"20-29",IF(A287&lt;40,"30-39",IF(A287&lt;50,"40-49",IF(A287&lt;60,"50-59",IF(A287&lt;70,"60-69",IF(A287&lt;80,"70+"))))))</f>
        <v>50-59</v>
      </c>
      <c r="C287">
        <v>1</v>
      </c>
      <c r="D287">
        <v>0</v>
      </c>
      <c r="E287">
        <v>164</v>
      </c>
      <c r="F287">
        <v>176</v>
      </c>
      <c r="G287">
        <v>1</v>
      </c>
      <c r="H287">
        <v>0</v>
      </c>
      <c r="I287">
        <v>90</v>
      </c>
      <c r="J287">
        <v>0</v>
      </c>
      <c r="K287">
        <v>1</v>
      </c>
      <c r="L287">
        <v>1</v>
      </c>
      <c r="M287">
        <v>1</v>
      </c>
      <c r="N287">
        <v>0</v>
      </c>
    </row>
    <row r="288" spans="1:14" x14ac:dyDescent="0.25">
      <c r="A288">
        <v>38</v>
      </c>
      <c r="B288" s="32" t="str">
        <f>IF(A288&lt;30,"20-29",IF(A288&lt;40,"30-39",IF(A288&lt;50,"40-49",IF(A288&lt;60,"50-59",IF(A288&lt;70,"60-69",IF(A288&lt;80,"70+"))))))</f>
        <v>30-39</v>
      </c>
      <c r="C288">
        <v>1</v>
      </c>
      <c r="D288">
        <v>2</v>
      </c>
      <c r="E288">
        <v>138</v>
      </c>
      <c r="F288">
        <v>175</v>
      </c>
      <c r="G288">
        <v>0</v>
      </c>
      <c r="H288">
        <v>1</v>
      </c>
      <c r="I288">
        <v>173</v>
      </c>
      <c r="J288">
        <v>0</v>
      </c>
      <c r="K288">
        <v>0</v>
      </c>
      <c r="L288">
        <v>2</v>
      </c>
      <c r="M288">
        <v>2</v>
      </c>
      <c r="N288">
        <v>1</v>
      </c>
    </row>
    <row r="289" spans="1:14" x14ac:dyDescent="0.25">
      <c r="A289">
        <v>51</v>
      </c>
      <c r="B289" s="32" t="str">
        <f>IF(A289&lt;30,"20-29",IF(A289&lt;40,"30-39",IF(A289&lt;50,"40-49",IF(A289&lt;60,"50-59",IF(A289&lt;70,"60-69",IF(A289&lt;80,"70+"))))))</f>
        <v>50-59</v>
      </c>
      <c r="C289">
        <v>1</v>
      </c>
      <c r="D289">
        <v>2</v>
      </c>
      <c r="E289">
        <v>110</v>
      </c>
      <c r="F289">
        <v>175</v>
      </c>
      <c r="G289">
        <v>0</v>
      </c>
      <c r="H289">
        <v>1</v>
      </c>
      <c r="I289">
        <v>123</v>
      </c>
      <c r="J289">
        <v>0</v>
      </c>
      <c r="K289">
        <v>0.6</v>
      </c>
      <c r="L289">
        <v>2</v>
      </c>
      <c r="M289">
        <v>2</v>
      </c>
      <c r="N289">
        <v>1</v>
      </c>
    </row>
    <row r="290" spans="1:14" x14ac:dyDescent="0.25">
      <c r="A290">
        <v>70</v>
      </c>
      <c r="B290" s="32" t="str">
        <f>IF(A290&lt;30,"20-29",IF(A290&lt;40,"30-39",IF(A290&lt;50,"40-49",IF(A290&lt;60,"50-59",IF(A290&lt;70,"60-69",IF(A290&lt;80,"70+"))))))</f>
        <v>70+</v>
      </c>
      <c r="C290">
        <v>1</v>
      </c>
      <c r="D290">
        <v>0</v>
      </c>
      <c r="E290">
        <v>145</v>
      </c>
      <c r="F290">
        <v>174</v>
      </c>
      <c r="G290">
        <v>0</v>
      </c>
      <c r="H290">
        <v>1</v>
      </c>
      <c r="I290">
        <v>125</v>
      </c>
      <c r="J290">
        <v>1</v>
      </c>
      <c r="K290">
        <v>2.6</v>
      </c>
      <c r="L290">
        <v>0</v>
      </c>
      <c r="M290">
        <v>3</v>
      </c>
      <c r="N290">
        <v>0</v>
      </c>
    </row>
    <row r="291" spans="1:14" x14ac:dyDescent="0.25">
      <c r="A291">
        <v>41</v>
      </c>
      <c r="B291" s="32" t="str">
        <f>IF(A291&lt;30,"20-29",IF(A291&lt;40,"30-39",IF(A291&lt;50,"40-49",IF(A291&lt;60,"50-59",IF(A291&lt;70,"60-69",IF(A291&lt;80,"70+"))))))</f>
        <v>40-49</v>
      </c>
      <c r="C291">
        <v>1</v>
      </c>
      <c r="D291">
        <v>0</v>
      </c>
      <c r="E291">
        <v>110</v>
      </c>
      <c r="F291">
        <v>172</v>
      </c>
      <c r="G291">
        <v>0</v>
      </c>
      <c r="H291">
        <v>0</v>
      </c>
      <c r="I291">
        <v>158</v>
      </c>
      <c r="J291">
        <v>0</v>
      </c>
      <c r="K291">
        <v>0</v>
      </c>
      <c r="L291">
        <v>2</v>
      </c>
      <c r="M291">
        <v>3</v>
      </c>
      <c r="N291">
        <v>0</v>
      </c>
    </row>
    <row r="292" spans="1:14" x14ac:dyDescent="0.25">
      <c r="A292">
        <v>44</v>
      </c>
      <c r="B292" s="32" t="str">
        <f>IF(A292&lt;30,"20-29",IF(A292&lt;40,"30-39",IF(A292&lt;50,"40-49",IF(A292&lt;60,"50-59",IF(A292&lt;70,"60-69",IF(A292&lt;80,"70+"))))))</f>
        <v>40-49</v>
      </c>
      <c r="C292">
        <v>1</v>
      </c>
      <c r="D292">
        <v>0</v>
      </c>
      <c r="E292">
        <v>120</v>
      </c>
      <c r="F292">
        <v>169</v>
      </c>
      <c r="G292">
        <v>0</v>
      </c>
      <c r="H292">
        <v>1</v>
      </c>
      <c r="I292">
        <v>144</v>
      </c>
      <c r="J292">
        <v>1</v>
      </c>
      <c r="K292">
        <v>2.8</v>
      </c>
      <c r="L292">
        <v>0</v>
      </c>
      <c r="M292">
        <v>1</v>
      </c>
      <c r="N292">
        <v>0</v>
      </c>
    </row>
    <row r="293" spans="1:14" x14ac:dyDescent="0.25">
      <c r="A293">
        <v>57</v>
      </c>
      <c r="B293" s="32" t="str">
        <f>IF(A293&lt;30,"20-29",IF(A293&lt;40,"30-39",IF(A293&lt;50,"40-49",IF(A293&lt;60,"50-59",IF(A293&lt;70,"60-69",IF(A293&lt;80,"70+"))))))</f>
        <v>50-59</v>
      </c>
      <c r="C293">
        <v>1</v>
      </c>
      <c r="D293">
        <v>2</v>
      </c>
      <c r="E293">
        <v>150</v>
      </c>
      <c r="F293">
        <v>168</v>
      </c>
      <c r="G293">
        <v>0</v>
      </c>
      <c r="H293">
        <v>1</v>
      </c>
      <c r="I293">
        <v>174</v>
      </c>
      <c r="J293">
        <v>0</v>
      </c>
      <c r="K293">
        <v>1.6</v>
      </c>
      <c r="L293">
        <v>2</v>
      </c>
      <c r="M293">
        <v>2</v>
      </c>
      <c r="N293">
        <v>1</v>
      </c>
    </row>
    <row r="294" spans="1:14" x14ac:dyDescent="0.25">
      <c r="A294">
        <v>40</v>
      </c>
      <c r="B294" s="32" t="str">
        <f>IF(A294&lt;30,"20-29",IF(A294&lt;40,"30-39",IF(A294&lt;50,"40-49",IF(A294&lt;60,"50-59",IF(A294&lt;70,"60-69",IF(A294&lt;80,"70+"))))))</f>
        <v>40-49</v>
      </c>
      <c r="C294">
        <v>1</v>
      </c>
      <c r="D294">
        <v>0</v>
      </c>
      <c r="E294">
        <v>110</v>
      </c>
      <c r="F294">
        <v>167</v>
      </c>
      <c r="G294">
        <v>0</v>
      </c>
      <c r="H294">
        <v>0</v>
      </c>
      <c r="I294">
        <v>114</v>
      </c>
      <c r="J294">
        <v>1</v>
      </c>
      <c r="K294">
        <v>2</v>
      </c>
      <c r="L294">
        <v>1</v>
      </c>
      <c r="M294">
        <v>3</v>
      </c>
      <c r="N294">
        <v>0</v>
      </c>
    </row>
    <row r="295" spans="1:14" x14ac:dyDescent="0.25">
      <c r="A295">
        <v>61</v>
      </c>
      <c r="B295" s="32" t="str">
        <f>IF(A295&lt;30,"20-29",IF(A295&lt;40,"30-39",IF(A295&lt;50,"40-49",IF(A295&lt;60,"50-59",IF(A295&lt;70,"60-69",IF(A295&lt;80,"70+"))))))</f>
        <v>60-69</v>
      </c>
      <c r="C295">
        <v>1</v>
      </c>
      <c r="D295">
        <v>0</v>
      </c>
      <c r="E295">
        <v>138</v>
      </c>
      <c r="F295">
        <v>166</v>
      </c>
      <c r="G295">
        <v>0</v>
      </c>
      <c r="H295">
        <v>0</v>
      </c>
      <c r="I295">
        <v>125</v>
      </c>
      <c r="J295">
        <v>1</v>
      </c>
      <c r="K295">
        <v>3.6</v>
      </c>
      <c r="L295">
        <v>1</v>
      </c>
      <c r="M295">
        <v>2</v>
      </c>
      <c r="N295">
        <v>0</v>
      </c>
    </row>
    <row r="296" spans="1:14" x14ac:dyDescent="0.25">
      <c r="A296">
        <v>62</v>
      </c>
      <c r="B296" s="32" t="str">
        <f>IF(A296&lt;30,"20-29",IF(A296&lt;40,"30-39",IF(A296&lt;50,"40-49",IF(A296&lt;60,"50-59",IF(A296&lt;70,"60-69",IF(A296&lt;80,"70+"))))))</f>
        <v>60-69</v>
      </c>
      <c r="C296">
        <v>0</v>
      </c>
      <c r="D296">
        <v>0</v>
      </c>
      <c r="E296">
        <v>160</v>
      </c>
      <c r="F296">
        <v>164</v>
      </c>
      <c r="G296">
        <v>0</v>
      </c>
      <c r="H296">
        <v>0</v>
      </c>
      <c r="I296">
        <v>145</v>
      </c>
      <c r="J296">
        <v>0</v>
      </c>
      <c r="K296">
        <v>6.2</v>
      </c>
      <c r="L296">
        <v>0</v>
      </c>
      <c r="M296">
        <v>3</v>
      </c>
      <c r="N296">
        <v>0</v>
      </c>
    </row>
    <row r="297" spans="1:14" x14ac:dyDescent="0.25">
      <c r="A297">
        <v>45</v>
      </c>
      <c r="B297" s="32" t="str">
        <f>IF(A297&lt;30,"20-29",IF(A297&lt;40,"30-39",IF(A297&lt;50,"40-49",IF(A297&lt;60,"50-59",IF(A297&lt;70,"60-69",IF(A297&lt;80,"70+"))))))</f>
        <v>40-49</v>
      </c>
      <c r="C297">
        <v>0</v>
      </c>
      <c r="D297">
        <v>1</v>
      </c>
      <c r="E297">
        <v>112</v>
      </c>
      <c r="F297">
        <v>160</v>
      </c>
      <c r="G297">
        <v>0</v>
      </c>
      <c r="H297">
        <v>1</v>
      </c>
      <c r="I297">
        <v>138</v>
      </c>
      <c r="J297">
        <v>0</v>
      </c>
      <c r="K297">
        <v>0</v>
      </c>
      <c r="L297">
        <v>1</v>
      </c>
      <c r="M297">
        <v>2</v>
      </c>
      <c r="N297">
        <v>1</v>
      </c>
    </row>
    <row r="298" spans="1:14" x14ac:dyDescent="0.25">
      <c r="A298">
        <v>41</v>
      </c>
      <c r="B298" s="32" t="str">
        <f>IF(A298&lt;30,"20-29",IF(A298&lt;40,"30-39",IF(A298&lt;50,"40-49",IF(A298&lt;60,"50-59",IF(A298&lt;70,"60-69",IF(A298&lt;80,"70+"))))))</f>
        <v>40-49</v>
      </c>
      <c r="C298">
        <v>1</v>
      </c>
      <c r="D298">
        <v>1</v>
      </c>
      <c r="E298">
        <v>120</v>
      </c>
      <c r="F298">
        <v>157</v>
      </c>
      <c r="G298">
        <v>0</v>
      </c>
      <c r="H298">
        <v>1</v>
      </c>
      <c r="I298">
        <v>182</v>
      </c>
      <c r="J298">
        <v>0</v>
      </c>
      <c r="K298">
        <v>0</v>
      </c>
      <c r="L298">
        <v>2</v>
      </c>
      <c r="M298">
        <v>2</v>
      </c>
      <c r="N298">
        <v>1</v>
      </c>
    </row>
    <row r="299" spans="1:14" x14ac:dyDescent="0.25">
      <c r="A299">
        <v>71</v>
      </c>
      <c r="B299" s="32" t="str">
        <f>IF(A299&lt;30,"20-29",IF(A299&lt;40,"30-39",IF(A299&lt;50,"40-49",IF(A299&lt;60,"50-59",IF(A299&lt;70,"60-69",IF(A299&lt;80,"70+"))))))</f>
        <v>70+</v>
      </c>
      <c r="C299">
        <v>0</v>
      </c>
      <c r="D299">
        <v>0</v>
      </c>
      <c r="E299">
        <v>112</v>
      </c>
      <c r="F299">
        <v>149</v>
      </c>
      <c r="G299">
        <v>0</v>
      </c>
      <c r="H299">
        <v>1</v>
      </c>
      <c r="I299">
        <v>125</v>
      </c>
      <c r="J299">
        <v>0</v>
      </c>
      <c r="K299">
        <v>1.6</v>
      </c>
      <c r="L299">
        <v>1</v>
      </c>
      <c r="M299">
        <v>2</v>
      </c>
      <c r="N299">
        <v>1</v>
      </c>
    </row>
    <row r="300" spans="1:14" x14ac:dyDescent="0.25">
      <c r="A300">
        <v>49</v>
      </c>
      <c r="B300" s="32" t="str">
        <f>IF(A300&lt;30,"20-29",IF(A300&lt;40,"30-39",IF(A300&lt;50,"40-49",IF(A300&lt;60,"50-59",IF(A300&lt;70,"60-69",IF(A300&lt;80,"70+"))))))</f>
        <v>40-49</v>
      </c>
      <c r="C300">
        <v>1</v>
      </c>
      <c r="D300">
        <v>2</v>
      </c>
      <c r="E300">
        <v>118</v>
      </c>
      <c r="F300">
        <v>149</v>
      </c>
      <c r="G300">
        <v>0</v>
      </c>
      <c r="H300">
        <v>0</v>
      </c>
      <c r="I300">
        <v>126</v>
      </c>
      <c r="J300">
        <v>0</v>
      </c>
      <c r="K300">
        <v>0.8</v>
      </c>
      <c r="L300">
        <v>2</v>
      </c>
      <c r="M300">
        <v>2</v>
      </c>
      <c r="N300">
        <v>0</v>
      </c>
    </row>
    <row r="301" spans="1:14" x14ac:dyDescent="0.25">
      <c r="A301">
        <v>44</v>
      </c>
      <c r="B301" s="32" t="str">
        <f>IF(A301&lt;30,"20-29",IF(A301&lt;40,"30-39",IF(A301&lt;50,"40-49",IF(A301&lt;60,"50-59",IF(A301&lt;70,"60-69",IF(A301&lt;80,"70+"))))))</f>
        <v>40-49</v>
      </c>
      <c r="C301">
        <v>0</v>
      </c>
      <c r="D301">
        <v>2</v>
      </c>
      <c r="E301">
        <v>108</v>
      </c>
      <c r="F301">
        <v>141</v>
      </c>
      <c r="G301">
        <v>0</v>
      </c>
      <c r="H301">
        <v>1</v>
      </c>
      <c r="I301">
        <v>175</v>
      </c>
      <c r="J301">
        <v>0</v>
      </c>
      <c r="K301">
        <v>0.6</v>
      </c>
      <c r="L301">
        <v>1</v>
      </c>
      <c r="M301">
        <v>2</v>
      </c>
      <c r="N301">
        <v>1</v>
      </c>
    </row>
    <row r="302" spans="1:14" x14ac:dyDescent="0.25">
      <c r="A302">
        <v>57</v>
      </c>
      <c r="B302" s="32" t="str">
        <f>IF(A302&lt;30,"20-29",IF(A302&lt;40,"30-39",IF(A302&lt;50,"40-49",IF(A302&lt;60,"50-59",IF(A302&lt;70,"60-69",IF(A302&lt;80,"70+"))))))</f>
        <v>50-59</v>
      </c>
      <c r="C302">
        <v>1</v>
      </c>
      <c r="D302">
        <v>0</v>
      </c>
      <c r="E302">
        <v>130</v>
      </c>
      <c r="F302">
        <v>131</v>
      </c>
      <c r="G302">
        <v>0</v>
      </c>
      <c r="H302">
        <v>1</v>
      </c>
      <c r="I302">
        <v>115</v>
      </c>
      <c r="J302">
        <v>1</v>
      </c>
      <c r="K302">
        <v>1.2</v>
      </c>
      <c r="L302">
        <v>1</v>
      </c>
      <c r="M302">
        <v>3</v>
      </c>
      <c r="N302">
        <v>0</v>
      </c>
    </row>
    <row r="303" spans="1:14" x14ac:dyDescent="0.25">
      <c r="A303">
        <v>57</v>
      </c>
      <c r="B303" s="32" t="str">
        <f>IF(A303&lt;30,"20-29",IF(A303&lt;40,"30-39",IF(A303&lt;50,"40-49",IF(A303&lt;60,"50-59",IF(A303&lt;70,"60-69",IF(A303&lt;80,"70+"))))))</f>
        <v>50-59</v>
      </c>
      <c r="C303">
        <v>1</v>
      </c>
      <c r="D303">
        <v>2</v>
      </c>
      <c r="E303">
        <v>150</v>
      </c>
      <c r="F303">
        <v>126</v>
      </c>
      <c r="G303">
        <v>1</v>
      </c>
      <c r="H303">
        <v>1</v>
      </c>
      <c r="I303">
        <v>173</v>
      </c>
      <c r="J303">
        <v>0</v>
      </c>
      <c r="K303">
        <v>0.2</v>
      </c>
      <c r="L303">
        <v>2</v>
      </c>
      <c r="M303">
        <v>3</v>
      </c>
      <c r="N303">
        <v>1</v>
      </c>
    </row>
    <row r="304" spans="1:14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  <row r="736" spans="2:2" x14ac:dyDescent="0.25">
      <c r="B736"/>
    </row>
    <row r="737" spans="2:2" x14ac:dyDescent="0.25">
      <c r="B737"/>
    </row>
    <row r="738" spans="2:2" x14ac:dyDescent="0.25">
      <c r="B738"/>
    </row>
    <row r="739" spans="2:2" x14ac:dyDescent="0.25">
      <c r="B739"/>
    </row>
    <row r="740" spans="2:2" x14ac:dyDescent="0.25">
      <c r="B740"/>
    </row>
    <row r="741" spans="2:2" x14ac:dyDescent="0.25">
      <c r="B741"/>
    </row>
    <row r="742" spans="2:2" x14ac:dyDescent="0.25">
      <c r="B742"/>
    </row>
    <row r="743" spans="2:2" x14ac:dyDescent="0.25">
      <c r="B743"/>
    </row>
    <row r="744" spans="2:2" x14ac:dyDescent="0.25">
      <c r="B744"/>
    </row>
    <row r="745" spans="2:2" x14ac:dyDescent="0.25">
      <c r="B745"/>
    </row>
    <row r="746" spans="2:2" x14ac:dyDescent="0.25">
      <c r="B746"/>
    </row>
    <row r="747" spans="2:2" x14ac:dyDescent="0.25">
      <c r="B747"/>
    </row>
    <row r="748" spans="2:2" x14ac:dyDescent="0.25">
      <c r="B748"/>
    </row>
    <row r="749" spans="2:2" x14ac:dyDescent="0.25">
      <c r="B749"/>
    </row>
    <row r="750" spans="2:2" x14ac:dyDescent="0.25">
      <c r="B750"/>
    </row>
    <row r="751" spans="2:2" x14ac:dyDescent="0.25">
      <c r="B751"/>
    </row>
    <row r="752" spans="2:2" x14ac:dyDescent="0.25">
      <c r="B752"/>
    </row>
    <row r="753" spans="2:2" x14ac:dyDescent="0.25">
      <c r="B753"/>
    </row>
    <row r="754" spans="2:2" x14ac:dyDescent="0.25">
      <c r="B754"/>
    </row>
    <row r="755" spans="2:2" x14ac:dyDescent="0.25">
      <c r="B755"/>
    </row>
    <row r="756" spans="2:2" x14ac:dyDescent="0.25">
      <c r="B756"/>
    </row>
    <row r="757" spans="2:2" x14ac:dyDescent="0.25">
      <c r="B757"/>
    </row>
    <row r="758" spans="2:2" x14ac:dyDescent="0.25">
      <c r="B758"/>
    </row>
    <row r="759" spans="2:2" x14ac:dyDescent="0.25">
      <c r="B759"/>
    </row>
    <row r="760" spans="2:2" x14ac:dyDescent="0.25">
      <c r="B760"/>
    </row>
    <row r="761" spans="2:2" x14ac:dyDescent="0.25">
      <c r="B761"/>
    </row>
    <row r="762" spans="2:2" x14ac:dyDescent="0.25">
      <c r="B762"/>
    </row>
    <row r="763" spans="2:2" x14ac:dyDescent="0.25">
      <c r="B763"/>
    </row>
    <row r="764" spans="2:2" x14ac:dyDescent="0.25">
      <c r="B764"/>
    </row>
    <row r="765" spans="2:2" x14ac:dyDescent="0.25">
      <c r="B765"/>
    </row>
    <row r="766" spans="2:2" x14ac:dyDescent="0.25">
      <c r="B766"/>
    </row>
    <row r="767" spans="2:2" x14ac:dyDescent="0.25">
      <c r="B767"/>
    </row>
    <row r="768" spans="2:2" x14ac:dyDescent="0.25">
      <c r="B768"/>
    </row>
    <row r="769" spans="2:2" x14ac:dyDescent="0.25">
      <c r="B769"/>
    </row>
    <row r="770" spans="2:2" x14ac:dyDescent="0.25">
      <c r="B770"/>
    </row>
    <row r="771" spans="2:2" x14ac:dyDescent="0.25">
      <c r="B771"/>
    </row>
    <row r="772" spans="2:2" x14ac:dyDescent="0.25">
      <c r="B772"/>
    </row>
    <row r="773" spans="2:2" x14ac:dyDescent="0.25">
      <c r="B773"/>
    </row>
    <row r="774" spans="2:2" x14ac:dyDescent="0.25">
      <c r="B774"/>
    </row>
    <row r="775" spans="2:2" x14ac:dyDescent="0.25">
      <c r="B775"/>
    </row>
    <row r="776" spans="2:2" x14ac:dyDescent="0.25">
      <c r="B776"/>
    </row>
    <row r="777" spans="2:2" x14ac:dyDescent="0.25">
      <c r="B777"/>
    </row>
    <row r="778" spans="2:2" x14ac:dyDescent="0.25">
      <c r="B778"/>
    </row>
    <row r="779" spans="2:2" x14ac:dyDescent="0.25">
      <c r="B779"/>
    </row>
    <row r="780" spans="2:2" x14ac:dyDescent="0.25">
      <c r="B780"/>
    </row>
    <row r="781" spans="2:2" x14ac:dyDescent="0.25">
      <c r="B781"/>
    </row>
    <row r="782" spans="2:2" x14ac:dyDescent="0.25">
      <c r="B782"/>
    </row>
    <row r="783" spans="2:2" x14ac:dyDescent="0.25">
      <c r="B783"/>
    </row>
    <row r="784" spans="2:2" x14ac:dyDescent="0.25">
      <c r="B784"/>
    </row>
    <row r="785" spans="2:2" x14ac:dyDescent="0.25">
      <c r="B785"/>
    </row>
    <row r="786" spans="2:2" x14ac:dyDescent="0.25">
      <c r="B786"/>
    </row>
    <row r="787" spans="2:2" x14ac:dyDescent="0.25">
      <c r="B787"/>
    </row>
    <row r="788" spans="2:2" x14ac:dyDescent="0.25">
      <c r="B788"/>
    </row>
    <row r="789" spans="2:2" x14ac:dyDescent="0.25">
      <c r="B789"/>
    </row>
    <row r="790" spans="2:2" x14ac:dyDescent="0.25">
      <c r="B790"/>
    </row>
    <row r="791" spans="2:2" x14ac:dyDescent="0.25">
      <c r="B791"/>
    </row>
    <row r="792" spans="2:2" x14ac:dyDescent="0.25">
      <c r="B792"/>
    </row>
    <row r="793" spans="2:2" x14ac:dyDescent="0.25">
      <c r="B793"/>
    </row>
    <row r="794" spans="2:2" x14ac:dyDescent="0.25">
      <c r="B794"/>
    </row>
    <row r="795" spans="2:2" x14ac:dyDescent="0.25">
      <c r="B795"/>
    </row>
    <row r="796" spans="2:2" x14ac:dyDescent="0.25">
      <c r="B796"/>
    </row>
    <row r="797" spans="2:2" x14ac:dyDescent="0.25">
      <c r="B797"/>
    </row>
    <row r="798" spans="2:2" x14ac:dyDescent="0.25">
      <c r="B798"/>
    </row>
    <row r="799" spans="2:2" x14ac:dyDescent="0.25">
      <c r="B799"/>
    </row>
    <row r="800" spans="2:2" x14ac:dyDescent="0.25">
      <c r="B800"/>
    </row>
    <row r="801" spans="2:2" x14ac:dyDescent="0.25">
      <c r="B801"/>
    </row>
    <row r="802" spans="2:2" x14ac:dyDescent="0.25">
      <c r="B802"/>
    </row>
    <row r="803" spans="2:2" x14ac:dyDescent="0.25">
      <c r="B803"/>
    </row>
    <row r="804" spans="2:2" x14ac:dyDescent="0.25">
      <c r="B804"/>
    </row>
    <row r="805" spans="2:2" x14ac:dyDescent="0.25">
      <c r="B805"/>
    </row>
    <row r="806" spans="2:2" x14ac:dyDescent="0.25">
      <c r="B806"/>
    </row>
    <row r="807" spans="2:2" x14ac:dyDescent="0.25">
      <c r="B807"/>
    </row>
    <row r="808" spans="2:2" x14ac:dyDescent="0.25">
      <c r="B808"/>
    </row>
    <row r="809" spans="2:2" x14ac:dyDescent="0.25">
      <c r="B809"/>
    </row>
    <row r="810" spans="2:2" x14ac:dyDescent="0.25">
      <c r="B810"/>
    </row>
    <row r="811" spans="2:2" x14ac:dyDescent="0.25">
      <c r="B811"/>
    </row>
    <row r="812" spans="2:2" x14ac:dyDescent="0.25">
      <c r="B812"/>
    </row>
    <row r="813" spans="2:2" x14ac:dyDescent="0.25">
      <c r="B813"/>
    </row>
    <row r="814" spans="2:2" x14ac:dyDescent="0.25">
      <c r="B814"/>
    </row>
    <row r="815" spans="2:2" x14ac:dyDescent="0.25">
      <c r="B815"/>
    </row>
    <row r="816" spans="2:2" x14ac:dyDescent="0.25">
      <c r="B816"/>
    </row>
    <row r="817" spans="2:2" x14ac:dyDescent="0.25">
      <c r="B817"/>
    </row>
    <row r="818" spans="2:2" x14ac:dyDescent="0.25">
      <c r="B818"/>
    </row>
    <row r="819" spans="2:2" x14ac:dyDescent="0.25">
      <c r="B819"/>
    </row>
    <row r="820" spans="2:2" x14ac:dyDescent="0.25">
      <c r="B820"/>
    </row>
    <row r="821" spans="2:2" x14ac:dyDescent="0.25">
      <c r="B821"/>
    </row>
    <row r="822" spans="2:2" x14ac:dyDescent="0.25">
      <c r="B822"/>
    </row>
    <row r="823" spans="2:2" x14ac:dyDescent="0.25">
      <c r="B823"/>
    </row>
    <row r="824" spans="2:2" x14ac:dyDescent="0.25">
      <c r="B824"/>
    </row>
    <row r="825" spans="2:2" x14ac:dyDescent="0.25">
      <c r="B825"/>
    </row>
    <row r="826" spans="2:2" x14ac:dyDescent="0.25">
      <c r="B826"/>
    </row>
    <row r="827" spans="2:2" x14ac:dyDescent="0.25">
      <c r="B827"/>
    </row>
    <row r="828" spans="2:2" x14ac:dyDescent="0.25">
      <c r="B828"/>
    </row>
    <row r="829" spans="2:2" x14ac:dyDescent="0.25">
      <c r="B829"/>
    </row>
    <row r="830" spans="2:2" x14ac:dyDescent="0.25">
      <c r="B830"/>
    </row>
    <row r="831" spans="2:2" x14ac:dyDescent="0.25">
      <c r="B831"/>
    </row>
    <row r="832" spans="2:2" x14ac:dyDescent="0.25">
      <c r="B832"/>
    </row>
    <row r="833" spans="2:2" x14ac:dyDescent="0.25">
      <c r="B833"/>
    </row>
    <row r="834" spans="2:2" x14ac:dyDescent="0.25">
      <c r="B834"/>
    </row>
    <row r="835" spans="2:2" x14ac:dyDescent="0.25">
      <c r="B835"/>
    </row>
    <row r="836" spans="2:2" x14ac:dyDescent="0.25">
      <c r="B836"/>
    </row>
    <row r="837" spans="2:2" x14ac:dyDescent="0.25">
      <c r="B837"/>
    </row>
    <row r="838" spans="2:2" x14ac:dyDescent="0.25">
      <c r="B838"/>
    </row>
    <row r="839" spans="2:2" x14ac:dyDescent="0.25">
      <c r="B839"/>
    </row>
    <row r="840" spans="2:2" x14ac:dyDescent="0.25">
      <c r="B840"/>
    </row>
    <row r="841" spans="2:2" x14ac:dyDescent="0.25">
      <c r="B841"/>
    </row>
    <row r="842" spans="2:2" x14ac:dyDescent="0.25">
      <c r="B842"/>
    </row>
    <row r="843" spans="2:2" x14ac:dyDescent="0.25">
      <c r="B843"/>
    </row>
    <row r="844" spans="2:2" x14ac:dyDescent="0.25">
      <c r="B844"/>
    </row>
    <row r="845" spans="2:2" x14ac:dyDescent="0.25">
      <c r="B845"/>
    </row>
    <row r="846" spans="2:2" x14ac:dyDescent="0.25">
      <c r="B846"/>
    </row>
    <row r="847" spans="2:2" x14ac:dyDescent="0.25">
      <c r="B847"/>
    </row>
    <row r="848" spans="2:2" x14ac:dyDescent="0.25">
      <c r="B848"/>
    </row>
    <row r="849" spans="2:2" x14ac:dyDescent="0.25">
      <c r="B849"/>
    </row>
    <row r="850" spans="2:2" x14ac:dyDescent="0.25">
      <c r="B850"/>
    </row>
    <row r="851" spans="2:2" x14ac:dyDescent="0.25">
      <c r="B851"/>
    </row>
    <row r="852" spans="2:2" x14ac:dyDescent="0.25">
      <c r="B852"/>
    </row>
    <row r="853" spans="2:2" x14ac:dyDescent="0.25">
      <c r="B853"/>
    </row>
    <row r="854" spans="2:2" x14ac:dyDescent="0.25">
      <c r="B854"/>
    </row>
    <row r="855" spans="2:2" x14ac:dyDescent="0.25">
      <c r="B855"/>
    </row>
    <row r="856" spans="2:2" x14ac:dyDescent="0.25">
      <c r="B856"/>
    </row>
    <row r="857" spans="2:2" x14ac:dyDescent="0.25">
      <c r="B857"/>
    </row>
    <row r="858" spans="2:2" x14ac:dyDescent="0.25">
      <c r="B858"/>
    </row>
    <row r="859" spans="2:2" x14ac:dyDescent="0.25">
      <c r="B859"/>
    </row>
    <row r="860" spans="2:2" x14ac:dyDescent="0.25">
      <c r="B860"/>
    </row>
    <row r="861" spans="2:2" x14ac:dyDescent="0.25">
      <c r="B861"/>
    </row>
    <row r="862" spans="2:2" x14ac:dyDescent="0.25">
      <c r="B862"/>
    </row>
    <row r="863" spans="2:2" x14ac:dyDescent="0.25">
      <c r="B863"/>
    </row>
    <row r="864" spans="2:2" x14ac:dyDescent="0.25">
      <c r="B864"/>
    </row>
    <row r="865" spans="2:2" x14ac:dyDescent="0.25">
      <c r="B865"/>
    </row>
    <row r="866" spans="2:2" x14ac:dyDescent="0.25">
      <c r="B866"/>
    </row>
    <row r="867" spans="2:2" x14ac:dyDescent="0.25">
      <c r="B867"/>
    </row>
    <row r="868" spans="2:2" x14ac:dyDescent="0.25">
      <c r="B868"/>
    </row>
    <row r="869" spans="2:2" x14ac:dyDescent="0.25">
      <c r="B869"/>
    </row>
    <row r="870" spans="2:2" x14ac:dyDescent="0.25">
      <c r="B870"/>
    </row>
    <row r="871" spans="2:2" x14ac:dyDescent="0.25">
      <c r="B871"/>
    </row>
    <row r="872" spans="2:2" x14ac:dyDescent="0.25">
      <c r="B872"/>
    </row>
    <row r="873" spans="2:2" x14ac:dyDescent="0.25">
      <c r="B873"/>
    </row>
    <row r="874" spans="2:2" x14ac:dyDescent="0.25">
      <c r="B874"/>
    </row>
    <row r="875" spans="2:2" x14ac:dyDescent="0.25">
      <c r="B875"/>
    </row>
    <row r="876" spans="2:2" x14ac:dyDescent="0.25">
      <c r="B876"/>
    </row>
    <row r="877" spans="2:2" x14ac:dyDescent="0.25">
      <c r="B877"/>
    </row>
    <row r="878" spans="2:2" x14ac:dyDescent="0.25">
      <c r="B878"/>
    </row>
    <row r="879" spans="2:2" x14ac:dyDescent="0.25">
      <c r="B879"/>
    </row>
    <row r="880" spans="2:2" x14ac:dyDescent="0.25">
      <c r="B880"/>
    </row>
    <row r="881" spans="2:2" x14ac:dyDescent="0.25">
      <c r="B881"/>
    </row>
    <row r="882" spans="2:2" x14ac:dyDescent="0.25">
      <c r="B882"/>
    </row>
    <row r="883" spans="2:2" x14ac:dyDescent="0.25">
      <c r="B883"/>
    </row>
    <row r="884" spans="2:2" x14ac:dyDescent="0.25">
      <c r="B884"/>
    </row>
    <row r="885" spans="2:2" x14ac:dyDescent="0.25">
      <c r="B885"/>
    </row>
    <row r="886" spans="2:2" x14ac:dyDescent="0.25">
      <c r="B886"/>
    </row>
    <row r="887" spans="2:2" x14ac:dyDescent="0.25">
      <c r="B887"/>
    </row>
    <row r="888" spans="2:2" x14ac:dyDescent="0.25">
      <c r="B888"/>
    </row>
    <row r="889" spans="2:2" x14ac:dyDescent="0.25">
      <c r="B889"/>
    </row>
    <row r="890" spans="2:2" x14ac:dyDescent="0.25">
      <c r="B890"/>
    </row>
    <row r="891" spans="2:2" x14ac:dyDescent="0.25">
      <c r="B891"/>
    </row>
    <row r="892" spans="2:2" x14ac:dyDescent="0.25">
      <c r="B892"/>
    </row>
    <row r="893" spans="2:2" x14ac:dyDescent="0.25">
      <c r="B893"/>
    </row>
    <row r="894" spans="2:2" x14ac:dyDescent="0.25">
      <c r="B894"/>
    </row>
    <row r="895" spans="2:2" x14ac:dyDescent="0.25">
      <c r="B895"/>
    </row>
    <row r="896" spans="2:2" x14ac:dyDescent="0.25">
      <c r="B896"/>
    </row>
    <row r="897" spans="2:2" x14ac:dyDescent="0.25">
      <c r="B897"/>
    </row>
    <row r="898" spans="2:2" x14ac:dyDescent="0.25">
      <c r="B898"/>
    </row>
    <row r="899" spans="2:2" x14ac:dyDescent="0.25">
      <c r="B899"/>
    </row>
    <row r="900" spans="2:2" x14ac:dyDescent="0.25">
      <c r="B900"/>
    </row>
    <row r="901" spans="2:2" x14ac:dyDescent="0.25">
      <c r="B901"/>
    </row>
    <row r="902" spans="2:2" x14ac:dyDescent="0.25">
      <c r="B902"/>
    </row>
    <row r="903" spans="2:2" x14ac:dyDescent="0.25">
      <c r="B903"/>
    </row>
    <row r="904" spans="2:2" x14ac:dyDescent="0.25">
      <c r="B904"/>
    </row>
    <row r="905" spans="2:2" x14ac:dyDescent="0.25">
      <c r="B905"/>
    </row>
    <row r="906" spans="2:2" x14ac:dyDescent="0.25">
      <c r="B906"/>
    </row>
    <row r="907" spans="2:2" x14ac:dyDescent="0.25">
      <c r="B907"/>
    </row>
    <row r="908" spans="2:2" x14ac:dyDescent="0.25">
      <c r="B908"/>
    </row>
    <row r="909" spans="2:2" x14ac:dyDescent="0.25">
      <c r="B909"/>
    </row>
    <row r="910" spans="2:2" x14ac:dyDescent="0.25">
      <c r="B910"/>
    </row>
    <row r="911" spans="2:2" x14ac:dyDescent="0.25">
      <c r="B911"/>
    </row>
    <row r="912" spans="2:2" x14ac:dyDescent="0.25">
      <c r="B912"/>
    </row>
    <row r="913" spans="2:2" x14ac:dyDescent="0.25">
      <c r="B913"/>
    </row>
    <row r="914" spans="2:2" x14ac:dyDescent="0.25">
      <c r="B914"/>
    </row>
    <row r="915" spans="2:2" x14ac:dyDescent="0.25">
      <c r="B915"/>
    </row>
    <row r="916" spans="2:2" x14ac:dyDescent="0.25">
      <c r="B916"/>
    </row>
    <row r="917" spans="2:2" x14ac:dyDescent="0.25">
      <c r="B917"/>
    </row>
    <row r="918" spans="2:2" x14ac:dyDescent="0.25">
      <c r="B918"/>
    </row>
    <row r="919" spans="2:2" x14ac:dyDescent="0.25">
      <c r="B919"/>
    </row>
    <row r="920" spans="2:2" x14ac:dyDescent="0.25">
      <c r="B920"/>
    </row>
    <row r="921" spans="2:2" x14ac:dyDescent="0.25">
      <c r="B921"/>
    </row>
    <row r="922" spans="2:2" x14ac:dyDescent="0.25">
      <c r="B922"/>
    </row>
    <row r="923" spans="2:2" x14ac:dyDescent="0.25">
      <c r="B923"/>
    </row>
    <row r="924" spans="2:2" x14ac:dyDescent="0.25">
      <c r="B924"/>
    </row>
    <row r="925" spans="2:2" x14ac:dyDescent="0.25">
      <c r="B925"/>
    </row>
    <row r="926" spans="2:2" x14ac:dyDescent="0.25">
      <c r="B926"/>
    </row>
    <row r="927" spans="2:2" x14ac:dyDescent="0.25">
      <c r="B927"/>
    </row>
    <row r="928" spans="2:2" x14ac:dyDescent="0.25">
      <c r="B928"/>
    </row>
    <row r="929" spans="2:2" x14ac:dyDescent="0.25">
      <c r="B929"/>
    </row>
    <row r="930" spans="2:2" x14ac:dyDescent="0.25">
      <c r="B930"/>
    </row>
    <row r="931" spans="2:2" x14ac:dyDescent="0.25">
      <c r="B931"/>
    </row>
    <row r="932" spans="2:2" x14ac:dyDescent="0.25">
      <c r="B932"/>
    </row>
    <row r="933" spans="2:2" x14ac:dyDescent="0.25">
      <c r="B933"/>
    </row>
    <row r="934" spans="2:2" x14ac:dyDescent="0.25">
      <c r="B934"/>
    </row>
    <row r="935" spans="2:2" x14ac:dyDescent="0.25">
      <c r="B935"/>
    </row>
    <row r="936" spans="2:2" x14ac:dyDescent="0.25">
      <c r="B936"/>
    </row>
    <row r="937" spans="2:2" x14ac:dyDescent="0.25">
      <c r="B937"/>
    </row>
    <row r="938" spans="2:2" x14ac:dyDescent="0.25">
      <c r="B938"/>
    </row>
    <row r="939" spans="2:2" x14ac:dyDescent="0.25">
      <c r="B939"/>
    </row>
    <row r="940" spans="2:2" x14ac:dyDescent="0.25">
      <c r="B940"/>
    </row>
    <row r="941" spans="2:2" x14ac:dyDescent="0.25">
      <c r="B941"/>
    </row>
    <row r="942" spans="2:2" x14ac:dyDescent="0.25">
      <c r="B942"/>
    </row>
    <row r="943" spans="2:2" x14ac:dyDescent="0.25">
      <c r="B943"/>
    </row>
    <row r="944" spans="2:2" x14ac:dyDescent="0.25">
      <c r="B944"/>
    </row>
    <row r="945" spans="2:2" x14ac:dyDescent="0.25">
      <c r="B945"/>
    </row>
    <row r="946" spans="2:2" x14ac:dyDescent="0.25">
      <c r="B946"/>
    </row>
    <row r="947" spans="2:2" x14ac:dyDescent="0.25">
      <c r="B947"/>
    </row>
    <row r="948" spans="2:2" x14ac:dyDescent="0.25">
      <c r="B948"/>
    </row>
    <row r="949" spans="2:2" x14ac:dyDescent="0.25">
      <c r="B949"/>
    </row>
    <row r="950" spans="2:2" x14ac:dyDescent="0.25">
      <c r="B950"/>
    </row>
    <row r="951" spans="2:2" x14ac:dyDescent="0.25">
      <c r="B951"/>
    </row>
    <row r="952" spans="2:2" x14ac:dyDescent="0.25">
      <c r="B952"/>
    </row>
    <row r="953" spans="2:2" x14ac:dyDescent="0.25">
      <c r="B953"/>
    </row>
    <row r="954" spans="2:2" x14ac:dyDescent="0.25">
      <c r="B954"/>
    </row>
    <row r="955" spans="2:2" x14ac:dyDescent="0.25">
      <c r="B955"/>
    </row>
    <row r="956" spans="2:2" x14ac:dyDescent="0.25">
      <c r="B956"/>
    </row>
    <row r="957" spans="2:2" x14ac:dyDescent="0.25">
      <c r="B957"/>
    </row>
    <row r="958" spans="2:2" x14ac:dyDescent="0.25">
      <c r="B958"/>
    </row>
    <row r="959" spans="2:2" x14ac:dyDescent="0.25">
      <c r="B959"/>
    </row>
    <row r="960" spans="2:2" x14ac:dyDescent="0.25">
      <c r="B960"/>
    </row>
    <row r="961" spans="2:2" x14ac:dyDescent="0.25">
      <c r="B961"/>
    </row>
    <row r="962" spans="2:2" x14ac:dyDescent="0.25">
      <c r="B962"/>
    </row>
    <row r="963" spans="2:2" x14ac:dyDescent="0.25">
      <c r="B963"/>
    </row>
    <row r="964" spans="2:2" x14ac:dyDescent="0.25">
      <c r="B964"/>
    </row>
    <row r="965" spans="2:2" x14ac:dyDescent="0.25">
      <c r="B965"/>
    </row>
    <row r="966" spans="2:2" x14ac:dyDescent="0.25">
      <c r="B966"/>
    </row>
    <row r="967" spans="2:2" x14ac:dyDescent="0.25">
      <c r="B967"/>
    </row>
    <row r="968" spans="2:2" x14ac:dyDescent="0.25">
      <c r="B968"/>
    </row>
    <row r="969" spans="2:2" x14ac:dyDescent="0.25">
      <c r="B969"/>
    </row>
    <row r="970" spans="2:2" x14ac:dyDescent="0.25">
      <c r="B970"/>
    </row>
    <row r="971" spans="2:2" x14ac:dyDescent="0.25">
      <c r="B971"/>
    </row>
    <row r="972" spans="2:2" x14ac:dyDescent="0.25">
      <c r="B972"/>
    </row>
    <row r="973" spans="2:2" x14ac:dyDescent="0.25">
      <c r="B973"/>
    </row>
    <row r="974" spans="2:2" x14ac:dyDescent="0.25">
      <c r="B974"/>
    </row>
    <row r="975" spans="2:2" x14ac:dyDescent="0.25">
      <c r="B975"/>
    </row>
    <row r="976" spans="2:2" x14ac:dyDescent="0.25">
      <c r="B976"/>
    </row>
    <row r="977" spans="2:2" x14ac:dyDescent="0.25">
      <c r="B977"/>
    </row>
    <row r="978" spans="2:2" x14ac:dyDescent="0.25">
      <c r="B978"/>
    </row>
    <row r="979" spans="2:2" x14ac:dyDescent="0.25">
      <c r="B979"/>
    </row>
    <row r="980" spans="2:2" x14ac:dyDescent="0.25">
      <c r="B980"/>
    </row>
    <row r="981" spans="2:2" x14ac:dyDescent="0.25">
      <c r="B981"/>
    </row>
    <row r="982" spans="2:2" x14ac:dyDescent="0.25">
      <c r="B982"/>
    </row>
    <row r="983" spans="2:2" x14ac:dyDescent="0.25">
      <c r="B983"/>
    </row>
    <row r="984" spans="2:2" x14ac:dyDescent="0.25">
      <c r="B984"/>
    </row>
    <row r="985" spans="2:2" x14ac:dyDescent="0.25">
      <c r="B985"/>
    </row>
    <row r="986" spans="2:2" x14ac:dyDescent="0.25">
      <c r="B986"/>
    </row>
    <row r="987" spans="2:2" x14ac:dyDescent="0.25">
      <c r="B987"/>
    </row>
    <row r="988" spans="2:2" x14ac:dyDescent="0.25">
      <c r="B988"/>
    </row>
    <row r="989" spans="2:2" x14ac:dyDescent="0.25">
      <c r="B989"/>
    </row>
    <row r="990" spans="2:2" x14ac:dyDescent="0.25">
      <c r="B990"/>
    </row>
    <row r="991" spans="2:2" x14ac:dyDescent="0.25">
      <c r="B991"/>
    </row>
    <row r="992" spans="2:2" x14ac:dyDescent="0.25">
      <c r="B992"/>
    </row>
    <row r="993" spans="2:2" x14ac:dyDescent="0.25">
      <c r="B993"/>
    </row>
    <row r="994" spans="2:2" x14ac:dyDescent="0.25">
      <c r="B994"/>
    </row>
    <row r="995" spans="2:2" x14ac:dyDescent="0.25">
      <c r="B995"/>
    </row>
    <row r="996" spans="2:2" x14ac:dyDescent="0.25">
      <c r="B996"/>
    </row>
    <row r="997" spans="2:2" x14ac:dyDescent="0.25">
      <c r="B997"/>
    </row>
    <row r="998" spans="2:2" x14ac:dyDescent="0.25">
      <c r="B998"/>
    </row>
    <row r="999" spans="2:2" x14ac:dyDescent="0.25">
      <c r="B999"/>
    </row>
    <row r="1000" spans="2:2" x14ac:dyDescent="0.25">
      <c r="B1000"/>
    </row>
    <row r="1001" spans="2:2" x14ac:dyDescent="0.25">
      <c r="B1001"/>
    </row>
    <row r="1002" spans="2:2" x14ac:dyDescent="0.25">
      <c r="B1002"/>
    </row>
    <row r="1003" spans="2:2" x14ac:dyDescent="0.25">
      <c r="B1003"/>
    </row>
    <row r="1004" spans="2:2" x14ac:dyDescent="0.25">
      <c r="B1004"/>
    </row>
    <row r="1005" spans="2:2" x14ac:dyDescent="0.25">
      <c r="B1005"/>
    </row>
    <row r="1006" spans="2:2" x14ac:dyDescent="0.25">
      <c r="B1006"/>
    </row>
    <row r="1007" spans="2:2" x14ac:dyDescent="0.25">
      <c r="B1007"/>
    </row>
    <row r="1008" spans="2:2" x14ac:dyDescent="0.25">
      <c r="B1008"/>
    </row>
    <row r="1009" spans="2:2" x14ac:dyDescent="0.25">
      <c r="B1009"/>
    </row>
    <row r="1010" spans="2:2" x14ac:dyDescent="0.25">
      <c r="B1010"/>
    </row>
    <row r="1011" spans="2:2" x14ac:dyDescent="0.25">
      <c r="B1011"/>
    </row>
    <row r="1012" spans="2:2" x14ac:dyDescent="0.25">
      <c r="B1012"/>
    </row>
    <row r="1013" spans="2:2" x14ac:dyDescent="0.25">
      <c r="B1013"/>
    </row>
    <row r="1014" spans="2:2" x14ac:dyDescent="0.25">
      <c r="B1014"/>
    </row>
    <row r="1015" spans="2:2" x14ac:dyDescent="0.25">
      <c r="B1015"/>
    </row>
    <row r="1016" spans="2:2" x14ac:dyDescent="0.25">
      <c r="B1016"/>
    </row>
    <row r="1017" spans="2:2" x14ac:dyDescent="0.25">
      <c r="B1017"/>
    </row>
    <row r="1018" spans="2:2" x14ac:dyDescent="0.25">
      <c r="B1018"/>
    </row>
    <row r="1019" spans="2:2" x14ac:dyDescent="0.25">
      <c r="B1019"/>
    </row>
    <row r="1020" spans="2:2" x14ac:dyDescent="0.25">
      <c r="B1020"/>
    </row>
    <row r="1021" spans="2:2" x14ac:dyDescent="0.25">
      <c r="B1021"/>
    </row>
    <row r="1022" spans="2:2" x14ac:dyDescent="0.25">
      <c r="B1022"/>
    </row>
    <row r="1023" spans="2:2" x14ac:dyDescent="0.25">
      <c r="B1023"/>
    </row>
    <row r="1024" spans="2:2" x14ac:dyDescent="0.25">
      <c r="B1024"/>
    </row>
    <row r="1025" spans="2:2" x14ac:dyDescent="0.25">
      <c r="B1025"/>
    </row>
    <row r="1026" spans="2:2" x14ac:dyDescent="0.25">
      <c r="B1026"/>
    </row>
  </sheetData>
  <phoneticPr fontId="18" type="noConversion"/>
  <conditionalFormatting sqref="O1027:O1048576 N1:N303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:E303 E1027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303 F1027:F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27"/>
  <sheetViews>
    <sheetView zoomScale="150" zoomScaleNormal="150" workbookViewId="0">
      <selection activeCell="M16" sqref="M16"/>
    </sheetView>
  </sheetViews>
  <sheetFormatPr defaultRowHeight="15" x14ac:dyDescent="0.25"/>
  <cols>
    <col min="1" max="1" width="9.140625" style="3"/>
    <col min="3" max="3" width="9.140625" style="4"/>
    <col min="11" max="11" width="9.85546875" customWidth="1"/>
    <col min="14" max="14" width="8.140625" bestFit="1" customWidth="1"/>
    <col min="15" max="15" width="6.28515625" bestFit="1" customWidth="1"/>
    <col min="16" max="16" width="11.28515625" bestFit="1" customWidth="1"/>
  </cols>
  <sheetData>
    <row r="1" spans="1:15" x14ac:dyDescent="0.25">
      <c r="A1" s="17" t="s">
        <v>0</v>
      </c>
      <c r="B1" s="18" t="s">
        <v>1</v>
      </c>
      <c r="C1" s="17" t="s">
        <v>11</v>
      </c>
      <c r="D1" s="17" t="s">
        <v>10</v>
      </c>
      <c r="E1" s="17" t="s">
        <v>2</v>
      </c>
      <c r="F1" s="17" t="s">
        <v>3</v>
      </c>
      <c r="G1" s="17" t="s">
        <v>4</v>
      </c>
      <c r="H1" s="17" t="s">
        <v>12</v>
      </c>
      <c r="I1" s="17" t="s">
        <v>5</v>
      </c>
      <c r="J1" s="17" t="s">
        <v>6</v>
      </c>
      <c r="K1" s="17" t="s">
        <v>7</v>
      </c>
      <c r="L1" s="17" t="s">
        <v>8</v>
      </c>
      <c r="M1" s="16"/>
      <c r="N1" s="15" t="s">
        <v>37</v>
      </c>
      <c r="O1" s="15" t="s">
        <v>38</v>
      </c>
    </row>
    <row r="2" spans="1:15" x14ac:dyDescent="0.25">
      <c r="A2" s="6">
        <v>64</v>
      </c>
      <c r="B2" s="8">
        <v>0</v>
      </c>
      <c r="C2" s="6">
        <v>0</v>
      </c>
      <c r="D2" s="6">
        <v>180</v>
      </c>
      <c r="E2" s="6">
        <v>325</v>
      </c>
      <c r="F2" s="6">
        <v>0</v>
      </c>
      <c r="G2" s="6">
        <v>1</v>
      </c>
      <c r="H2" s="6">
        <v>154</v>
      </c>
      <c r="I2" s="6">
        <v>1</v>
      </c>
      <c r="J2" s="6">
        <v>0</v>
      </c>
      <c r="K2" s="6">
        <v>2</v>
      </c>
      <c r="L2" s="6">
        <v>2</v>
      </c>
      <c r="N2">
        <f>COUNTIF(B2:B527, "0")</f>
        <v>72</v>
      </c>
      <c r="O2">
        <f>COUNTIF(B2:B165, "1")</f>
        <v>92</v>
      </c>
    </row>
    <row r="3" spans="1:15" x14ac:dyDescent="0.25">
      <c r="A3" s="5">
        <v>59</v>
      </c>
      <c r="B3" s="7">
        <v>1</v>
      </c>
      <c r="C3" s="5">
        <v>3</v>
      </c>
      <c r="D3" s="5">
        <v>178</v>
      </c>
      <c r="E3" s="5">
        <v>270</v>
      </c>
      <c r="F3" s="5">
        <v>0</v>
      </c>
      <c r="G3" s="5">
        <v>0</v>
      </c>
      <c r="H3" s="5">
        <v>145</v>
      </c>
      <c r="I3" s="5">
        <v>0</v>
      </c>
      <c r="J3" s="5">
        <v>4.2</v>
      </c>
      <c r="K3" s="5">
        <v>0</v>
      </c>
      <c r="L3" s="5">
        <v>3</v>
      </c>
    </row>
    <row r="4" spans="1:15" x14ac:dyDescent="0.25">
      <c r="A4" s="6">
        <v>52</v>
      </c>
      <c r="B4" s="8">
        <v>1</v>
      </c>
      <c r="C4" s="6">
        <v>2</v>
      </c>
      <c r="D4" s="6">
        <v>172</v>
      </c>
      <c r="E4" s="6">
        <v>199</v>
      </c>
      <c r="F4" s="6">
        <v>1</v>
      </c>
      <c r="G4" s="6">
        <v>1</v>
      </c>
      <c r="H4" s="6">
        <v>162</v>
      </c>
      <c r="I4" s="6">
        <v>0</v>
      </c>
      <c r="J4" s="6">
        <v>0.5</v>
      </c>
      <c r="K4" s="6">
        <v>2</v>
      </c>
      <c r="L4" s="6">
        <v>3</v>
      </c>
    </row>
    <row r="5" spans="1:15" x14ac:dyDescent="0.25">
      <c r="A5" s="6">
        <v>64</v>
      </c>
      <c r="B5" s="8">
        <v>1</v>
      </c>
      <c r="C5" s="6">
        <v>3</v>
      </c>
      <c r="D5" s="6">
        <v>170</v>
      </c>
      <c r="E5" s="6">
        <v>227</v>
      </c>
      <c r="F5" s="6">
        <v>0</v>
      </c>
      <c r="G5" s="6">
        <v>0</v>
      </c>
      <c r="H5" s="6">
        <v>155</v>
      </c>
      <c r="I5" s="6">
        <v>0</v>
      </c>
      <c r="J5" s="6">
        <v>0.6</v>
      </c>
      <c r="K5" s="6">
        <v>1</v>
      </c>
      <c r="L5" s="6">
        <v>3</v>
      </c>
    </row>
    <row r="6" spans="1:15" x14ac:dyDescent="0.25">
      <c r="A6" s="5">
        <v>54</v>
      </c>
      <c r="B6" s="7">
        <v>0</v>
      </c>
      <c r="C6" s="5">
        <v>2</v>
      </c>
      <c r="D6" s="5">
        <v>160</v>
      </c>
      <c r="E6" s="5">
        <v>201</v>
      </c>
      <c r="F6" s="5">
        <v>0</v>
      </c>
      <c r="G6" s="5">
        <v>1</v>
      </c>
      <c r="H6" s="5">
        <v>163</v>
      </c>
      <c r="I6" s="5">
        <v>0</v>
      </c>
      <c r="J6" s="5">
        <v>0</v>
      </c>
      <c r="K6" s="5">
        <v>2</v>
      </c>
      <c r="L6" s="5">
        <v>2</v>
      </c>
    </row>
    <row r="7" spans="1:15" x14ac:dyDescent="0.25">
      <c r="A7" s="6">
        <v>66</v>
      </c>
      <c r="B7" s="8">
        <v>1</v>
      </c>
      <c r="C7" s="6">
        <v>0</v>
      </c>
      <c r="D7" s="6">
        <v>160</v>
      </c>
      <c r="E7" s="6">
        <v>228</v>
      </c>
      <c r="F7" s="6">
        <v>0</v>
      </c>
      <c r="G7" s="6">
        <v>0</v>
      </c>
      <c r="H7" s="6">
        <v>138</v>
      </c>
      <c r="I7" s="6">
        <v>0</v>
      </c>
      <c r="J7" s="6">
        <v>2.2999999999999998</v>
      </c>
      <c r="K7" s="6">
        <v>2</v>
      </c>
      <c r="L7" s="6">
        <v>1</v>
      </c>
    </row>
    <row r="8" spans="1:15" x14ac:dyDescent="0.25">
      <c r="A8" s="5">
        <v>65</v>
      </c>
      <c r="B8" s="7">
        <v>0</v>
      </c>
      <c r="C8" s="5">
        <v>2</v>
      </c>
      <c r="D8" s="5">
        <v>160</v>
      </c>
      <c r="E8" s="5">
        <v>360</v>
      </c>
      <c r="F8" s="5">
        <v>0</v>
      </c>
      <c r="G8" s="5">
        <v>0</v>
      </c>
      <c r="H8" s="5">
        <v>151</v>
      </c>
      <c r="I8" s="5">
        <v>0</v>
      </c>
      <c r="J8" s="5">
        <v>0.8</v>
      </c>
      <c r="K8" s="5">
        <v>2</v>
      </c>
      <c r="L8" s="5">
        <v>2</v>
      </c>
    </row>
    <row r="9" spans="1:15" x14ac:dyDescent="0.25">
      <c r="A9" s="5">
        <v>71</v>
      </c>
      <c r="B9" s="7">
        <v>0</v>
      </c>
      <c r="C9" s="5">
        <v>1</v>
      </c>
      <c r="D9" s="5">
        <v>160</v>
      </c>
      <c r="E9" s="5">
        <v>302</v>
      </c>
      <c r="F9" s="5">
        <v>0</v>
      </c>
      <c r="G9" s="5">
        <v>1</v>
      </c>
      <c r="H9" s="5">
        <v>162</v>
      </c>
      <c r="I9" s="5">
        <v>0</v>
      </c>
      <c r="J9" s="5">
        <v>0.4</v>
      </c>
      <c r="K9" s="5">
        <v>2</v>
      </c>
      <c r="L9" s="5">
        <v>2</v>
      </c>
    </row>
    <row r="10" spans="1:15" x14ac:dyDescent="0.25">
      <c r="A10" s="5">
        <v>69</v>
      </c>
      <c r="B10" s="7">
        <v>1</v>
      </c>
      <c r="C10" s="5">
        <v>3</v>
      </c>
      <c r="D10" s="5">
        <v>160</v>
      </c>
      <c r="E10" s="5">
        <v>234</v>
      </c>
      <c r="F10" s="5">
        <v>1</v>
      </c>
      <c r="G10" s="5">
        <v>0</v>
      </c>
      <c r="H10" s="5">
        <v>131</v>
      </c>
      <c r="I10" s="5">
        <v>0</v>
      </c>
      <c r="J10" s="5">
        <v>0.1</v>
      </c>
      <c r="K10" s="5">
        <v>1</v>
      </c>
      <c r="L10" s="5">
        <v>2</v>
      </c>
    </row>
    <row r="11" spans="1:15" x14ac:dyDescent="0.25">
      <c r="A11" s="5">
        <v>70</v>
      </c>
      <c r="B11" s="7">
        <v>1</v>
      </c>
      <c r="C11" s="5">
        <v>1</v>
      </c>
      <c r="D11" s="5">
        <v>156</v>
      </c>
      <c r="E11" s="5">
        <v>245</v>
      </c>
      <c r="F11" s="5">
        <v>0</v>
      </c>
      <c r="G11" s="5">
        <v>0</v>
      </c>
      <c r="H11" s="5">
        <v>143</v>
      </c>
      <c r="I11" s="5">
        <v>0</v>
      </c>
      <c r="J11" s="5">
        <v>0</v>
      </c>
      <c r="K11" s="5">
        <v>2</v>
      </c>
      <c r="L11" s="5">
        <v>2</v>
      </c>
    </row>
    <row r="12" spans="1:15" x14ac:dyDescent="0.25">
      <c r="A12" s="5">
        <v>65</v>
      </c>
      <c r="B12" s="7">
        <v>0</v>
      </c>
      <c r="C12" s="5">
        <v>2</v>
      </c>
      <c r="D12" s="5">
        <v>155</v>
      </c>
      <c r="E12" s="5">
        <v>269</v>
      </c>
      <c r="F12" s="5">
        <v>0</v>
      </c>
      <c r="G12" s="5">
        <v>1</v>
      </c>
      <c r="H12" s="5">
        <v>148</v>
      </c>
      <c r="I12" s="5">
        <v>0</v>
      </c>
      <c r="J12" s="5">
        <v>0.8</v>
      </c>
      <c r="K12" s="5">
        <v>2</v>
      </c>
      <c r="L12" s="5">
        <v>2</v>
      </c>
    </row>
    <row r="13" spans="1:15" x14ac:dyDescent="0.25">
      <c r="A13" s="6">
        <v>67</v>
      </c>
      <c r="B13" s="8">
        <v>0</v>
      </c>
      <c r="C13" s="6">
        <v>2</v>
      </c>
      <c r="D13" s="6">
        <v>152</v>
      </c>
      <c r="E13" s="6">
        <v>277</v>
      </c>
      <c r="F13" s="6">
        <v>0</v>
      </c>
      <c r="G13" s="6">
        <v>1</v>
      </c>
      <c r="H13" s="6">
        <v>172</v>
      </c>
      <c r="I13" s="6">
        <v>0</v>
      </c>
      <c r="J13" s="6">
        <v>0</v>
      </c>
      <c r="K13" s="6">
        <v>2</v>
      </c>
      <c r="L13" s="6">
        <v>2</v>
      </c>
    </row>
    <row r="14" spans="1:15" x14ac:dyDescent="0.25">
      <c r="A14" s="5">
        <v>52</v>
      </c>
      <c r="B14" s="7">
        <v>1</v>
      </c>
      <c r="C14" s="5">
        <v>3</v>
      </c>
      <c r="D14" s="5">
        <v>152</v>
      </c>
      <c r="E14" s="5">
        <v>298</v>
      </c>
      <c r="F14" s="5">
        <v>1</v>
      </c>
      <c r="G14" s="5">
        <v>1</v>
      </c>
      <c r="H14" s="5">
        <v>178</v>
      </c>
      <c r="I14" s="5">
        <v>0</v>
      </c>
      <c r="J14" s="5">
        <v>1.2</v>
      </c>
      <c r="K14" s="5">
        <v>1</v>
      </c>
      <c r="L14" s="5">
        <v>3</v>
      </c>
    </row>
    <row r="15" spans="1:15" x14ac:dyDescent="0.25">
      <c r="A15" s="5">
        <v>60</v>
      </c>
      <c r="B15" s="7">
        <v>0</v>
      </c>
      <c r="C15" s="5">
        <v>3</v>
      </c>
      <c r="D15" s="5">
        <v>150</v>
      </c>
      <c r="E15" s="5">
        <v>240</v>
      </c>
      <c r="F15" s="5">
        <v>0</v>
      </c>
      <c r="G15" s="5">
        <v>1</v>
      </c>
      <c r="H15" s="5">
        <v>171</v>
      </c>
      <c r="I15" s="5">
        <v>0</v>
      </c>
      <c r="J15" s="5">
        <v>0.9</v>
      </c>
      <c r="K15" s="5">
        <v>2</v>
      </c>
      <c r="L15" s="5">
        <v>2</v>
      </c>
    </row>
    <row r="16" spans="1:15" x14ac:dyDescent="0.25">
      <c r="A16" s="5">
        <v>58</v>
      </c>
      <c r="B16" s="7">
        <v>0</v>
      </c>
      <c r="C16" s="5">
        <v>3</v>
      </c>
      <c r="D16" s="5">
        <v>150</v>
      </c>
      <c r="E16" s="5">
        <v>283</v>
      </c>
      <c r="F16" s="5">
        <v>1</v>
      </c>
      <c r="G16" s="5">
        <v>0</v>
      </c>
      <c r="H16" s="5">
        <v>162</v>
      </c>
      <c r="I16" s="5">
        <v>0</v>
      </c>
      <c r="J16" s="5">
        <v>1</v>
      </c>
      <c r="K16" s="5">
        <v>2</v>
      </c>
      <c r="L16" s="5">
        <v>2</v>
      </c>
    </row>
    <row r="17" spans="1:12" x14ac:dyDescent="0.25">
      <c r="A17" s="6">
        <v>54</v>
      </c>
      <c r="B17" s="8">
        <v>1</v>
      </c>
      <c r="C17" s="6">
        <v>2</v>
      </c>
      <c r="D17" s="6">
        <v>150</v>
      </c>
      <c r="E17" s="6">
        <v>232</v>
      </c>
      <c r="F17" s="6">
        <v>0</v>
      </c>
      <c r="G17" s="6">
        <v>0</v>
      </c>
      <c r="H17" s="6">
        <v>165</v>
      </c>
      <c r="I17" s="6">
        <v>0</v>
      </c>
      <c r="J17" s="6">
        <v>1.6</v>
      </c>
      <c r="K17" s="6">
        <v>2</v>
      </c>
      <c r="L17" s="6">
        <v>3</v>
      </c>
    </row>
    <row r="18" spans="1:12" x14ac:dyDescent="0.25">
      <c r="A18" s="6">
        <v>66</v>
      </c>
      <c r="B18" s="8">
        <v>0</v>
      </c>
      <c r="C18" s="6">
        <v>3</v>
      </c>
      <c r="D18" s="6">
        <v>150</v>
      </c>
      <c r="E18" s="6">
        <v>226</v>
      </c>
      <c r="F18" s="6">
        <v>0</v>
      </c>
      <c r="G18" s="6">
        <v>1</v>
      </c>
      <c r="H18" s="6">
        <v>114</v>
      </c>
      <c r="I18" s="6">
        <v>0</v>
      </c>
      <c r="J18" s="6">
        <v>2.6</v>
      </c>
      <c r="K18" s="6">
        <v>0</v>
      </c>
      <c r="L18" s="6">
        <v>2</v>
      </c>
    </row>
    <row r="19" spans="1:12" x14ac:dyDescent="0.25">
      <c r="A19" s="6">
        <v>59</v>
      </c>
      <c r="B19" s="8">
        <v>1</v>
      </c>
      <c r="C19" s="6">
        <v>2</v>
      </c>
      <c r="D19" s="6">
        <v>150</v>
      </c>
      <c r="E19" s="6">
        <v>212</v>
      </c>
      <c r="F19" s="6">
        <v>1</v>
      </c>
      <c r="G19" s="6">
        <v>1</v>
      </c>
      <c r="H19" s="6">
        <v>157</v>
      </c>
      <c r="I19" s="6">
        <v>0</v>
      </c>
      <c r="J19" s="6">
        <v>1.6</v>
      </c>
      <c r="K19" s="6">
        <v>2</v>
      </c>
      <c r="L19" s="6">
        <v>2</v>
      </c>
    </row>
    <row r="20" spans="1:12" x14ac:dyDescent="0.25">
      <c r="A20" s="6">
        <v>43</v>
      </c>
      <c r="B20" s="8">
        <v>1</v>
      </c>
      <c r="C20" s="6">
        <v>0</v>
      </c>
      <c r="D20" s="6">
        <v>150</v>
      </c>
      <c r="E20" s="6">
        <v>247</v>
      </c>
      <c r="F20" s="6">
        <v>0</v>
      </c>
      <c r="G20" s="6">
        <v>1</v>
      </c>
      <c r="H20" s="6">
        <v>171</v>
      </c>
      <c r="I20" s="6">
        <v>0</v>
      </c>
      <c r="J20" s="6">
        <v>1.5</v>
      </c>
      <c r="K20" s="6">
        <v>2</v>
      </c>
      <c r="L20" s="6">
        <v>2</v>
      </c>
    </row>
    <row r="21" spans="1:12" x14ac:dyDescent="0.25">
      <c r="A21" s="6">
        <v>57</v>
      </c>
      <c r="B21" s="8">
        <v>1</v>
      </c>
      <c r="C21" s="6">
        <v>2</v>
      </c>
      <c r="D21" s="6">
        <v>150</v>
      </c>
      <c r="E21" s="6">
        <v>168</v>
      </c>
      <c r="F21" s="6">
        <v>0</v>
      </c>
      <c r="G21" s="6">
        <v>1</v>
      </c>
      <c r="H21" s="6">
        <v>174</v>
      </c>
      <c r="I21" s="6">
        <v>0</v>
      </c>
      <c r="J21" s="6">
        <v>1.6</v>
      </c>
      <c r="K21" s="6">
        <v>2</v>
      </c>
      <c r="L21" s="6">
        <v>2</v>
      </c>
    </row>
    <row r="22" spans="1:12" x14ac:dyDescent="0.25">
      <c r="A22" s="6">
        <v>61</v>
      </c>
      <c r="B22" s="8">
        <v>1</v>
      </c>
      <c r="C22" s="6">
        <v>2</v>
      </c>
      <c r="D22" s="6">
        <v>150</v>
      </c>
      <c r="E22" s="6">
        <v>243</v>
      </c>
      <c r="F22" s="6">
        <v>1</v>
      </c>
      <c r="G22" s="6">
        <v>1</v>
      </c>
      <c r="H22" s="6">
        <v>137</v>
      </c>
      <c r="I22" s="6">
        <v>1</v>
      </c>
      <c r="J22" s="6">
        <v>1</v>
      </c>
      <c r="K22" s="6">
        <v>1</v>
      </c>
      <c r="L22" s="6">
        <v>2</v>
      </c>
    </row>
    <row r="23" spans="1:12" x14ac:dyDescent="0.25">
      <c r="A23" s="6">
        <v>57</v>
      </c>
      <c r="B23" s="8">
        <v>1</v>
      </c>
      <c r="C23" s="6">
        <v>2</v>
      </c>
      <c r="D23" s="6">
        <v>150</v>
      </c>
      <c r="E23" s="6">
        <v>126</v>
      </c>
      <c r="F23" s="6">
        <v>1</v>
      </c>
      <c r="G23" s="6">
        <v>1</v>
      </c>
      <c r="H23" s="6">
        <v>173</v>
      </c>
      <c r="I23" s="6">
        <v>0</v>
      </c>
      <c r="J23" s="6">
        <v>0.2</v>
      </c>
      <c r="K23" s="6">
        <v>2</v>
      </c>
      <c r="L23" s="6">
        <v>3</v>
      </c>
    </row>
    <row r="24" spans="1:12" x14ac:dyDescent="0.25">
      <c r="A24" s="5">
        <v>42</v>
      </c>
      <c r="B24" s="7">
        <v>1</v>
      </c>
      <c r="C24" s="5">
        <v>3</v>
      </c>
      <c r="D24" s="5">
        <v>148</v>
      </c>
      <c r="E24" s="5">
        <v>244</v>
      </c>
      <c r="F24" s="5">
        <v>0</v>
      </c>
      <c r="G24" s="5">
        <v>0</v>
      </c>
      <c r="H24" s="5">
        <v>178</v>
      </c>
      <c r="I24" s="5">
        <v>0</v>
      </c>
      <c r="J24" s="5">
        <v>0.8</v>
      </c>
      <c r="K24" s="5">
        <v>2</v>
      </c>
      <c r="L24" s="5">
        <v>2</v>
      </c>
    </row>
    <row r="25" spans="1:12" x14ac:dyDescent="0.25">
      <c r="A25" s="5">
        <v>66</v>
      </c>
      <c r="B25" s="7">
        <v>0</v>
      </c>
      <c r="C25" s="5">
        <v>2</v>
      </c>
      <c r="D25" s="5">
        <v>146</v>
      </c>
      <c r="E25" s="5">
        <v>278</v>
      </c>
      <c r="F25" s="5">
        <v>0</v>
      </c>
      <c r="G25" s="5">
        <v>0</v>
      </c>
      <c r="H25" s="5">
        <v>152</v>
      </c>
      <c r="I25" s="5">
        <v>0</v>
      </c>
      <c r="J25" s="5">
        <v>0</v>
      </c>
      <c r="K25" s="5">
        <v>1</v>
      </c>
      <c r="L25" s="5">
        <v>2</v>
      </c>
    </row>
    <row r="26" spans="1:12" x14ac:dyDescent="0.25">
      <c r="A26" s="5">
        <v>63</v>
      </c>
      <c r="B26" s="7">
        <v>1</v>
      </c>
      <c r="C26" s="5">
        <v>3</v>
      </c>
      <c r="D26" s="5">
        <v>145</v>
      </c>
      <c r="E26" s="5">
        <v>233</v>
      </c>
      <c r="F26" s="5">
        <v>1</v>
      </c>
      <c r="G26" s="5">
        <v>0</v>
      </c>
      <c r="H26" s="5">
        <v>150</v>
      </c>
      <c r="I26" s="5">
        <v>0</v>
      </c>
      <c r="J26" s="5">
        <v>2.2999999999999998</v>
      </c>
      <c r="K26" s="5">
        <v>0</v>
      </c>
      <c r="L26" s="5">
        <v>1</v>
      </c>
    </row>
    <row r="27" spans="1:12" x14ac:dyDescent="0.25">
      <c r="A27" s="6">
        <v>53</v>
      </c>
      <c r="B27" s="8">
        <v>1</v>
      </c>
      <c r="C27" s="6">
        <v>0</v>
      </c>
      <c r="D27" s="6">
        <v>142</v>
      </c>
      <c r="E27" s="6">
        <v>226</v>
      </c>
      <c r="F27" s="6">
        <v>0</v>
      </c>
      <c r="G27" s="6">
        <v>0</v>
      </c>
      <c r="H27" s="6">
        <v>111</v>
      </c>
      <c r="I27" s="6">
        <v>1</v>
      </c>
      <c r="J27" s="6">
        <v>0</v>
      </c>
      <c r="K27" s="6">
        <v>2</v>
      </c>
      <c r="L27" s="6">
        <v>3</v>
      </c>
    </row>
    <row r="28" spans="1:12" x14ac:dyDescent="0.25">
      <c r="A28" s="5">
        <v>46</v>
      </c>
      <c r="B28" s="7">
        <v>0</v>
      </c>
      <c r="C28" s="5">
        <v>2</v>
      </c>
      <c r="D28" s="5">
        <v>142</v>
      </c>
      <c r="E28" s="5">
        <v>177</v>
      </c>
      <c r="F28" s="5">
        <v>0</v>
      </c>
      <c r="G28" s="5">
        <v>0</v>
      </c>
      <c r="H28" s="5">
        <v>160</v>
      </c>
      <c r="I28" s="5">
        <v>1</v>
      </c>
      <c r="J28" s="5">
        <v>1.4</v>
      </c>
      <c r="K28" s="5">
        <v>0</v>
      </c>
      <c r="L28" s="5">
        <v>2</v>
      </c>
    </row>
    <row r="29" spans="1:12" x14ac:dyDescent="0.25">
      <c r="A29" s="6">
        <v>65</v>
      </c>
      <c r="B29" s="8">
        <v>0</v>
      </c>
      <c r="C29" s="6">
        <v>2</v>
      </c>
      <c r="D29" s="6">
        <v>140</v>
      </c>
      <c r="E29" s="6">
        <v>417</v>
      </c>
      <c r="F29" s="6">
        <v>1</v>
      </c>
      <c r="G29" s="6">
        <v>0</v>
      </c>
      <c r="H29" s="6">
        <v>157</v>
      </c>
      <c r="I29" s="6">
        <v>0</v>
      </c>
      <c r="J29" s="6">
        <v>0.8</v>
      </c>
      <c r="K29" s="6">
        <v>2</v>
      </c>
      <c r="L29" s="6">
        <v>2</v>
      </c>
    </row>
    <row r="30" spans="1:12" x14ac:dyDescent="0.25">
      <c r="A30" s="5">
        <v>69</v>
      </c>
      <c r="B30" s="7">
        <v>0</v>
      </c>
      <c r="C30" s="5">
        <v>3</v>
      </c>
      <c r="D30" s="5">
        <v>140</v>
      </c>
      <c r="E30" s="5">
        <v>239</v>
      </c>
      <c r="F30" s="5">
        <v>0</v>
      </c>
      <c r="G30" s="5">
        <v>1</v>
      </c>
      <c r="H30" s="5">
        <v>151</v>
      </c>
      <c r="I30" s="5">
        <v>0</v>
      </c>
      <c r="J30" s="5">
        <v>1.8</v>
      </c>
      <c r="K30" s="5">
        <v>2</v>
      </c>
      <c r="L30" s="5">
        <v>2</v>
      </c>
    </row>
    <row r="31" spans="1:12" x14ac:dyDescent="0.25">
      <c r="A31" s="6">
        <v>51</v>
      </c>
      <c r="B31" s="8">
        <v>0</v>
      </c>
      <c r="C31" s="6">
        <v>2</v>
      </c>
      <c r="D31" s="6">
        <v>140</v>
      </c>
      <c r="E31" s="6">
        <v>308</v>
      </c>
      <c r="F31" s="6">
        <v>0</v>
      </c>
      <c r="G31" s="6">
        <v>0</v>
      </c>
      <c r="H31" s="6">
        <v>142</v>
      </c>
      <c r="I31" s="6">
        <v>0</v>
      </c>
      <c r="J31" s="6">
        <v>1.5</v>
      </c>
      <c r="K31" s="6">
        <v>2</v>
      </c>
      <c r="L31" s="6">
        <v>2</v>
      </c>
    </row>
    <row r="32" spans="1:12" x14ac:dyDescent="0.25">
      <c r="A32" s="6">
        <v>54</v>
      </c>
      <c r="B32" s="8">
        <v>1</v>
      </c>
      <c r="C32" s="6">
        <v>0</v>
      </c>
      <c r="D32" s="6">
        <v>140</v>
      </c>
      <c r="E32" s="6">
        <v>239</v>
      </c>
      <c r="F32" s="6">
        <v>0</v>
      </c>
      <c r="G32" s="6">
        <v>1</v>
      </c>
      <c r="H32" s="6">
        <v>160</v>
      </c>
      <c r="I32" s="6">
        <v>0</v>
      </c>
      <c r="J32" s="6">
        <v>1.2</v>
      </c>
      <c r="K32" s="6">
        <v>2</v>
      </c>
      <c r="L32" s="6">
        <v>2</v>
      </c>
    </row>
    <row r="33" spans="1:12" x14ac:dyDescent="0.25">
      <c r="A33" s="5">
        <v>42</v>
      </c>
      <c r="B33" s="7">
        <v>1</v>
      </c>
      <c r="C33" s="5">
        <v>0</v>
      </c>
      <c r="D33" s="5">
        <v>140</v>
      </c>
      <c r="E33" s="5">
        <v>226</v>
      </c>
      <c r="F33" s="5">
        <v>0</v>
      </c>
      <c r="G33" s="5">
        <v>1</v>
      </c>
      <c r="H33" s="5">
        <v>178</v>
      </c>
      <c r="I33" s="5">
        <v>0</v>
      </c>
      <c r="J33" s="5">
        <v>0</v>
      </c>
      <c r="K33" s="5">
        <v>2</v>
      </c>
      <c r="L33" s="5">
        <v>2</v>
      </c>
    </row>
    <row r="34" spans="1:12" x14ac:dyDescent="0.25">
      <c r="A34" s="5">
        <v>57</v>
      </c>
      <c r="B34" s="7">
        <v>1</v>
      </c>
      <c r="C34" s="5">
        <v>0</v>
      </c>
      <c r="D34" s="5">
        <v>140</v>
      </c>
      <c r="E34" s="5">
        <v>192</v>
      </c>
      <c r="F34" s="5">
        <v>0</v>
      </c>
      <c r="G34" s="5">
        <v>1</v>
      </c>
      <c r="H34" s="5">
        <v>148</v>
      </c>
      <c r="I34" s="5">
        <v>0</v>
      </c>
      <c r="J34" s="5">
        <v>0.4</v>
      </c>
      <c r="K34" s="5">
        <v>1</v>
      </c>
      <c r="L34" s="5">
        <v>1</v>
      </c>
    </row>
    <row r="35" spans="1:12" x14ac:dyDescent="0.25">
      <c r="A35" s="5">
        <v>39</v>
      </c>
      <c r="B35" s="7">
        <v>1</v>
      </c>
      <c r="C35" s="5">
        <v>2</v>
      </c>
      <c r="D35" s="5">
        <v>140</v>
      </c>
      <c r="E35" s="5">
        <v>321</v>
      </c>
      <c r="F35" s="5">
        <v>0</v>
      </c>
      <c r="G35" s="5">
        <v>0</v>
      </c>
      <c r="H35" s="5">
        <v>182</v>
      </c>
      <c r="I35" s="5">
        <v>0</v>
      </c>
      <c r="J35" s="5">
        <v>0</v>
      </c>
      <c r="K35" s="5">
        <v>2</v>
      </c>
      <c r="L35" s="5">
        <v>2</v>
      </c>
    </row>
    <row r="36" spans="1:12" x14ac:dyDescent="0.25">
      <c r="A36" s="6">
        <v>51</v>
      </c>
      <c r="B36" s="8">
        <v>1</v>
      </c>
      <c r="C36" s="6">
        <v>0</v>
      </c>
      <c r="D36" s="6">
        <v>140</v>
      </c>
      <c r="E36" s="6">
        <v>261</v>
      </c>
      <c r="F36" s="6">
        <v>0</v>
      </c>
      <c r="G36" s="6">
        <v>0</v>
      </c>
      <c r="H36" s="6">
        <v>186</v>
      </c>
      <c r="I36" s="6">
        <v>1</v>
      </c>
      <c r="J36" s="6">
        <v>0</v>
      </c>
      <c r="K36" s="6">
        <v>2</v>
      </c>
      <c r="L36" s="6">
        <v>2</v>
      </c>
    </row>
    <row r="37" spans="1:12" x14ac:dyDescent="0.25">
      <c r="A37" s="5">
        <v>58</v>
      </c>
      <c r="B37" s="7">
        <v>1</v>
      </c>
      <c r="C37" s="5">
        <v>2</v>
      </c>
      <c r="D37" s="5">
        <v>140</v>
      </c>
      <c r="E37" s="5">
        <v>211</v>
      </c>
      <c r="F37" s="5">
        <v>1</v>
      </c>
      <c r="G37" s="5">
        <v>0</v>
      </c>
      <c r="H37" s="5">
        <v>165</v>
      </c>
      <c r="I37" s="5">
        <v>0</v>
      </c>
      <c r="J37" s="5">
        <v>0</v>
      </c>
      <c r="K37" s="5">
        <v>2</v>
      </c>
      <c r="L37" s="5">
        <v>2</v>
      </c>
    </row>
    <row r="38" spans="1:12" x14ac:dyDescent="0.25">
      <c r="A38" s="5">
        <v>44</v>
      </c>
      <c r="B38" s="7">
        <v>1</v>
      </c>
      <c r="C38" s="5">
        <v>2</v>
      </c>
      <c r="D38" s="5">
        <v>140</v>
      </c>
      <c r="E38" s="5">
        <v>235</v>
      </c>
      <c r="F38" s="5">
        <v>0</v>
      </c>
      <c r="G38" s="5">
        <v>0</v>
      </c>
      <c r="H38" s="5">
        <v>180</v>
      </c>
      <c r="I38" s="5">
        <v>0</v>
      </c>
      <c r="J38" s="5">
        <v>0</v>
      </c>
      <c r="K38" s="5">
        <v>2</v>
      </c>
      <c r="L38" s="5">
        <v>2</v>
      </c>
    </row>
    <row r="39" spans="1:12" x14ac:dyDescent="0.25">
      <c r="A39" s="6">
        <v>56</v>
      </c>
      <c r="B39" s="8">
        <v>0</v>
      </c>
      <c r="C39" s="6">
        <v>1</v>
      </c>
      <c r="D39" s="6">
        <v>140</v>
      </c>
      <c r="E39" s="6">
        <v>294</v>
      </c>
      <c r="F39" s="6">
        <v>0</v>
      </c>
      <c r="G39" s="6">
        <v>0</v>
      </c>
      <c r="H39" s="6">
        <v>153</v>
      </c>
      <c r="I39" s="6">
        <v>0</v>
      </c>
      <c r="J39" s="6">
        <v>1.3</v>
      </c>
      <c r="K39" s="6">
        <v>1</v>
      </c>
      <c r="L39" s="6">
        <v>2</v>
      </c>
    </row>
    <row r="40" spans="1:12" x14ac:dyDescent="0.25">
      <c r="A40" s="6">
        <v>63</v>
      </c>
      <c r="B40" s="8">
        <v>0</v>
      </c>
      <c r="C40" s="6">
        <v>1</v>
      </c>
      <c r="D40" s="6">
        <v>140</v>
      </c>
      <c r="E40" s="6">
        <v>195</v>
      </c>
      <c r="F40" s="6">
        <v>0</v>
      </c>
      <c r="G40" s="6">
        <v>1</v>
      </c>
      <c r="H40" s="6">
        <v>179</v>
      </c>
      <c r="I40" s="6">
        <v>0</v>
      </c>
      <c r="J40" s="6">
        <v>0</v>
      </c>
      <c r="K40" s="6">
        <v>2</v>
      </c>
      <c r="L40" s="6">
        <v>2</v>
      </c>
    </row>
    <row r="41" spans="1:12" x14ac:dyDescent="0.25">
      <c r="A41" s="6">
        <v>59</v>
      </c>
      <c r="B41" s="8">
        <v>1</v>
      </c>
      <c r="C41" s="6">
        <v>1</v>
      </c>
      <c r="D41" s="6">
        <v>140</v>
      </c>
      <c r="E41" s="6">
        <v>221</v>
      </c>
      <c r="F41" s="6">
        <v>0</v>
      </c>
      <c r="G41" s="6">
        <v>1</v>
      </c>
      <c r="H41" s="6">
        <v>164</v>
      </c>
      <c r="I41" s="6">
        <v>1</v>
      </c>
      <c r="J41" s="6">
        <v>0</v>
      </c>
      <c r="K41" s="6">
        <v>2</v>
      </c>
      <c r="L41" s="6">
        <v>2</v>
      </c>
    </row>
    <row r="42" spans="1:12" x14ac:dyDescent="0.25">
      <c r="A42" s="6">
        <v>40</v>
      </c>
      <c r="B42" s="8">
        <v>1</v>
      </c>
      <c r="C42" s="6">
        <v>3</v>
      </c>
      <c r="D42" s="6">
        <v>140</v>
      </c>
      <c r="E42" s="6">
        <v>199</v>
      </c>
      <c r="F42" s="6">
        <v>0</v>
      </c>
      <c r="G42" s="6">
        <v>1</v>
      </c>
      <c r="H42" s="6">
        <v>178</v>
      </c>
      <c r="I42" s="6">
        <v>1</v>
      </c>
      <c r="J42" s="6">
        <v>1.4</v>
      </c>
      <c r="K42" s="6">
        <v>2</v>
      </c>
      <c r="L42" s="6">
        <v>3</v>
      </c>
    </row>
    <row r="43" spans="1:12" x14ac:dyDescent="0.25">
      <c r="A43" s="6">
        <v>62</v>
      </c>
      <c r="B43" s="8">
        <v>0</v>
      </c>
      <c r="C43" s="6">
        <v>0</v>
      </c>
      <c r="D43" s="6">
        <v>140</v>
      </c>
      <c r="E43" s="6">
        <v>394</v>
      </c>
      <c r="F43" s="6">
        <v>0</v>
      </c>
      <c r="G43" s="6">
        <v>0</v>
      </c>
      <c r="H43" s="6">
        <v>157</v>
      </c>
      <c r="I43" s="6">
        <v>0</v>
      </c>
      <c r="J43" s="6">
        <v>1.2</v>
      </c>
      <c r="K43" s="6">
        <v>1</v>
      </c>
      <c r="L43" s="6">
        <v>2</v>
      </c>
    </row>
    <row r="44" spans="1:12" x14ac:dyDescent="0.25">
      <c r="A44" s="5">
        <v>76</v>
      </c>
      <c r="B44" s="7">
        <v>0</v>
      </c>
      <c r="C44" s="5">
        <v>2</v>
      </c>
      <c r="D44" s="5">
        <v>140</v>
      </c>
      <c r="E44" s="5">
        <v>197</v>
      </c>
      <c r="F44" s="5">
        <v>0</v>
      </c>
      <c r="G44" s="5">
        <v>2</v>
      </c>
      <c r="H44" s="5">
        <v>116</v>
      </c>
      <c r="I44" s="5">
        <v>0</v>
      </c>
      <c r="J44" s="5">
        <v>1.1000000000000001</v>
      </c>
      <c r="K44" s="5">
        <v>1</v>
      </c>
      <c r="L44" s="5">
        <v>2</v>
      </c>
    </row>
    <row r="45" spans="1:12" x14ac:dyDescent="0.25">
      <c r="A45" s="5">
        <v>64</v>
      </c>
      <c r="B45" s="7">
        <v>0</v>
      </c>
      <c r="C45" s="5">
        <v>2</v>
      </c>
      <c r="D45" s="5">
        <v>140</v>
      </c>
      <c r="E45" s="5">
        <v>313</v>
      </c>
      <c r="F45" s="5">
        <v>0</v>
      </c>
      <c r="G45" s="5">
        <v>1</v>
      </c>
      <c r="H45" s="5">
        <v>133</v>
      </c>
      <c r="I45" s="5">
        <v>0</v>
      </c>
      <c r="J45" s="5">
        <v>0.2</v>
      </c>
      <c r="K45" s="5">
        <v>2</v>
      </c>
      <c r="L45" s="5">
        <v>3</v>
      </c>
    </row>
    <row r="46" spans="1:12" x14ac:dyDescent="0.25">
      <c r="A46" s="6">
        <v>45</v>
      </c>
      <c r="B46" s="8">
        <v>0</v>
      </c>
      <c r="C46" s="6">
        <v>0</v>
      </c>
      <c r="D46" s="6">
        <v>138</v>
      </c>
      <c r="E46" s="6">
        <v>236</v>
      </c>
      <c r="F46" s="6">
        <v>0</v>
      </c>
      <c r="G46" s="6">
        <v>0</v>
      </c>
      <c r="H46" s="6">
        <v>152</v>
      </c>
      <c r="I46" s="6">
        <v>1</v>
      </c>
      <c r="J46" s="6">
        <v>0.2</v>
      </c>
      <c r="K46" s="6">
        <v>1</v>
      </c>
      <c r="L46" s="6">
        <v>2</v>
      </c>
    </row>
    <row r="47" spans="1:12" x14ac:dyDescent="0.25">
      <c r="A47" s="5">
        <v>59</v>
      </c>
      <c r="B47" s="7">
        <v>1</v>
      </c>
      <c r="C47" s="5">
        <v>0</v>
      </c>
      <c r="D47" s="5">
        <v>138</v>
      </c>
      <c r="E47" s="5">
        <v>271</v>
      </c>
      <c r="F47" s="5">
        <v>0</v>
      </c>
      <c r="G47" s="5">
        <v>0</v>
      </c>
      <c r="H47" s="5">
        <v>182</v>
      </c>
      <c r="I47" s="5">
        <v>0</v>
      </c>
      <c r="J47" s="5">
        <v>0</v>
      </c>
      <c r="K47" s="5">
        <v>2</v>
      </c>
      <c r="L47" s="5">
        <v>2</v>
      </c>
    </row>
    <row r="48" spans="1:12" x14ac:dyDescent="0.25">
      <c r="A48" s="6">
        <v>35</v>
      </c>
      <c r="B48" s="8">
        <v>0</v>
      </c>
      <c r="C48" s="6">
        <v>0</v>
      </c>
      <c r="D48" s="6">
        <v>138</v>
      </c>
      <c r="E48" s="6">
        <v>183</v>
      </c>
      <c r="F48" s="6">
        <v>0</v>
      </c>
      <c r="G48" s="6">
        <v>1</v>
      </c>
      <c r="H48" s="6">
        <v>182</v>
      </c>
      <c r="I48" s="6">
        <v>0</v>
      </c>
      <c r="J48" s="6">
        <v>1.4</v>
      </c>
      <c r="K48" s="6">
        <v>2</v>
      </c>
      <c r="L48" s="6">
        <v>2</v>
      </c>
    </row>
    <row r="49" spans="1:12" x14ac:dyDescent="0.25">
      <c r="A49" s="5">
        <v>53</v>
      </c>
      <c r="B49" s="7">
        <v>0</v>
      </c>
      <c r="C49" s="5">
        <v>0</v>
      </c>
      <c r="D49" s="5">
        <v>138</v>
      </c>
      <c r="E49" s="5">
        <v>234</v>
      </c>
      <c r="F49" s="5">
        <v>0</v>
      </c>
      <c r="G49" s="5">
        <v>0</v>
      </c>
      <c r="H49" s="5">
        <v>160</v>
      </c>
      <c r="I49" s="5">
        <v>0</v>
      </c>
      <c r="J49" s="5">
        <v>0</v>
      </c>
      <c r="K49" s="5">
        <v>2</v>
      </c>
      <c r="L49" s="5">
        <v>2</v>
      </c>
    </row>
    <row r="50" spans="1:12" x14ac:dyDescent="0.25">
      <c r="A50" s="6">
        <v>38</v>
      </c>
      <c r="B50" s="8">
        <v>1</v>
      </c>
      <c r="C50" s="6">
        <v>2</v>
      </c>
      <c r="D50" s="6">
        <v>138</v>
      </c>
      <c r="E50" s="6">
        <v>175</v>
      </c>
      <c r="F50" s="6">
        <v>0</v>
      </c>
      <c r="G50" s="6">
        <v>1</v>
      </c>
      <c r="H50" s="6">
        <v>173</v>
      </c>
      <c r="I50" s="6">
        <v>0</v>
      </c>
      <c r="J50" s="6">
        <v>0</v>
      </c>
      <c r="K50" s="6">
        <v>2</v>
      </c>
      <c r="L50" s="6">
        <v>2</v>
      </c>
    </row>
    <row r="51" spans="1:12" x14ac:dyDescent="0.25">
      <c r="A51" s="6">
        <v>47</v>
      </c>
      <c r="B51" s="8">
        <v>1</v>
      </c>
      <c r="C51" s="6">
        <v>2</v>
      </c>
      <c r="D51" s="6">
        <v>138</v>
      </c>
      <c r="E51" s="6">
        <v>257</v>
      </c>
      <c r="F51" s="6">
        <v>0</v>
      </c>
      <c r="G51" s="6">
        <v>0</v>
      </c>
      <c r="H51" s="6">
        <v>156</v>
      </c>
      <c r="I51" s="6">
        <v>0</v>
      </c>
      <c r="J51" s="6">
        <v>0</v>
      </c>
      <c r="K51" s="6">
        <v>2</v>
      </c>
      <c r="L51" s="6">
        <v>2</v>
      </c>
    </row>
    <row r="52" spans="1:12" x14ac:dyDescent="0.25">
      <c r="A52" s="5">
        <v>39</v>
      </c>
      <c r="B52" s="7">
        <v>0</v>
      </c>
      <c r="C52" s="5">
        <v>2</v>
      </c>
      <c r="D52" s="5">
        <v>138</v>
      </c>
      <c r="E52" s="5">
        <v>220</v>
      </c>
      <c r="F52" s="5">
        <v>0</v>
      </c>
      <c r="G52" s="5">
        <v>1</v>
      </c>
      <c r="H52" s="5">
        <v>152</v>
      </c>
      <c r="I52" s="5">
        <v>0</v>
      </c>
      <c r="J52" s="5">
        <v>0</v>
      </c>
      <c r="K52" s="5">
        <v>1</v>
      </c>
      <c r="L52" s="5">
        <v>2</v>
      </c>
    </row>
    <row r="53" spans="1:12" x14ac:dyDescent="0.25">
      <c r="A53" s="6">
        <v>46</v>
      </c>
      <c r="B53" s="8">
        <v>0</v>
      </c>
      <c r="C53" s="6">
        <v>0</v>
      </c>
      <c r="D53" s="6">
        <v>138</v>
      </c>
      <c r="E53" s="6">
        <v>243</v>
      </c>
      <c r="F53" s="6">
        <v>0</v>
      </c>
      <c r="G53" s="6">
        <v>0</v>
      </c>
      <c r="H53" s="6">
        <v>152</v>
      </c>
      <c r="I53" s="6">
        <v>1</v>
      </c>
      <c r="J53" s="6">
        <v>0</v>
      </c>
      <c r="K53" s="6">
        <v>1</v>
      </c>
      <c r="L53" s="6">
        <v>2</v>
      </c>
    </row>
    <row r="54" spans="1:12" x14ac:dyDescent="0.25">
      <c r="A54" s="6">
        <v>52</v>
      </c>
      <c r="B54" s="8">
        <v>1</v>
      </c>
      <c r="C54" s="6">
        <v>2</v>
      </c>
      <c r="D54" s="6">
        <v>138</v>
      </c>
      <c r="E54" s="6">
        <v>223</v>
      </c>
      <c r="F54" s="6">
        <v>0</v>
      </c>
      <c r="G54" s="6">
        <v>1</v>
      </c>
      <c r="H54" s="6">
        <v>169</v>
      </c>
      <c r="I54" s="6">
        <v>0</v>
      </c>
      <c r="J54" s="6">
        <v>0</v>
      </c>
      <c r="K54" s="6">
        <v>2</v>
      </c>
      <c r="L54" s="6">
        <v>2</v>
      </c>
    </row>
    <row r="55" spans="1:12" x14ac:dyDescent="0.25">
      <c r="A55" s="6">
        <v>52</v>
      </c>
      <c r="B55" s="8">
        <v>0</v>
      </c>
      <c r="C55" s="6">
        <v>2</v>
      </c>
      <c r="D55" s="6">
        <v>136</v>
      </c>
      <c r="E55" s="6">
        <v>196</v>
      </c>
      <c r="F55" s="6">
        <v>0</v>
      </c>
      <c r="G55" s="6">
        <v>0</v>
      </c>
      <c r="H55" s="6">
        <v>169</v>
      </c>
      <c r="I55" s="6">
        <v>0</v>
      </c>
      <c r="J55" s="6">
        <v>0.1</v>
      </c>
      <c r="K55" s="6">
        <v>1</v>
      </c>
      <c r="L55" s="6">
        <v>2</v>
      </c>
    </row>
    <row r="56" spans="1:12" x14ac:dyDescent="0.25">
      <c r="A56" s="5">
        <v>54</v>
      </c>
      <c r="B56" s="7">
        <v>0</v>
      </c>
      <c r="C56" s="5">
        <v>2</v>
      </c>
      <c r="D56" s="5">
        <v>135</v>
      </c>
      <c r="E56" s="5">
        <v>304</v>
      </c>
      <c r="F56" s="5">
        <v>1</v>
      </c>
      <c r="G56" s="5">
        <v>1</v>
      </c>
      <c r="H56" s="5">
        <v>170</v>
      </c>
      <c r="I56" s="5">
        <v>0</v>
      </c>
      <c r="J56" s="5">
        <v>0</v>
      </c>
      <c r="K56" s="5">
        <v>2</v>
      </c>
      <c r="L56" s="5">
        <v>2</v>
      </c>
    </row>
    <row r="57" spans="1:12" x14ac:dyDescent="0.25">
      <c r="A57" s="6">
        <v>59</v>
      </c>
      <c r="B57" s="8">
        <v>1</v>
      </c>
      <c r="C57" s="6">
        <v>0</v>
      </c>
      <c r="D57" s="6">
        <v>135</v>
      </c>
      <c r="E57" s="6">
        <v>234</v>
      </c>
      <c r="F57" s="6">
        <v>0</v>
      </c>
      <c r="G57" s="6">
        <v>1</v>
      </c>
      <c r="H57" s="6">
        <v>161</v>
      </c>
      <c r="I57" s="6">
        <v>0</v>
      </c>
      <c r="J57" s="6">
        <v>0.5</v>
      </c>
      <c r="K57" s="6">
        <v>1</v>
      </c>
      <c r="L57" s="6">
        <v>3</v>
      </c>
    </row>
    <row r="58" spans="1:12" x14ac:dyDescent="0.25">
      <c r="A58" s="5">
        <v>63</v>
      </c>
      <c r="B58" s="7">
        <v>0</v>
      </c>
      <c r="C58" s="5">
        <v>2</v>
      </c>
      <c r="D58" s="5">
        <v>135</v>
      </c>
      <c r="E58" s="5">
        <v>252</v>
      </c>
      <c r="F58" s="5">
        <v>0</v>
      </c>
      <c r="G58" s="5">
        <v>0</v>
      </c>
      <c r="H58" s="5">
        <v>172</v>
      </c>
      <c r="I58" s="5">
        <v>0</v>
      </c>
      <c r="J58" s="5">
        <v>0</v>
      </c>
      <c r="K58" s="5">
        <v>2</v>
      </c>
      <c r="L58" s="5">
        <v>2</v>
      </c>
    </row>
    <row r="59" spans="1:12" x14ac:dyDescent="0.25">
      <c r="A59" s="5">
        <v>41</v>
      </c>
      <c r="B59" s="7">
        <v>1</v>
      </c>
      <c r="C59" s="5">
        <v>1</v>
      </c>
      <c r="D59" s="5">
        <v>135</v>
      </c>
      <c r="E59" s="5">
        <v>203</v>
      </c>
      <c r="F59" s="5">
        <v>0</v>
      </c>
      <c r="G59" s="5">
        <v>1</v>
      </c>
      <c r="H59" s="5">
        <v>132</v>
      </c>
      <c r="I59" s="5">
        <v>0</v>
      </c>
      <c r="J59" s="5">
        <v>0</v>
      </c>
      <c r="K59" s="5">
        <v>1</v>
      </c>
      <c r="L59" s="5">
        <v>1</v>
      </c>
    </row>
    <row r="60" spans="1:12" x14ac:dyDescent="0.25">
      <c r="A60" s="6">
        <v>55</v>
      </c>
      <c r="B60" s="8">
        <v>0</v>
      </c>
      <c r="C60" s="6">
        <v>1</v>
      </c>
      <c r="D60" s="6">
        <v>135</v>
      </c>
      <c r="E60" s="6">
        <v>250</v>
      </c>
      <c r="F60" s="6">
        <v>0</v>
      </c>
      <c r="G60" s="6">
        <v>0</v>
      </c>
      <c r="H60" s="6">
        <v>161</v>
      </c>
      <c r="I60" s="6">
        <v>0</v>
      </c>
      <c r="J60" s="6">
        <v>1.4</v>
      </c>
      <c r="K60" s="6">
        <v>1</v>
      </c>
      <c r="L60" s="6">
        <v>2</v>
      </c>
    </row>
    <row r="61" spans="1:12" x14ac:dyDescent="0.25">
      <c r="A61" s="5">
        <v>49</v>
      </c>
      <c r="B61" s="7">
        <v>0</v>
      </c>
      <c r="C61" s="5">
        <v>1</v>
      </c>
      <c r="D61" s="5">
        <v>134</v>
      </c>
      <c r="E61" s="5">
        <v>271</v>
      </c>
      <c r="F61" s="5">
        <v>0</v>
      </c>
      <c r="G61" s="5">
        <v>1</v>
      </c>
      <c r="H61" s="5">
        <v>162</v>
      </c>
      <c r="I61" s="5">
        <v>0</v>
      </c>
      <c r="J61" s="5">
        <v>0</v>
      </c>
      <c r="K61" s="5">
        <v>1</v>
      </c>
      <c r="L61" s="5">
        <v>2</v>
      </c>
    </row>
    <row r="62" spans="1:12" x14ac:dyDescent="0.25">
      <c r="A62" s="6">
        <v>52</v>
      </c>
      <c r="B62" s="8">
        <v>1</v>
      </c>
      <c r="C62" s="6">
        <v>1</v>
      </c>
      <c r="D62" s="6">
        <v>134</v>
      </c>
      <c r="E62" s="6">
        <v>201</v>
      </c>
      <c r="F62" s="6">
        <v>0</v>
      </c>
      <c r="G62" s="6">
        <v>1</v>
      </c>
      <c r="H62" s="6">
        <v>158</v>
      </c>
      <c r="I62" s="6">
        <v>0</v>
      </c>
      <c r="J62" s="6">
        <v>0.8</v>
      </c>
      <c r="K62" s="6">
        <v>2</v>
      </c>
      <c r="L62" s="6">
        <v>2</v>
      </c>
    </row>
    <row r="63" spans="1:12" x14ac:dyDescent="0.25">
      <c r="A63" s="6">
        <v>57</v>
      </c>
      <c r="B63" s="8">
        <v>1</v>
      </c>
      <c r="C63" s="6">
        <v>0</v>
      </c>
      <c r="D63" s="6">
        <v>132</v>
      </c>
      <c r="E63" s="6">
        <v>207</v>
      </c>
      <c r="F63" s="6">
        <v>0</v>
      </c>
      <c r="G63" s="6">
        <v>1</v>
      </c>
      <c r="H63" s="6">
        <v>168</v>
      </c>
      <c r="I63" s="6">
        <v>1</v>
      </c>
      <c r="J63" s="6">
        <v>0</v>
      </c>
      <c r="K63" s="6">
        <v>2</v>
      </c>
      <c r="L63" s="6">
        <v>3</v>
      </c>
    </row>
    <row r="64" spans="1:12" x14ac:dyDescent="0.25">
      <c r="A64" s="5">
        <v>54</v>
      </c>
      <c r="B64" s="7">
        <v>0</v>
      </c>
      <c r="C64" s="5">
        <v>1</v>
      </c>
      <c r="D64" s="5">
        <v>132</v>
      </c>
      <c r="E64" s="5">
        <v>288</v>
      </c>
      <c r="F64" s="5">
        <v>1</v>
      </c>
      <c r="G64" s="5">
        <v>0</v>
      </c>
      <c r="H64" s="5">
        <v>159</v>
      </c>
      <c r="I64" s="5">
        <v>1</v>
      </c>
      <c r="J64" s="5">
        <v>0</v>
      </c>
      <c r="K64" s="5">
        <v>2</v>
      </c>
      <c r="L64" s="5">
        <v>2</v>
      </c>
    </row>
    <row r="65" spans="1:12" x14ac:dyDescent="0.25">
      <c r="A65" s="6">
        <v>55</v>
      </c>
      <c r="B65" s="8">
        <v>0</v>
      </c>
      <c r="C65" s="6">
        <v>1</v>
      </c>
      <c r="D65" s="6">
        <v>132</v>
      </c>
      <c r="E65" s="6">
        <v>342</v>
      </c>
      <c r="F65" s="6">
        <v>0</v>
      </c>
      <c r="G65" s="6">
        <v>1</v>
      </c>
      <c r="H65" s="6">
        <v>166</v>
      </c>
      <c r="I65" s="6">
        <v>0</v>
      </c>
      <c r="J65" s="6">
        <v>1.2</v>
      </c>
      <c r="K65" s="6">
        <v>2</v>
      </c>
      <c r="L65" s="6">
        <v>2</v>
      </c>
    </row>
    <row r="66" spans="1:12" x14ac:dyDescent="0.25">
      <c r="A66" s="5">
        <v>49</v>
      </c>
      <c r="B66" s="7">
        <v>0</v>
      </c>
      <c r="C66" s="5">
        <v>0</v>
      </c>
      <c r="D66" s="5">
        <v>130</v>
      </c>
      <c r="E66" s="5">
        <v>269</v>
      </c>
      <c r="F66" s="5">
        <v>0</v>
      </c>
      <c r="G66" s="5">
        <v>1</v>
      </c>
      <c r="H66" s="5">
        <v>163</v>
      </c>
      <c r="I66" s="5">
        <v>0</v>
      </c>
      <c r="J66" s="5">
        <v>0</v>
      </c>
      <c r="K66" s="5">
        <v>2</v>
      </c>
      <c r="L66" s="5">
        <v>2</v>
      </c>
    </row>
    <row r="67" spans="1:12" x14ac:dyDescent="0.25">
      <c r="A67" s="6">
        <v>62</v>
      </c>
      <c r="B67" s="8">
        <v>1</v>
      </c>
      <c r="C67" s="6">
        <v>2</v>
      </c>
      <c r="D67" s="6">
        <v>130</v>
      </c>
      <c r="E67" s="6">
        <v>231</v>
      </c>
      <c r="F67" s="6">
        <v>0</v>
      </c>
      <c r="G67" s="6">
        <v>1</v>
      </c>
      <c r="H67" s="6">
        <v>146</v>
      </c>
      <c r="I67" s="6">
        <v>0</v>
      </c>
      <c r="J67" s="6">
        <v>1.8</v>
      </c>
      <c r="K67" s="6">
        <v>1</v>
      </c>
      <c r="L67" s="6">
        <v>3</v>
      </c>
    </row>
    <row r="68" spans="1:12" x14ac:dyDescent="0.25">
      <c r="A68" s="5">
        <v>53</v>
      </c>
      <c r="B68" s="7">
        <v>0</v>
      </c>
      <c r="C68" s="5">
        <v>0</v>
      </c>
      <c r="D68" s="5">
        <v>130</v>
      </c>
      <c r="E68" s="5">
        <v>264</v>
      </c>
      <c r="F68" s="5">
        <v>0</v>
      </c>
      <c r="G68" s="5">
        <v>0</v>
      </c>
      <c r="H68" s="5">
        <v>143</v>
      </c>
      <c r="I68" s="5">
        <v>0</v>
      </c>
      <c r="J68" s="5">
        <v>0.4</v>
      </c>
      <c r="K68" s="5">
        <v>1</v>
      </c>
      <c r="L68" s="5">
        <v>2</v>
      </c>
    </row>
    <row r="69" spans="1:12" x14ac:dyDescent="0.25">
      <c r="A69" s="5">
        <v>43</v>
      </c>
      <c r="B69" s="7">
        <v>1</v>
      </c>
      <c r="C69" s="5">
        <v>2</v>
      </c>
      <c r="D69" s="5">
        <v>130</v>
      </c>
      <c r="E69" s="5">
        <v>315</v>
      </c>
      <c r="F69" s="5">
        <v>0</v>
      </c>
      <c r="G69" s="5">
        <v>1</v>
      </c>
      <c r="H69" s="5">
        <v>162</v>
      </c>
      <c r="I69" s="5">
        <v>0</v>
      </c>
      <c r="J69" s="5">
        <v>1.9</v>
      </c>
      <c r="K69" s="5">
        <v>2</v>
      </c>
      <c r="L69" s="5">
        <v>2</v>
      </c>
    </row>
    <row r="70" spans="1:12" x14ac:dyDescent="0.25">
      <c r="A70" s="5">
        <v>42</v>
      </c>
      <c r="B70" s="7">
        <v>1</v>
      </c>
      <c r="C70" s="5">
        <v>2</v>
      </c>
      <c r="D70" s="5">
        <v>130</v>
      </c>
      <c r="E70" s="5">
        <v>180</v>
      </c>
      <c r="F70" s="5">
        <v>0</v>
      </c>
      <c r="G70" s="5">
        <v>1</v>
      </c>
      <c r="H70" s="5">
        <v>150</v>
      </c>
      <c r="I70" s="5">
        <v>0</v>
      </c>
      <c r="J70" s="5">
        <v>0</v>
      </c>
      <c r="K70" s="5">
        <v>2</v>
      </c>
      <c r="L70" s="5">
        <v>2</v>
      </c>
    </row>
    <row r="71" spans="1:12" x14ac:dyDescent="0.25">
      <c r="A71" s="6">
        <v>47</v>
      </c>
      <c r="B71" s="8">
        <v>1</v>
      </c>
      <c r="C71" s="6">
        <v>2</v>
      </c>
      <c r="D71" s="6">
        <v>130</v>
      </c>
      <c r="E71" s="6">
        <v>253</v>
      </c>
      <c r="F71" s="6">
        <v>0</v>
      </c>
      <c r="G71" s="6">
        <v>1</v>
      </c>
      <c r="H71" s="6">
        <v>179</v>
      </c>
      <c r="I71" s="6">
        <v>0</v>
      </c>
      <c r="J71" s="6">
        <v>0</v>
      </c>
      <c r="K71" s="6">
        <v>2</v>
      </c>
      <c r="L71" s="6">
        <v>2</v>
      </c>
    </row>
    <row r="72" spans="1:12" x14ac:dyDescent="0.25">
      <c r="A72" s="6">
        <v>55</v>
      </c>
      <c r="B72" s="8">
        <v>1</v>
      </c>
      <c r="C72" s="6">
        <v>1</v>
      </c>
      <c r="D72" s="6">
        <v>130</v>
      </c>
      <c r="E72" s="6">
        <v>262</v>
      </c>
      <c r="F72" s="6">
        <v>0</v>
      </c>
      <c r="G72" s="6">
        <v>1</v>
      </c>
      <c r="H72" s="6">
        <v>155</v>
      </c>
      <c r="I72" s="6">
        <v>0</v>
      </c>
      <c r="J72" s="6">
        <v>0</v>
      </c>
      <c r="K72" s="6">
        <v>2</v>
      </c>
      <c r="L72" s="6">
        <v>2</v>
      </c>
    </row>
    <row r="73" spans="1:12" x14ac:dyDescent="0.25">
      <c r="A73" s="6">
        <v>48</v>
      </c>
      <c r="B73" s="8">
        <v>0</v>
      </c>
      <c r="C73" s="6">
        <v>2</v>
      </c>
      <c r="D73" s="6">
        <v>130</v>
      </c>
      <c r="E73" s="6">
        <v>275</v>
      </c>
      <c r="F73" s="6">
        <v>0</v>
      </c>
      <c r="G73" s="6">
        <v>1</v>
      </c>
      <c r="H73" s="6">
        <v>139</v>
      </c>
      <c r="I73" s="6">
        <v>0</v>
      </c>
      <c r="J73" s="6">
        <v>0.2</v>
      </c>
      <c r="K73" s="6">
        <v>2</v>
      </c>
      <c r="L73" s="6">
        <v>2</v>
      </c>
    </row>
    <row r="74" spans="1:12" x14ac:dyDescent="0.25">
      <c r="A74" s="6">
        <v>37</v>
      </c>
      <c r="B74" s="8">
        <v>1</v>
      </c>
      <c r="C74" s="6">
        <v>2</v>
      </c>
      <c r="D74" s="6">
        <v>130</v>
      </c>
      <c r="E74" s="6">
        <v>250</v>
      </c>
      <c r="F74" s="6">
        <v>0</v>
      </c>
      <c r="G74" s="6">
        <v>1</v>
      </c>
      <c r="H74" s="6">
        <v>187</v>
      </c>
      <c r="I74" s="6">
        <v>0</v>
      </c>
      <c r="J74" s="6">
        <v>3.5</v>
      </c>
      <c r="K74" s="6">
        <v>0</v>
      </c>
      <c r="L74" s="6">
        <v>2</v>
      </c>
    </row>
    <row r="75" spans="1:12" x14ac:dyDescent="0.25">
      <c r="A75" s="5">
        <v>44</v>
      </c>
      <c r="B75" s="7">
        <v>1</v>
      </c>
      <c r="C75" s="5">
        <v>2</v>
      </c>
      <c r="D75" s="5">
        <v>130</v>
      </c>
      <c r="E75" s="5">
        <v>233</v>
      </c>
      <c r="F75" s="5">
        <v>0</v>
      </c>
      <c r="G75" s="5">
        <v>1</v>
      </c>
      <c r="H75" s="5">
        <v>179</v>
      </c>
      <c r="I75" s="5">
        <v>1</v>
      </c>
      <c r="J75" s="5">
        <v>0.4</v>
      </c>
      <c r="K75" s="5">
        <v>2</v>
      </c>
      <c r="L75" s="5">
        <v>2</v>
      </c>
    </row>
    <row r="76" spans="1:12" x14ac:dyDescent="0.25">
      <c r="A76" s="6">
        <v>58</v>
      </c>
      <c r="B76" s="8">
        <v>0</v>
      </c>
      <c r="C76" s="6">
        <v>0</v>
      </c>
      <c r="D76" s="6">
        <v>130</v>
      </c>
      <c r="E76" s="6">
        <v>197</v>
      </c>
      <c r="F76" s="6">
        <v>0</v>
      </c>
      <c r="G76" s="6">
        <v>1</v>
      </c>
      <c r="H76" s="6">
        <v>131</v>
      </c>
      <c r="I76" s="6">
        <v>0</v>
      </c>
      <c r="J76" s="6">
        <v>0.6</v>
      </c>
      <c r="K76" s="6">
        <v>1</v>
      </c>
      <c r="L76" s="6">
        <v>2</v>
      </c>
    </row>
    <row r="77" spans="1:12" x14ac:dyDescent="0.25">
      <c r="A77" s="6">
        <v>64</v>
      </c>
      <c r="B77" s="8">
        <v>0</v>
      </c>
      <c r="C77" s="6">
        <v>0</v>
      </c>
      <c r="D77" s="6">
        <v>130</v>
      </c>
      <c r="E77" s="6">
        <v>303</v>
      </c>
      <c r="F77" s="6">
        <v>0</v>
      </c>
      <c r="G77" s="6">
        <v>1</v>
      </c>
      <c r="H77" s="6">
        <v>122</v>
      </c>
      <c r="I77" s="6">
        <v>0</v>
      </c>
      <c r="J77" s="6">
        <v>2</v>
      </c>
      <c r="K77" s="6">
        <v>1</v>
      </c>
      <c r="L77" s="6">
        <v>2</v>
      </c>
    </row>
    <row r="78" spans="1:12" x14ac:dyDescent="0.25">
      <c r="A78" s="5">
        <v>56</v>
      </c>
      <c r="B78" s="7">
        <v>1</v>
      </c>
      <c r="C78" s="5">
        <v>1</v>
      </c>
      <c r="D78" s="5">
        <v>130</v>
      </c>
      <c r="E78" s="5">
        <v>221</v>
      </c>
      <c r="F78" s="5">
        <v>0</v>
      </c>
      <c r="G78" s="5">
        <v>0</v>
      </c>
      <c r="H78" s="5">
        <v>163</v>
      </c>
      <c r="I78" s="5">
        <v>0</v>
      </c>
      <c r="J78" s="5">
        <v>0</v>
      </c>
      <c r="K78" s="5">
        <v>2</v>
      </c>
      <c r="L78" s="5">
        <v>3</v>
      </c>
    </row>
    <row r="79" spans="1:12" x14ac:dyDescent="0.25">
      <c r="A79" s="6">
        <v>51</v>
      </c>
      <c r="B79" s="8">
        <v>0</v>
      </c>
      <c r="C79" s="6">
        <v>2</v>
      </c>
      <c r="D79" s="6">
        <v>130</v>
      </c>
      <c r="E79" s="6">
        <v>256</v>
      </c>
      <c r="F79" s="6">
        <v>0</v>
      </c>
      <c r="G79" s="6">
        <v>0</v>
      </c>
      <c r="H79" s="6">
        <v>149</v>
      </c>
      <c r="I79" s="6">
        <v>0</v>
      </c>
      <c r="J79" s="6">
        <v>0.5</v>
      </c>
      <c r="K79" s="6">
        <v>2</v>
      </c>
      <c r="L79" s="6">
        <v>2</v>
      </c>
    </row>
    <row r="80" spans="1:12" x14ac:dyDescent="0.25">
      <c r="A80" s="6">
        <v>48</v>
      </c>
      <c r="B80" s="8">
        <v>1</v>
      </c>
      <c r="C80" s="6">
        <v>1</v>
      </c>
      <c r="D80" s="6">
        <v>130</v>
      </c>
      <c r="E80" s="6">
        <v>245</v>
      </c>
      <c r="F80" s="6">
        <v>0</v>
      </c>
      <c r="G80" s="6">
        <v>0</v>
      </c>
      <c r="H80" s="6">
        <v>180</v>
      </c>
      <c r="I80" s="6">
        <v>0</v>
      </c>
      <c r="J80" s="6">
        <v>0.2</v>
      </c>
      <c r="K80" s="6">
        <v>1</v>
      </c>
      <c r="L80" s="6">
        <v>2</v>
      </c>
    </row>
    <row r="81" spans="1:12" x14ac:dyDescent="0.25">
      <c r="A81" s="6">
        <v>41</v>
      </c>
      <c r="B81" s="8">
        <v>1</v>
      </c>
      <c r="C81" s="6">
        <v>2</v>
      </c>
      <c r="D81" s="6">
        <v>130</v>
      </c>
      <c r="E81" s="6">
        <v>214</v>
      </c>
      <c r="F81" s="6">
        <v>0</v>
      </c>
      <c r="G81" s="6">
        <v>0</v>
      </c>
      <c r="H81" s="6">
        <v>168</v>
      </c>
      <c r="I81" s="6">
        <v>0</v>
      </c>
      <c r="J81" s="6">
        <v>2</v>
      </c>
      <c r="K81" s="6">
        <v>1</v>
      </c>
      <c r="L81" s="6">
        <v>2</v>
      </c>
    </row>
    <row r="82" spans="1:12" x14ac:dyDescent="0.25">
      <c r="A82" s="6">
        <v>29</v>
      </c>
      <c r="B82" s="8">
        <v>1</v>
      </c>
      <c r="C82" s="6">
        <v>1</v>
      </c>
      <c r="D82" s="6">
        <v>130</v>
      </c>
      <c r="E82" s="6">
        <v>204</v>
      </c>
      <c r="F82" s="6">
        <v>0</v>
      </c>
      <c r="G82" s="6">
        <v>0</v>
      </c>
      <c r="H82" s="6">
        <v>202</v>
      </c>
      <c r="I82" s="6">
        <v>0</v>
      </c>
      <c r="J82" s="6">
        <v>0</v>
      </c>
      <c r="K82" s="6">
        <v>2</v>
      </c>
      <c r="L82" s="6">
        <v>2</v>
      </c>
    </row>
    <row r="83" spans="1:12" x14ac:dyDescent="0.25">
      <c r="A83" s="6">
        <v>45</v>
      </c>
      <c r="B83" s="8">
        <v>0</v>
      </c>
      <c r="C83" s="6">
        <v>1</v>
      </c>
      <c r="D83" s="6">
        <v>130</v>
      </c>
      <c r="E83" s="6">
        <v>234</v>
      </c>
      <c r="F83" s="6">
        <v>0</v>
      </c>
      <c r="G83" s="6">
        <v>0</v>
      </c>
      <c r="H83" s="6">
        <v>175</v>
      </c>
      <c r="I83" s="6">
        <v>0</v>
      </c>
      <c r="J83" s="6">
        <v>0.6</v>
      </c>
      <c r="K83" s="6">
        <v>1</v>
      </c>
      <c r="L83" s="6">
        <v>2</v>
      </c>
    </row>
    <row r="84" spans="1:12" x14ac:dyDescent="0.25">
      <c r="A84" s="5">
        <v>49</v>
      </c>
      <c r="B84" s="7">
        <v>1</v>
      </c>
      <c r="C84" s="5">
        <v>1</v>
      </c>
      <c r="D84" s="5">
        <v>130</v>
      </c>
      <c r="E84" s="5">
        <v>266</v>
      </c>
      <c r="F84" s="5">
        <v>0</v>
      </c>
      <c r="G84" s="5">
        <v>1</v>
      </c>
      <c r="H84" s="5">
        <v>171</v>
      </c>
      <c r="I84" s="5">
        <v>0</v>
      </c>
      <c r="J84" s="5">
        <v>0.6</v>
      </c>
      <c r="K84" s="5">
        <v>2</v>
      </c>
      <c r="L84" s="5">
        <v>2</v>
      </c>
    </row>
    <row r="85" spans="1:12" x14ac:dyDescent="0.25">
      <c r="A85" s="6">
        <v>53</v>
      </c>
      <c r="B85" s="8">
        <v>1</v>
      </c>
      <c r="C85" s="6">
        <v>2</v>
      </c>
      <c r="D85" s="6">
        <v>130</v>
      </c>
      <c r="E85" s="6">
        <v>197</v>
      </c>
      <c r="F85" s="6">
        <v>1</v>
      </c>
      <c r="G85" s="6">
        <v>0</v>
      </c>
      <c r="H85" s="6">
        <v>152</v>
      </c>
      <c r="I85" s="6">
        <v>0</v>
      </c>
      <c r="J85" s="6">
        <v>1.2</v>
      </c>
      <c r="K85" s="6">
        <v>0</v>
      </c>
      <c r="L85" s="6">
        <v>2</v>
      </c>
    </row>
    <row r="86" spans="1:12" x14ac:dyDescent="0.25">
      <c r="A86" s="6">
        <v>41</v>
      </c>
      <c r="B86" s="8">
        <v>0</v>
      </c>
      <c r="C86" s="6">
        <v>1</v>
      </c>
      <c r="D86" s="6">
        <v>130</v>
      </c>
      <c r="E86" s="6">
        <v>204</v>
      </c>
      <c r="F86" s="6">
        <v>0</v>
      </c>
      <c r="G86" s="6">
        <v>0</v>
      </c>
      <c r="H86" s="6">
        <v>172</v>
      </c>
      <c r="I86" s="6">
        <v>0</v>
      </c>
      <c r="J86" s="6">
        <v>1.4</v>
      </c>
      <c r="K86" s="6">
        <v>2</v>
      </c>
      <c r="L86" s="6">
        <v>2</v>
      </c>
    </row>
    <row r="87" spans="1:12" x14ac:dyDescent="0.25">
      <c r="A87" s="6">
        <v>44</v>
      </c>
      <c r="B87" s="8">
        <v>1</v>
      </c>
      <c r="C87" s="6">
        <v>1</v>
      </c>
      <c r="D87" s="6">
        <v>130</v>
      </c>
      <c r="E87" s="6">
        <v>219</v>
      </c>
      <c r="F87" s="6">
        <v>0</v>
      </c>
      <c r="G87" s="6">
        <v>0</v>
      </c>
      <c r="H87" s="6">
        <v>188</v>
      </c>
      <c r="I87" s="6">
        <v>0</v>
      </c>
      <c r="J87" s="6">
        <v>0</v>
      </c>
      <c r="K87" s="6">
        <v>2</v>
      </c>
      <c r="L87" s="6">
        <v>2</v>
      </c>
    </row>
    <row r="88" spans="1:12" x14ac:dyDescent="0.25">
      <c r="A88" s="6">
        <v>53</v>
      </c>
      <c r="B88" s="8">
        <v>1</v>
      </c>
      <c r="C88" s="6">
        <v>2</v>
      </c>
      <c r="D88" s="6">
        <v>130</v>
      </c>
      <c r="E88" s="6">
        <v>246</v>
      </c>
      <c r="F88" s="6">
        <v>1</v>
      </c>
      <c r="G88" s="6">
        <v>0</v>
      </c>
      <c r="H88" s="6">
        <v>173</v>
      </c>
      <c r="I88" s="6">
        <v>0</v>
      </c>
      <c r="J88" s="6">
        <v>0</v>
      </c>
      <c r="K88" s="6">
        <v>2</v>
      </c>
      <c r="L88" s="6">
        <v>2</v>
      </c>
    </row>
    <row r="89" spans="1:12" x14ac:dyDescent="0.25">
      <c r="A89" s="6">
        <v>50</v>
      </c>
      <c r="B89" s="8">
        <v>1</v>
      </c>
      <c r="C89" s="6">
        <v>2</v>
      </c>
      <c r="D89" s="6">
        <v>129</v>
      </c>
      <c r="E89" s="6">
        <v>196</v>
      </c>
      <c r="F89" s="6">
        <v>0</v>
      </c>
      <c r="G89" s="6">
        <v>1</v>
      </c>
      <c r="H89" s="6">
        <v>163</v>
      </c>
      <c r="I89" s="6">
        <v>0</v>
      </c>
      <c r="J89" s="6">
        <v>0</v>
      </c>
      <c r="K89" s="6">
        <v>2</v>
      </c>
      <c r="L89" s="6">
        <v>2</v>
      </c>
    </row>
    <row r="90" spans="1:12" x14ac:dyDescent="0.25">
      <c r="A90" s="6">
        <v>57</v>
      </c>
      <c r="B90" s="8">
        <v>0</v>
      </c>
      <c r="C90" s="6">
        <v>0</v>
      </c>
      <c r="D90" s="6">
        <v>128</v>
      </c>
      <c r="E90" s="6">
        <v>303</v>
      </c>
      <c r="F90" s="6">
        <v>0</v>
      </c>
      <c r="G90" s="6">
        <v>0</v>
      </c>
      <c r="H90" s="6">
        <v>159</v>
      </c>
      <c r="I90" s="6">
        <v>0</v>
      </c>
      <c r="J90" s="6">
        <v>0</v>
      </c>
      <c r="K90" s="6">
        <v>2</v>
      </c>
      <c r="L90" s="6">
        <v>2</v>
      </c>
    </row>
    <row r="91" spans="1:12" x14ac:dyDescent="0.25">
      <c r="A91" s="6">
        <v>62</v>
      </c>
      <c r="B91" s="8">
        <v>1</v>
      </c>
      <c r="C91" s="6">
        <v>1</v>
      </c>
      <c r="D91" s="6">
        <v>128</v>
      </c>
      <c r="E91" s="6">
        <v>208</v>
      </c>
      <c r="F91" s="6">
        <v>1</v>
      </c>
      <c r="G91" s="6">
        <v>0</v>
      </c>
      <c r="H91" s="6">
        <v>140</v>
      </c>
      <c r="I91" s="6">
        <v>0</v>
      </c>
      <c r="J91" s="6">
        <v>0</v>
      </c>
      <c r="K91" s="6">
        <v>2</v>
      </c>
      <c r="L91" s="6">
        <v>2</v>
      </c>
    </row>
    <row r="92" spans="1:12" x14ac:dyDescent="0.25">
      <c r="A92" s="5">
        <v>64</v>
      </c>
      <c r="B92" s="7">
        <v>1</v>
      </c>
      <c r="C92" s="5">
        <v>0</v>
      </c>
      <c r="D92" s="5">
        <v>128</v>
      </c>
      <c r="E92" s="5">
        <v>263</v>
      </c>
      <c r="F92" s="5">
        <v>0</v>
      </c>
      <c r="G92" s="5">
        <v>1</v>
      </c>
      <c r="H92" s="5">
        <v>105</v>
      </c>
      <c r="I92" s="5">
        <v>1</v>
      </c>
      <c r="J92" s="5">
        <v>0.2</v>
      </c>
      <c r="K92" s="5">
        <v>1</v>
      </c>
      <c r="L92" s="5">
        <v>3</v>
      </c>
    </row>
    <row r="93" spans="1:12" x14ac:dyDescent="0.25">
      <c r="A93" s="5">
        <v>52</v>
      </c>
      <c r="B93" s="7">
        <v>1</v>
      </c>
      <c r="C93" s="5">
        <v>1</v>
      </c>
      <c r="D93" s="5">
        <v>128</v>
      </c>
      <c r="E93" s="5">
        <v>205</v>
      </c>
      <c r="F93" s="5">
        <v>1</v>
      </c>
      <c r="G93" s="5">
        <v>1</v>
      </c>
      <c r="H93" s="5">
        <v>184</v>
      </c>
      <c r="I93" s="5">
        <v>0</v>
      </c>
      <c r="J93" s="5">
        <v>0</v>
      </c>
      <c r="K93" s="5">
        <v>2</v>
      </c>
      <c r="L93" s="5">
        <v>2</v>
      </c>
    </row>
    <row r="94" spans="1:12" x14ac:dyDescent="0.25">
      <c r="A94" s="5">
        <v>53</v>
      </c>
      <c r="B94" s="7">
        <v>0</v>
      </c>
      <c r="C94" s="5">
        <v>2</v>
      </c>
      <c r="D94" s="5">
        <v>128</v>
      </c>
      <c r="E94" s="5">
        <v>216</v>
      </c>
      <c r="F94" s="5">
        <v>0</v>
      </c>
      <c r="G94" s="5">
        <v>0</v>
      </c>
      <c r="H94" s="5">
        <v>115</v>
      </c>
      <c r="I94" s="5">
        <v>0</v>
      </c>
      <c r="J94" s="5">
        <v>0</v>
      </c>
      <c r="K94" s="5">
        <v>2</v>
      </c>
      <c r="L94" s="5">
        <v>0</v>
      </c>
    </row>
    <row r="95" spans="1:12" x14ac:dyDescent="0.25">
      <c r="A95" s="5">
        <v>45</v>
      </c>
      <c r="B95" s="7">
        <v>1</v>
      </c>
      <c r="C95" s="5">
        <v>1</v>
      </c>
      <c r="D95" s="5">
        <v>128</v>
      </c>
      <c r="E95" s="5">
        <v>308</v>
      </c>
      <c r="F95" s="5">
        <v>0</v>
      </c>
      <c r="G95" s="5">
        <v>0</v>
      </c>
      <c r="H95" s="5">
        <v>170</v>
      </c>
      <c r="I95" s="5">
        <v>0</v>
      </c>
      <c r="J95" s="5">
        <v>0</v>
      </c>
      <c r="K95" s="5">
        <v>2</v>
      </c>
      <c r="L95" s="5">
        <v>2</v>
      </c>
    </row>
    <row r="96" spans="1:12" x14ac:dyDescent="0.25">
      <c r="A96" s="5">
        <v>41</v>
      </c>
      <c r="B96" s="7">
        <v>0</v>
      </c>
      <c r="C96" s="5">
        <v>1</v>
      </c>
      <c r="D96" s="5">
        <v>126</v>
      </c>
      <c r="E96" s="5">
        <v>306</v>
      </c>
      <c r="F96" s="5">
        <v>0</v>
      </c>
      <c r="G96" s="5">
        <v>1</v>
      </c>
      <c r="H96" s="5">
        <v>163</v>
      </c>
      <c r="I96" s="5">
        <v>0</v>
      </c>
      <c r="J96" s="5">
        <v>0</v>
      </c>
      <c r="K96" s="5">
        <v>2</v>
      </c>
      <c r="L96" s="5">
        <v>2</v>
      </c>
    </row>
    <row r="97" spans="1:12" x14ac:dyDescent="0.25">
      <c r="A97" s="5">
        <v>51</v>
      </c>
      <c r="B97" s="7">
        <v>1</v>
      </c>
      <c r="C97" s="5">
        <v>3</v>
      </c>
      <c r="D97" s="5">
        <v>125</v>
      </c>
      <c r="E97" s="5">
        <v>213</v>
      </c>
      <c r="F97" s="5">
        <v>0</v>
      </c>
      <c r="G97" s="5">
        <v>0</v>
      </c>
      <c r="H97" s="5">
        <v>125</v>
      </c>
      <c r="I97" s="5">
        <v>1</v>
      </c>
      <c r="J97" s="5">
        <v>1.4</v>
      </c>
      <c r="K97" s="5">
        <v>2</v>
      </c>
      <c r="L97" s="5">
        <v>2</v>
      </c>
    </row>
    <row r="98" spans="1:12" x14ac:dyDescent="0.25">
      <c r="A98" s="5">
        <v>58</v>
      </c>
      <c r="B98" s="7">
        <v>1</v>
      </c>
      <c r="C98" s="5">
        <v>1</v>
      </c>
      <c r="D98" s="5">
        <v>125</v>
      </c>
      <c r="E98" s="5">
        <v>220</v>
      </c>
      <c r="F98" s="5">
        <v>0</v>
      </c>
      <c r="G98" s="5">
        <v>1</v>
      </c>
      <c r="H98" s="5">
        <v>144</v>
      </c>
      <c r="I98" s="5">
        <v>0</v>
      </c>
      <c r="J98" s="5">
        <v>0.4</v>
      </c>
      <c r="K98" s="5">
        <v>1</v>
      </c>
      <c r="L98" s="5">
        <v>3</v>
      </c>
    </row>
    <row r="99" spans="1:12" x14ac:dyDescent="0.25">
      <c r="A99" s="5">
        <v>54</v>
      </c>
      <c r="B99" s="7">
        <v>1</v>
      </c>
      <c r="C99" s="5">
        <v>2</v>
      </c>
      <c r="D99" s="5">
        <v>125</v>
      </c>
      <c r="E99" s="5">
        <v>273</v>
      </c>
      <c r="F99" s="5">
        <v>0</v>
      </c>
      <c r="G99" s="5">
        <v>0</v>
      </c>
      <c r="H99" s="5">
        <v>152</v>
      </c>
      <c r="I99" s="5">
        <v>0</v>
      </c>
      <c r="J99" s="5">
        <v>0.5</v>
      </c>
      <c r="K99" s="5">
        <v>0</v>
      </c>
      <c r="L99" s="5">
        <v>2</v>
      </c>
    </row>
    <row r="100" spans="1:12" x14ac:dyDescent="0.25">
      <c r="A100" s="5">
        <v>51</v>
      </c>
      <c r="B100" s="7">
        <v>1</v>
      </c>
      <c r="C100" s="5">
        <v>2</v>
      </c>
      <c r="D100" s="5">
        <v>125</v>
      </c>
      <c r="E100" s="5">
        <v>245</v>
      </c>
      <c r="F100" s="5">
        <v>1</v>
      </c>
      <c r="G100" s="5">
        <v>0</v>
      </c>
      <c r="H100" s="5">
        <v>166</v>
      </c>
      <c r="I100" s="5">
        <v>0</v>
      </c>
      <c r="J100" s="5">
        <v>2.4</v>
      </c>
      <c r="K100" s="5">
        <v>1</v>
      </c>
      <c r="L100" s="5">
        <v>2</v>
      </c>
    </row>
    <row r="101" spans="1:12" x14ac:dyDescent="0.25">
      <c r="A101" s="5">
        <v>62</v>
      </c>
      <c r="B101" s="7">
        <v>0</v>
      </c>
      <c r="C101" s="5">
        <v>0</v>
      </c>
      <c r="D101" s="5">
        <v>124</v>
      </c>
      <c r="E101" s="5">
        <v>209</v>
      </c>
      <c r="F101" s="5">
        <v>0</v>
      </c>
      <c r="G101" s="5">
        <v>1</v>
      </c>
      <c r="H101" s="5">
        <v>163</v>
      </c>
      <c r="I101" s="5">
        <v>0</v>
      </c>
      <c r="J101" s="5">
        <v>0</v>
      </c>
      <c r="K101" s="5">
        <v>2</v>
      </c>
      <c r="L101" s="5">
        <v>2</v>
      </c>
    </row>
    <row r="102" spans="1:12" x14ac:dyDescent="0.25">
      <c r="A102" s="5">
        <v>48</v>
      </c>
      <c r="B102" s="7">
        <v>1</v>
      </c>
      <c r="C102" s="5">
        <v>2</v>
      </c>
      <c r="D102" s="5">
        <v>124</v>
      </c>
      <c r="E102" s="5">
        <v>255</v>
      </c>
      <c r="F102" s="5">
        <v>1</v>
      </c>
      <c r="G102" s="5">
        <v>1</v>
      </c>
      <c r="H102" s="5">
        <v>175</v>
      </c>
      <c r="I102" s="5">
        <v>0</v>
      </c>
      <c r="J102" s="5">
        <v>0</v>
      </c>
      <c r="K102" s="5">
        <v>2</v>
      </c>
      <c r="L102" s="5">
        <v>2</v>
      </c>
    </row>
    <row r="103" spans="1:12" x14ac:dyDescent="0.25">
      <c r="A103" s="6">
        <v>43</v>
      </c>
      <c r="B103" s="8">
        <v>0</v>
      </c>
      <c r="C103" s="6">
        <v>2</v>
      </c>
      <c r="D103" s="6">
        <v>122</v>
      </c>
      <c r="E103" s="6">
        <v>213</v>
      </c>
      <c r="F103" s="6">
        <v>0</v>
      </c>
      <c r="G103" s="6">
        <v>1</v>
      </c>
      <c r="H103" s="6">
        <v>165</v>
      </c>
      <c r="I103" s="6">
        <v>0</v>
      </c>
      <c r="J103" s="6">
        <v>0.2</v>
      </c>
      <c r="K103" s="6">
        <v>1</v>
      </c>
      <c r="L103" s="6">
        <v>2</v>
      </c>
    </row>
    <row r="104" spans="1:12" x14ac:dyDescent="0.25">
      <c r="A104" s="5">
        <v>35</v>
      </c>
      <c r="B104" s="7">
        <v>1</v>
      </c>
      <c r="C104" s="5">
        <v>1</v>
      </c>
      <c r="D104" s="5">
        <v>122</v>
      </c>
      <c r="E104" s="5">
        <v>192</v>
      </c>
      <c r="F104" s="5">
        <v>0</v>
      </c>
      <c r="G104" s="5">
        <v>1</v>
      </c>
      <c r="H104" s="5">
        <v>174</v>
      </c>
      <c r="I104" s="5">
        <v>0</v>
      </c>
      <c r="J104" s="5">
        <v>0</v>
      </c>
      <c r="K104" s="5">
        <v>2</v>
      </c>
      <c r="L104" s="5">
        <v>2</v>
      </c>
    </row>
    <row r="105" spans="1:12" x14ac:dyDescent="0.25">
      <c r="A105" s="6">
        <v>48</v>
      </c>
      <c r="B105" s="8">
        <v>1</v>
      </c>
      <c r="C105" s="6">
        <v>0</v>
      </c>
      <c r="D105" s="6">
        <v>122</v>
      </c>
      <c r="E105" s="6">
        <v>222</v>
      </c>
      <c r="F105" s="6">
        <v>0</v>
      </c>
      <c r="G105" s="6">
        <v>0</v>
      </c>
      <c r="H105" s="6">
        <v>186</v>
      </c>
      <c r="I105" s="6">
        <v>0</v>
      </c>
      <c r="J105" s="6">
        <v>0</v>
      </c>
      <c r="K105" s="6">
        <v>2</v>
      </c>
      <c r="L105" s="6">
        <v>2</v>
      </c>
    </row>
    <row r="106" spans="1:12" x14ac:dyDescent="0.25">
      <c r="A106" s="5">
        <v>56</v>
      </c>
      <c r="B106" s="7">
        <v>1</v>
      </c>
      <c r="C106" s="5">
        <v>3</v>
      </c>
      <c r="D106" s="5">
        <v>120</v>
      </c>
      <c r="E106" s="5">
        <v>193</v>
      </c>
      <c r="F106" s="5">
        <v>0</v>
      </c>
      <c r="G106" s="5">
        <v>0</v>
      </c>
      <c r="H106" s="5">
        <v>162</v>
      </c>
      <c r="I106" s="5">
        <v>0</v>
      </c>
      <c r="J106" s="5">
        <v>1.9</v>
      </c>
      <c r="K106" s="5">
        <v>1</v>
      </c>
      <c r="L106" s="5">
        <v>3</v>
      </c>
    </row>
    <row r="107" spans="1:12" x14ac:dyDescent="0.25">
      <c r="A107" s="6">
        <v>65</v>
      </c>
      <c r="B107" s="8">
        <v>1</v>
      </c>
      <c r="C107" s="6">
        <v>0</v>
      </c>
      <c r="D107" s="6">
        <v>120</v>
      </c>
      <c r="E107" s="6">
        <v>177</v>
      </c>
      <c r="F107" s="6">
        <v>0</v>
      </c>
      <c r="G107" s="6">
        <v>1</v>
      </c>
      <c r="H107" s="6">
        <v>140</v>
      </c>
      <c r="I107" s="6">
        <v>0</v>
      </c>
      <c r="J107" s="6">
        <v>0.4</v>
      </c>
      <c r="K107" s="6">
        <v>2</v>
      </c>
      <c r="L107" s="6">
        <v>3</v>
      </c>
    </row>
    <row r="108" spans="1:12" x14ac:dyDescent="0.25">
      <c r="A108" s="6">
        <v>56</v>
      </c>
      <c r="B108" s="8">
        <v>1</v>
      </c>
      <c r="C108" s="6">
        <v>1</v>
      </c>
      <c r="D108" s="6">
        <v>120</v>
      </c>
      <c r="E108" s="6">
        <v>240</v>
      </c>
      <c r="F108" s="6">
        <v>0</v>
      </c>
      <c r="G108" s="6">
        <v>1</v>
      </c>
      <c r="H108" s="6">
        <v>169</v>
      </c>
      <c r="I108" s="6">
        <v>0</v>
      </c>
      <c r="J108" s="6">
        <v>0</v>
      </c>
      <c r="K108" s="6">
        <v>0</v>
      </c>
      <c r="L108" s="6">
        <v>2</v>
      </c>
    </row>
    <row r="109" spans="1:12" x14ac:dyDescent="0.25">
      <c r="A109" s="5">
        <v>42</v>
      </c>
      <c r="B109" s="7">
        <v>1</v>
      </c>
      <c r="C109" s="5">
        <v>2</v>
      </c>
      <c r="D109" s="5">
        <v>120</v>
      </c>
      <c r="E109" s="5">
        <v>240</v>
      </c>
      <c r="F109" s="5">
        <v>1</v>
      </c>
      <c r="G109" s="5">
        <v>1</v>
      </c>
      <c r="H109" s="5">
        <v>194</v>
      </c>
      <c r="I109" s="5">
        <v>0</v>
      </c>
      <c r="J109" s="5">
        <v>0.8</v>
      </c>
      <c r="K109" s="5">
        <v>0</v>
      </c>
      <c r="L109" s="5">
        <v>3</v>
      </c>
    </row>
    <row r="110" spans="1:12" x14ac:dyDescent="0.25">
      <c r="A110" s="5">
        <v>44</v>
      </c>
      <c r="B110" s="7">
        <v>1</v>
      </c>
      <c r="C110" s="5">
        <v>1</v>
      </c>
      <c r="D110" s="5">
        <v>120</v>
      </c>
      <c r="E110" s="5">
        <v>263</v>
      </c>
      <c r="F110" s="5">
        <v>0</v>
      </c>
      <c r="G110" s="5">
        <v>1</v>
      </c>
      <c r="H110" s="5">
        <v>173</v>
      </c>
      <c r="I110" s="5">
        <v>0</v>
      </c>
      <c r="J110" s="5">
        <v>0</v>
      </c>
      <c r="K110" s="5">
        <v>2</v>
      </c>
      <c r="L110" s="5">
        <v>3</v>
      </c>
    </row>
    <row r="111" spans="1:12" x14ac:dyDescent="0.25">
      <c r="A111" s="6">
        <v>50</v>
      </c>
      <c r="B111" s="8">
        <v>0</v>
      </c>
      <c r="C111" s="6">
        <v>1</v>
      </c>
      <c r="D111" s="6">
        <v>120</v>
      </c>
      <c r="E111" s="6">
        <v>244</v>
      </c>
      <c r="F111" s="6">
        <v>0</v>
      </c>
      <c r="G111" s="6">
        <v>1</v>
      </c>
      <c r="H111" s="6">
        <v>162</v>
      </c>
      <c r="I111" s="6">
        <v>0</v>
      </c>
      <c r="J111" s="6">
        <v>1.1000000000000001</v>
      </c>
      <c r="K111" s="6">
        <v>2</v>
      </c>
      <c r="L111" s="6">
        <v>2</v>
      </c>
    </row>
    <row r="112" spans="1:12" x14ac:dyDescent="0.25">
      <c r="A112" s="5">
        <v>56</v>
      </c>
      <c r="B112" s="7">
        <v>1</v>
      </c>
      <c r="C112" s="5">
        <v>1</v>
      </c>
      <c r="D112" s="5">
        <v>120</v>
      </c>
      <c r="E112" s="5">
        <v>236</v>
      </c>
      <c r="F112" s="5">
        <v>0</v>
      </c>
      <c r="G112" s="5">
        <v>1</v>
      </c>
      <c r="H112" s="5">
        <v>178</v>
      </c>
      <c r="I112" s="5">
        <v>0</v>
      </c>
      <c r="J112" s="5">
        <v>0.8</v>
      </c>
      <c r="K112" s="5">
        <v>2</v>
      </c>
      <c r="L112" s="5">
        <v>2</v>
      </c>
    </row>
    <row r="113" spans="1:12" x14ac:dyDescent="0.25">
      <c r="A113" s="6">
        <v>68</v>
      </c>
      <c r="B113" s="8">
        <v>0</v>
      </c>
      <c r="C113" s="6">
        <v>2</v>
      </c>
      <c r="D113" s="6">
        <v>120</v>
      </c>
      <c r="E113" s="6">
        <v>211</v>
      </c>
      <c r="F113" s="6">
        <v>0</v>
      </c>
      <c r="G113" s="6">
        <v>0</v>
      </c>
      <c r="H113" s="6">
        <v>115</v>
      </c>
      <c r="I113" s="6">
        <v>0</v>
      </c>
      <c r="J113" s="6">
        <v>1.5</v>
      </c>
      <c r="K113" s="6">
        <v>1</v>
      </c>
      <c r="L113" s="6">
        <v>2</v>
      </c>
    </row>
    <row r="114" spans="1:12" x14ac:dyDescent="0.25">
      <c r="A114" s="6">
        <v>44</v>
      </c>
      <c r="B114" s="8">
        <v>1</v>
      </c>
      <c r="C114" s="6">
        <v>1</v>
      </c>
      <c r="D114" s="6">
        <v>120</v>
      </c>
      <c r="E114" s="6">
        <v>220</v>
      </c>
      <c r="F114" s="6">
        <v>0</v>
      </c>
      <c r="G114" s="6">
        <v>1</v>
      </c>
      <c r="H114" s="6">
        <v>170</v>
      </c>
      <c r="I114" s="6">
        <v>0</v>
      </c>
      <c r="J114" s="6">
        <v>0</v>
      </c>
      <c r="K114" s="6">
        <v>2</v>
      </c>
      <c r="L114" s="6">
        <v>2</v>
      </c>
    </row>
    <row r="115" spans="1:12" x14ac:dyDescent="0.25">
      <c r="A115" s="5">
        <v>37</v>
      </c>
      <c r="B115" s="7">
        <v>0</v>
      </c>
      <c r="C115" s="5">
        <v>2</v>
      </c>
      <c r="D115" s="5">
        <v>120</v>
      </c>
      <c r="E115" s="5">
        <v>215</v>
      </c>
      <c r="F115" s="5">
        <v>0</v>
      </c>
      <c r="G115" s="5">
        <v>1</v>
      </c>
      <c r="H115" s="5">
        <v>170</v>
      </c>
      <c r="I115" s="5">
        <v>0</v>
      </c>
      <c r="J115" s="5">
        <v>0</v>
      </c>
      <c r="K115" s="5">
        <v>2</v>
      </c>
      <c r="L115" s="5">
        <v>2</v>
      </c>
    </row>
    <row r="116" spans="1:12" x14ac:dyDescent="0.25">
      <c r="A116" s="5">
        <v>60</v>
      </c>
      <c r="B116" s="7">
        <v>0</v>
      </c>
      <c r="C116" s="5">
        <v>2</v>
      </c>
      <c r="D116" s="5">
        <v>120</v>
      </c>
      <c r="E116" s="5">
        <v>178</v>
      </c>
      <c r="F116" s="5">
        <v>1</v>
      </c>
      <c r="G116" s="5">
        <v>1</v>
      </c>
      <c r="H116" s="5">
        <v>96</v>
      </c>
      <c r="I116" s="5">
        <v>0</v>
      </c>
      <c r="J116" s="5">
        <v>0</v>
      </c>
      <c r="K116" s="5">
        <v>2</v>
      </c>
      <c r="L116" s="5">
        <v>2</v>
      </c>
    </row>
    <row r="117" spans="1:12" x14ac:dyDescent="0.25">
      <c r="A117" s="6">
        <v>44</v>
      </c>
      <c r="B117" s="8">
        <v>1</v>
      </c>
      <c r="C117" s="6">
        <v>2</v>
      </c>
      <c r="D117" s="6">
        <v>120</v>
      </c>
      <c r="E117" s="6">
        <v>226</v>
      </c>
      <c r="F117" s="6">
        <v>0</v>
      </c>
      <c r="G117" s="6">
        <v>1</v>
      </c>
      <c r="H117" s="6">
        <v>169</v>
      </c>
      <c r="I117" s="6">
        <v>0</v>
      </c>
      <c r="J117" s="6">
        <v>0</v>
      </c>
      <c r="K117" s="6">
        <v>2</v>
      </c>
      <c r="L117" s="6">
        <v>2</v>
      </c>
    </row>
    <row r="118" spans="1:12" x14ac:dyDescent="0.25">
      <c r="A118" s="6">
        <v>74</v>
      </c>
      <c r="B118" s="8">
        <v>0</v>
      </c>
      <c r="C118" s="6">
        <v>1</v>
      </c>
      <c r="D118" s="6">
        <v>120</v>
      </c>
      <c r="E118" s="6">
        <v>269</v>
      </c>
      <c r="F118" s="6">
        <v>0</v>
      </c>
      <c r="G118" s="6">
        <v>0</v>
      </c>
      <c r="H118" s="6">
        <v>121</v>
      </c>
      <c r="I118" s="6">
        <v>1</v>
      </c>
      <c r="J118" s="6">
        <v>0.2</v>
      </c>
      <c r="K118" s="6">
        <v>2</v>
      </c>
      <c r="L118" s="6">
        <v>2</v>
      </c>
    </row>
    <row r="119" spans="1:12" x14ac:dyDescent="0.25">
      <c r="A119" s="5">
        <v>50</v>
      </c>
      <c r="B119" s="7">
        <v>0</v>
      </c>
      <c r="C119" s="5">
        <v>2</v>
      </c>
      <c r="D119" s="5">
        <v>120</v>
      </c>
      <c r="E119" s="5">
        <v>219</v>
      </c>
      <c r="F119" s="5">
        <v>0</v>
      </c>
      <c r="G119" s="5">
        <v>1</v>
      </c>
      <c r="H119" s="5">
        <v>158</v>
      </c>
      <c r="I119" s="5">
        <v>0</v>
      </c>
      <c r="J119" s="5">
        <v>1.6</v>
      </c>
      <c r="K119" s="5">
        <v>1</v>
      </c>
      <c r="L119" s="5">
        <v>2</v>
      </c>
    </row>
    <row r="120" spans="1:12" x14ac:dyDescent="0.25">
      <c r="A120" s="6">
        <v>42</v>
      </c>
      <c r="B120" s="8">
        <v>1</v>
      </c>
      <c r="C120" s="6">
        <v>1</v>
      </c>
      <c r="D120" s="6">
        <v>120</v>
      </c>
      <c r="E120" s="6">
        <v>295</v>
      </c>
      <c r="F120" s="6">
        <v>0</v>
      </c>
      <c r="G120" s="6">
        <v>1</v>
      </c>
      <c r="H120" s="6">
        <v>162</v>
      </c>
      <c r="I120" s="6">
        <v>0</v>
      </c>
      <c r="J120" s="6">
        <v>0</v>
      </c>
      <c r="K120" s="6">
        <v>2</v>
      </c>
      <c r="L120" s="6">
        <v>2</v>
      </c>
    </row>
    <row r="121" spans="1:12" x14ac:dyDescent="0.25">
      <c r="A121" s="6">
        <v>54</v>
      </c>
      <c r="B121" s="8">
        <v>1</v>
      </c>
      <c r="C121" s="6">
        <v>2</v>
      </c>
      <c r="D121" s="6">
        <v>120</v>
      </c>
      <c r="E121" s="6">
        <v>258</v>
      </c>
      <c r="F121" s="6">
        <v>0</v>
      </c>
      <c r="G121" s="6">
        <v>0</v>
      </c>
      <c r="H121" s="6">
        <v>147</v>
      </c>
      <c r="I121" s="6">
        <v>0</v>
      </c>
      <c r="J121" s="6">
        <v>0.4</v>
      </c>
      <c r="K121" s="6">
        <v>1</v>
      </c>
      <c r="L121" s="6">
        <v>3</v>
      </c>
    </row>
    <row r="122" spans="1:12" x14ac:dyDescent="0.25">
      <c r="A122" s="5">
        <v>41</v>
      </c>
      <c r="B122" s="7">
        <v>1</v>
      </c>
      <c r="C122" s="5">
        <v>1</v>
      </c>
      <c r="D122" s="5">
        <v>120</v>
      </c>
      <c r="E122" s="5">
        <v>157</v>
      </c>
      <c r="F122" s="5">
        <v>0</v>
      </c>
      <c r="G122" s="5">
        <v>1</v>
      </c>
      <c r="H122" s="5">
        <v>182</v>
      </c>
      <c r="I122" s="5">
        <v>0</v>
      </c>
      <c r="J122" s="5">
        <v>0</v>
      </c>
      <c r="K122" s="5">
        <v>2</v>
      </c>
      <c r="L122" s="5">
        <v>2</v>
      </c>
    </row>
    <row r="123" spans="1:12" x14ac:dyDescent="0.25">
      <c r="A123" s="6">
        <v>58</v>
      </c>
      <c r="B123" s="8">
        <v>0</v>
      </c>
      <c r="C123" s="6">
        <v>2</v>
      </c>
      <c r="D123" s="6">
        <v>120</v>
      </c>
      <c r="E123" s="6">
        <v>340</v>
      </c>
      <c r="F123" s="6">
        <v>0</v>
      </c>
      <c r="G123" s="6">
        <v>1</v>
      </c>
      <c r="H123" s="6">
        <v>172</v>
      </c>
      <c r="I123" s="6">
        <v>0</v>
      </c>
      <c r="J123" s="6">
        <v>0</v>
      </c>
      <c r="K123" s="6">
        <v>2</v>
      </c>
      <c r="L123" s="6">
        <v>2</v>
      </c>
    </row>
    <row r="124" spans="1:12" x14ac:dyDescent="0.25">
      <c r="A124" s="6">
        <v>42</v>
      </c>
      <c r="B124" s="8">
        <v>0</v>
      </c>
      <c r="C124" s="6">
        <v>2</v>
      </c>
      <c r="D124" s="6">
        <v>120</v>
      </c>
      <c r="E124" s="6">
        <v>209</v>
      </c>
      <c r="F124" s="6">
        <v>0</v>
      </c>
      <c r="G124" s="6">
        <v>1</v>
      </c>
      <c r="H124" s="6">
        <v>173</v>
      </c>
      <c r="I124" s="6">
        <v>0</v>
      </c>
      <c r="J124" s="6">
        <v>0</v>
      </c>
      <c r="K124" s="6">
        <v>1</v>
      </c>
      <c r="L124" s="6">
        <v>2</v>
      </c>
    </row>
    <row r="125" spans="1:12" x14ac:dyDescent="0.25">
      <c r="A125" s="5">
        <v>51</v>
      </c>
      <c r="B125" s="7">
        <v>0</v>
      </c>
      <c r="C125" s="5">
        <v>2</v>
      </c>
      <c r="D125" s="5">
        <v>120</v>
      </c>
      <c r="E125" s="5">
        <v>295</v>
      </c>
      <c r="F125" s="5">
        <v>0</v>
      </c>
      <c r="G125" s="5">
        <v>0</v>
      </c>
      <c r="H125" s="5">
        <v>157</v>
      </c>
      <c r="I125" s="5">
        <v>0</v>
      </c>
      <c r="J125" s="5">
        <v>0.6</v>
      </c>
      <c r="K125" s="5">
        <v>2</v>
      </c>
      <c r="L125" s="5">
        <v>2</v>
      </c>
    </row>
    <row r="126" spans="1:12" x14ac:dyDescent="0.25">
      <c r="A126" s="5">
        <v>52</v>
      </c>
      <c r="B126" s="7">
        <v>1</v>
      </c>
      <c r="C126" s="5">
        <v>1</v>
      </c>
      <c r="D126" s="5">
        <v>120</v>
      </c>
      <c r="E126" s="5">
        <v>325</v>
      </c>
      <c r="F126" s="5">
        <v>0</v>
      </c>
      <c r="G126" s="5">
        <v>1</v>
      </c>
      <c r="H126" s="5">
        <v>172</v>
      </c>
      <c r="I126" s="5">
        <v>0</v>
      </c>
      <c r="J126" s="5">
        <v>0.2</v>
      </c>
      <c r="K126" s="5">
        <v>2</v>
      </c>
      <c r="L126" s="5">
        <v>2</v>
      </c>
    </row>
    <row r="127" spans="1:12" x14ac:dyDescent="0.25">
      <c r="A127" s="5">
        <v>57</v>
      </c>
      <c r="B127" s="7">
        <v>0</v>
      </c>
      <c r="C127" s="5">
        <v>0</v>
      </c>
      <c r="D127" s="5">
        <v>120</v>
      </c>
      <c r="E127" s="5">
        <v>354</v>
      </c>
      <c r="F127" s="5">
        <v>0</v>
      </c>
      <c r="G127" s="5">
        <v>1</v>
      </c>
      <c r="H127" s="5">
        <v>163</v>
      </c>
      <c r="I127" s="5">
        <v>1</v>
      </c>
      <c r="J127" s="5">
        <v>0.6</v>
      </c>
      <c r="K127" s="5">
        <v>2</v>
      </c>
      <c r="L127" s="5">
        <v>2</v>
      </c>
    </row>
    <row r="128" spans="1:12" x14ac:dyDescent="0.25">
      <c r="A128" s="6">
        <v>66</v>
      </c>
      <c r="B128" s="8">
        <v>1</v>
      </c>
      <c r="C128" s="6">
        <v>0</v>
      </c>
      <c r="D128" s="6">
        <v>120</v>
      </c>
      <c r="E128" s="6">
        <v>302</v>
      </c>
      <c r="F128" s="6">
        <v>0</v>
      </c>
      <c r="G128" s="6">
        <v>0</v>
      </c>
      <c r="H128" s="6">
        <v>151</v>
      </c>
      <c r="I128" s="6">
        <v>0</v>
      </c>
      <c r="J128" s="6">
        <v>0.4</v>
      </c>
      <c r="K128" s="6">
        <v>1</v>
      </c>
      <c r="L128" s="6">
        <v>2</v>
      </c>
    </row>
    <row r="129" spans="1:12" x14ac:dyDescent="0.25">
      <c r="A129" s="6">
        <v>68</v>
      </c>
      <c r="B129" s="8">
        <v>1</v>
      </c>
      <c r="C129" s="6">
        <v>2</v>
      </c>
      <c r="D129" s="6">
        <v>118</v>
      </c>
      <c r="E129" s="6">
        <v>277</v>
      </c>
      <c r="F129" s="6">
        <v>0</v>
      </c>
      <c r="G129" s="6">
        <v>1</v>
      </c>
      <c r="H129" s="6">
        <v>151</v>
      </c>
      <c r="I129" s="6">
        <v>0</v>
      </c>
      <c r="J129" s="6">
        <v>1</v>
      </c>
      <c r="K129" s="6">
        <v>2</v>
      </c>
      <c r="L129" s="6">
        <v>3</v>
      </c>
    </row>
    <row r="130" spans="1:12" x14ac:dyDescent="0.25">
      <c r="A130" s="5">
        <v>34</v>
      </c>
      <c r="B130" s="7">
        <v>0</v>
      </c>
      <c r="C130" s="5">
        <v>1</v>
      </c>
      <c r="D130" s="5">
        <v>118</v>
      </c>
      <c r="E130" s="5">
        <v>210</v>
      </c>
      <c r="F130" s="5">
        <v>0</v>
      </c>
      <c r="G130" s="5">
        <v>1</v>
      </c>
      <c r="H130" s="5">
        <v>192</v>
      </c>
      <c r="I130" s="5">
        <v>0</v>
      </c>
      <c r="J130" s="5">
        <v>0.7</v>
      </c>
      <c r="K130" s="5">
        <v>2</v>
      </c>
      <c r="L130" s="5">
        <v>2</v>
      </c>
    </row>
    <row r="131" spans="1:12" x14ac:dyDescent="0.25">
      <c r="A131" s="5">
        <v>34</v>
      </c>
      <c r="B131" s="7">
        <v>1</v>
      </c>
      <c r="C131" s="5">
        <v>3</v>
      </c>
      <c r="D131" s="5">
        <v>118</v>
      </c>
      <c r="E131" s="5">
        <v>182</v>
      </c>
      <c r="F131" s="5">
        <v>0</v>
      </c>
      <c r="G131" s="5">
        <v>0</v>
      </c>
      <c r="H131" s="5">
        <v>174</v>
      </c>
      <c r="I131" s="5">
        <v>0</v>
      </c>
      <c r="J131" s="5">
        <v>0</v>
      </c>
      <c r="K131" s="5">
        <v>2</v>
      </c>
      <c r="L131" s="5">
        <v>2</v>
      </c>
    </row>
    <row r="132" spans="1:12" x14ac:dyDescent="0.25">
      <c r="A132" s="5">
        <v>44</v>
      </c>
      <c r="B132" s="7">
        <v>0</v>
      </c>
      <c r="C132" s="5">
        <v>2</v>
      </c>
      <c r="D132" s="5">
        <v>118</v>
      </c>
      <c r="E132" s="5">
        <v>242</v>
      </c>
      <c r="F132" s="5">
        <v>0</v>
      </c>
      <c r="G132" s="5">
        <v>1</v>
      </c>
      <c r="H132" s="5">
        <v>149</v>
      </c>
      <c r="I132" s="5">
        <v>0</v>
      </c>
      <c r="J132" s="5">
        <v>0.3</v>
      </c>
      <c r="K132" s="5">
        <v>1</v>
      </c>
      <c r="L132" s="5">
        <v>2</v>
      </c>
    </row>
    <row r="133" spans="1:12" x14ac:dyDescent="0.25">
      <c r="A133" s="5">
        <v>52</v>
      </c>
      <c r="B133" s="7">
        <v>1</v>
      </c>
      <c r="C133" s="5">
        <v>3</v>
      </c>
      <c r="D133" s="5">
        <v>118</v>
      </c>
      <c r="E133" s="5">
        <v>186</v>
      </c>
      <c r="F133" s="5">
        <v>0</v>
      </c>
      <c r="G133" s="5">
        <v>0</v>
      </c>
      <c r="H133" s="5">
        <v>190</v>
      </c>
      <c r="I133" s="5">
        <v>0</v>
      </c>
      <c r="J133" s="5">
        <v>0</v>
      </c>
      <c r="K133" s="5">
        <v>1</v>
      </c>
      <c r="L133" s="5">
        <v>1</v>
      </c>
    </row>
    <row r="134" spans="1:12" x14ac:dyDescent="0.25">
      <c r="A134" s="5">
        <v>43</v>
      </c>
      <c r="B134" s="7">
        <v>1</v>
      </c>
      <c r="C134" s="5">
        <v>0</v>
      </c>
      <c r="D134" s="5">
        <v>115</v>
      </c>
      <c r="E134" s="5">
        <v>303</v>
      </c>
      <c r="F134" s="5">
        <v>0</v>
      </c>
      <c r="G134" s="5">
        <v>1</v>
      </c>
      <c r="H134" s="5">
        <v>181</v>
      </c>
      <c r="I134" s="5">
        <v>0</v>
      </c>
      <c r="J134" s="5">
        <v>1.2</v>
      </c>
      <c r="K134" s="5">
        <v>1</v>
      </c>
      <c r="L134" s="5">
        <v>2</v>
      </c>
    </row>
    <row r="135" spans="1:12" x14ac:dyDescent="0.25">
      <c r="A135" s="6">
        <v>45</v>
      </c>
      <c r="B135" s="8">
        <v>1</v>
      </c>
      <c r="C135" s="6">
        <v>0</v>
      </c>
      <c r="D135" s="6">
        <v>115</v>
      </c>
      <c r="E135" s="6">
        <v>260</v>
      </c>
      <c r="F135" s="6">
        <v>0</v>
      </c>
      <c r="G135" s="6">
        <v>0</v>
      </c>
      <c r="H135" s="6">
        <v>185</v>
      </c>
      <c r="I135" s="6">
        <v>0</v>
      </c>
      <c r="J135" s="6">
        <v>0</v>
      </c>
      <c r="K135" s="6">
        <v>2</v>
      </c>
      <c r="L135" s="6">
        <v>2</v>
      </c>
    </row>
    <row r="136" spans="1:12" x14ac:dyDescent="0.25">
      <c r="A136" s="6">
        <v>67</v>
      </c>
      <c r="B136" s="8">
        <v>0</v>
      </c>
      <c r="C136" s="6">
        <v>2</v>
      </c>
      <c r="D136" s="6">
        <v>115</v>
      </c>
      <c r="E136" s="6">
        <v>564</v>
      </c>
      <c r="F136" s="6">
        <v>0</v>
      </c>
      <c r="G136" s="6">
        <v>0</v>
      </c>
      <c r="H136" s="6">
        <v>160</v>
      </c>
      <c r="I136" s="6">
        <v>0</v>
      </c>
      <c r="J136" s="6">
        <v>1.6</v>
      </c>
      <c r="K136" s="6">
        <v>1</v>
      </c>
      <c r="L136" s="6">
        <v>3</v>
      </c>
    </row>
    <row r="137" spans="1:12" x14ac:dyDescent="0.25">
      <c r="A137" s="6">
        <v>41</v>
      </c>
      <c r="B137" s="8">
        <v>1</v>
      </c>
      <c r="C137" s="6">
        <v>2</v>
      </c>
      <c r="D137" s="6">
        <v>112</v>
      </c>
      <c r="E137" s="6">
        <v>250</v>
      </c>
      <c r="F137" s="6">
        <v>0</v>
      </c>
      <c r="G137" s="6">
        <v>1</v>
      </c>
      <c r="H137" s="6">
        <v>179</v>
      </c>
      <c r="I137" s="6">
        <v>0</v>
      </c>
      <c r="J137" s="6">
        <v>0</v>
      </c>
      <c r="K137" s="6">
        <v>2</v>
      </c>
      <c r="L137" s="6">
        <v>2</v>
      </c>
    </row>
    <row r="138" spans="1:12" x14ac:dyDescent="0.25">
      <c r="A138" s="6">
        <v>41</v>
      </c>
      <c r="B138" s="8">
        <v>0</v>
      </c>
      <c r="C138" s="6">
        <v>2</v>
      </c>
      <c r="D138" s="6">
        <v>112</v>
      </c>
      <c r="E138" s="6">
        <v>268</v>
      </c>
      <c r="F138" s="6">
        <v>0</v>
      </c>
      <c r="G138" s="6">
        <v>0</v>
      </c>
      <c r="H138" s="6">
        <v>172</v>
      </c>
      <c r="I138" s="6">
        <v>1</v>
      </c>
      <c r="J138" s="6">
        <v>0</v>
      </c>
      <c r="K138" s="6">
        <v>2</v>
      </c>
      <c r="L138" s="6">
        <v>2</v>
      </c>
    </row>
    <row r="139" spans="1:12" x14ac:dyDescent="0.25">
      <c r="A139" s="5">
        <v>45</v>
      </c>
      <c r="B139" s="7">
        <v>0</v>
      </c>
      <c r="C139" s="5">
        <v>1</v>
      </c>
      <c r="D139" s="5">
        <v>112</v>
      </c>
      <c r="E139" s="5">
        <v>160</v>
      </c>
      <c r="F139" s="5">
        <v>0</v>
      </c>
      <c r="G139" s="5">
        <v>1</v>
      </c>
      <c r="H139" s="5">
        <v>138</v>
      </c>
      <c r="I139" s="5">
        <v>0</v>
      </c>
      <c r="J139" s="5">
        <v>0</v>
      </c>
      <c r="K139" s="5">
        <v>1</v>
      </c>
      <c r="L139" s="5">
        <v>2</v>
      </c>
    </row>
    <row r="140" spans="1:12" x14ac:dyDescent="0.25">
      <c r="A140" s="5">
        <v>47</v>
      </c>
      <c r="B140" s="7">
        <v>1</v>
      </c>
      <c r="C140" s="5">
        <v>0</v>
      </c>
      <c r="D140" s="5">
        <v>112</v>
      </c>
      <c r="E140" s="5">
        <v>204</v>
      </c>
      <c r="F140" s="5">
        <v>0</v>
      </c>
      <c r="G140" s="5">
        <v>1</v>
      </c>
      <c r="H140" s="5">
        <v>143</v>
      </c>
      <c r="I140" s="5">
        <v>0</v>
      </c>
      <c r="J140" s="5">
        <v>0.1</v>
      </c>
      <c r="K140" s="5">
        <v>2</v>
      </c>
      <c r="L140" s="5">
        <v>2</v>
      </c>
    </row>
    <row r="141" spans="1:12" x14ac:dyDescent="0.25">
      <c r="A141" s="5">
        <v>71</v>
      </c>
      <c r="B141" s="7">
        <v>0</v>
      </c>
      <c r="C141" s="5">
        <v>0</v>
      </c>
      <c r="D141" s="5">
        <v>112</v>
      </c>
      <c r="E141" s="5">
        <v>149</v>
      </c>
      <c r="F141" s="5">
        <v>0</v>
      </c>
      <c r="G141" s="5">
        <v>1</v>
      </c>
      <c r="H141" s="5">
        <v>125</v>
      </c>
      <c r="I141" s="5">
        <v>0</v>
      </c>
      <c r="J141" s="5">
        <v>1.6</v>
      </c>
      <c r="K141" s="5">
        <v>1</v>
      </c>
      <c r="L141" s="5">
        <v>2</v>
      </c>
    </row>
    <row r="142" spans="1:12" x14ac:dyDescent="0.25">
      <c r="A142" s="5">
        <v>57</v>
      </c>
      <c r="B142" s="7">
        <v>1</v>
      </c>
      <c r="C142" s="5">
        <v>0</v>
      </c>
      <c r="D142" s="5">
        <v>110</v>
      </c>
      <c r="E142" s="5">
        <v>201</v>
      </c>
      <c r="F142" s="5">
        <v>0</v>
      </c>
      <c r="G142" s="5">
        <v>1</v>
      </c>
      <c r="H142" s="5">
        <v>126</v>
      </c>
      <c r="I142" s="5">
        <v>1</v>
      </c>
      <c r="J142" s="5">
        <v>1.5</v>
      </c>
      <c r="K142" s="5">
        <v>1</v>
      </c>
      <c r="L142" s="5">
        <v>1</v>
      </c>
    </row>
    <row r="143" spans="1:12" x14ac:dyDescent="0.25">
      <c r="A143" s="5">
        <v>41</v>
      </c>
      <c r="B143" s="7">
        <v>1</v>
      </c>
      <c r="C143" s="5">
        <v>1</v>
      </c>
      <c r="D143" s="5">
        <v>110</v>
      </c>
      <c r="E143" s="5">
        <v>235</v>
      </c>
      <c r="F143" s="5">
        <v>0</v>
      </c>
      <c r="G143" s="5">
        <v>1</v>
      </c>
      <c r="H143" s="5">
        <v>153</v>
      </c>
      <c r="I143" s="5">
        <v>0</v>
      </c>
      <c r="J143" s="5">
        <v>0</v>
      </c>
      <c r="K143" s="5">
        <v>2</v>
      </c>
      <c r="L143" s="5">
        <v>2</v>
      </c>
    </row>
    <row r="144" spans="1:12" x14ac:dyDescent="0.25">
      <c r="A144" s="6">
        <v>54</v>
      </c>
      <c r="B144" s="8">
        <v>0</v>
      </c>
      <c r="C144" s="6">
        <v>2</v>
      </c>
      <c r="D144" s="6">
        <v>110</v>
      </c>
      <c r="E144" s="6">
        <v>214</v>
      </c>
      <c r="F144" s="6">
        <v>0</v>
      </c>
      <c r="G144" s="6">
        <v>1</v>
      </c>
      <c r="H144" s="6">
        <v>158</v>
      </c>
      <c r="I144" s="6">
        <v>0</v>
      </c>
      <c r="J144" s="6">
        <v>1.6</v>
      </c>
      <c r="K144" s="6">
        <v>1</v>
      </c>
      <c r="L144" s="6">
        <v>2</v>
      </c>
    </row>
    <row r="145" spans="1:12" x14ac:dyDescent="0.25">
      <c r="A145" s="6">
        <v>71</v>
      </c>
      <c r="B145" s="8">
        <v>0</v>
      </c>
      <c r="C145" s="6">
        <v>2</v>
      </c>
      <c r="D145" s="6">
        <v>110</v>
      </c>
      <c r="E145" s="6">
        <v>265</v>
      </c>
      <c r="F145" s="6">
        <v>1</v>
      </c>
      <c r="G145" s="6">
        <v>0</v>
      </c>
      <c r="H145" s="6">
        <v>130</v>
      </c>
      <c r="I145" s="6">
        <v>0</v>
      </c>
      <c r="J145" s="6">
        <v>0</v>
      </c>
      <c r="K145" s="6">
        <v>2</v>
      </c>
      <c r="L145" s="6">
        <v>2</v>
      </c>
    </row>
    <row r="146" spans="1:12" x14ac:dyDescent="0.25">
      <c r="A146" s="6">
        <v>50</v>
      </c>
      <c r="B146" s="8">
        <v>0</v>
      </c>
      <c r="C146" s="6">
        <v>0</v>
      </c>
      <c r="D146" s="6">
        <v>110</v>
      </c>
      <c r="E146" s="6">
        <v>254</v>
      </c>
      <c r="F146" s="6">
        <v>0</v>
      </c>
      <c r="G146" s="6">
        <v>0</v>
      </c>
      <c r="H146" s="6">
        <v>159</v>
      </c>
      <c r="I146" s="6">
        <v>0</v>
      </c>
      <c r="J146" s="6">
        <v>0</v>
      </c>
      <c r="K146" s="6">
        <v>2</v>
      </c>
      <c r="L146" s="6">
        <v>2</v>
      </c>
    </row>
    <row r="147" spans="1:12" x14ac:dyDescent="0.25">
      <c r="A147" s="6">
        <v>43</v>
      </c>
      <c r="B147" s="8">
        <v>1</v>
      </c>
      <c r="C147" s="6">
        <v>0</v>
      </c>
      <c r="D147" s="6">
        <v>110</v>
      </c>
      <c r="E147" s="6">
        <v>211</v>
      </c>
      <c r="F147" s="6">
        <v>0</v>
      </c>
      <c r="G147" s="6">
        <v>1</v>
      </c>
      <c r="H147" s="6">
        <v>161</v>
      </c>
      <c r="I147" s="6">
        <v>0</v>
      </c>
      <c r="J147" s="6">
        <v>0</v>
      </c>
      <c r="K147" s="6">
        <v>2</v>
      </c>
      <c r="L147" s="6">
        <v>3</v>
      </c>
    </row>
    <row r="148" spans="1:12" x14ac:dyDescent="0.25">
      <c r="A148" s="6">
        <v>51</v>
      </c>
      <c r="B148" s="8">
        <v>1</v>
      </c>
      <c r="C148" s="6">
        <v>2</v>
      </c>
      <c r="D148" s="6">
        <v>110</v>
      </c>
      <c r="E148" s="6">
        <v>175</v>
      </c>
      <c r="F148" s="6">
        <v>0</v>
      </c>
      <c r="G148" s="6">
        <v>1</v>
      </c>
      <c r="H148" s="6">
        <v>123</v>
      </c>
      <c r="I148" s="6">
        <v>0</v>
      </c>
      <c r="J148" s="6">
        <v>0.6</v>
      </c>
      <c r="K148" s="6">
        <v>2</v>
      </c>
      <c r="L148" s="6">
        <v>2</v>
      </c>
    </row>
    <row r="149" spans="1:12" x14ac:dyDescent="0.25">
      <c r="A149" s="5">
        <v>64</v>
      </c>
      <c r="B149" s="7">
        <v>1</v>
      </c>
      <c r="C149" s="5">
        <v>3</v>
      </c>
      <c r="D149" s="5">
        <v>110</v>
      </c>
      <c r="E149" s="5">
        <v>211</v>
      </c>
      <c r="F149" s="5">
        <v>0</v>
      </c>
      <c r="G149" s="5">
        <v>0</v>
      </c>
      <c r="H149" s="5">
        <v>144</v>
      </c>
      <c r="I149" s="5">
        <v>1</v>
      </c>
      <c r="J149" s="5">
        <v>1.8</v>
      </c>
      <c r="K149" s="5">
        <v>1</v>
      </c>
      <c r="L149" s="5">
        <v>2</v>
      </c>
    </row>
    <row r="150" spans="1:12" x14ac:dyDescent="0.25">
      <c r="A150" s="6">
        <v>54</v>
      </c>
      <c r="B150" s="8">
        <v>0</v>
      </c>
      <c r="C150" s="6">
        <v>2</v>
      </c>
      <c r="D150" s="6">
        <v>108</v>
      </c>
      <c r="E150" s="6">
        <v>267</v>
      </c>
      <c r="F150" s="6">
        <v>0</v>
      </c>
      <c r="G150" s="6">
        <v>0</v>
      </c>
      <c r="H150" s="6">
        <v>167</v>
      </c>
      <c r="I150" s="6">
        <v>0</v>
      </c>
      <c r="J150" s="6">
        <v>0</v>
      </c>
      <c r="K150" s="6">
        <v>2</v>
      </c>
      <c r="L150" s="6">
        <v>2</v>
      </c>
    </row>
    <row r="151" spans="1:12" x14ac:dyDescent="0.25">
      <c r="A151" s="5">
        <v>44</v>
      </c>
      <c r="B151" s="7">
        <v>0</v>
      </c>
      <c r="C151" s="5">
        <v>2</v>
      </c>
      <c r="D151" s="5">
        <v>108</v>
      </c>
      <c r="E151" s="5">
        <v>141</v>
      </c>
      <c r="F151" s="5">
        <v>0</v>
      </c>
      <c r="G151" s="5">
        <v>1</v>
      </c>
      <c r="H151" s="5">
        <v>175</v>
      </c>
      <c r="I151" s="5">
        <v>0</v>
      </c>
      <c r="J151" s="5">
        <v>0.6</v>
      </c>
      <c r="K151" s="5">
        <v>1</v>
      </c>
      <c r="L151" s="5">
        <v>2</v>
      </c>
    </row>
    <row r="152" spans="1:12" x14ac:dyDescent="0.25">
      <c r="A152" s="6">
        <v>52</v>
      </c>
      <c r="B152" s="8">
        <v>1</v>
      </c>
      <c r="C152" s="6">
        <v>0</v>
      </c>
      <c r="D152" s="6">
        <v>108</v>
      </c>
      <c r="E152" s="6">
        <v>233</v>
      </c>
      <c r="F152" s="6">
        <v>1</v>
      </c>
      <c r="G152" s="6">
        <v>1</v>
      </c>
      <c r="H152" s="6">
        <v>147</v>
      </c>
      <c r="I152" s="6">
        <v>0</v>
      </c>
      <c r="J152" s="6">
        <v>0.1</v>
      </c>
      <c r="K152" s="6">
        <v>2</v>
      </c>
      <c r="L152" s="6">
        <v>3</v>
      </c>
    </row>
    <row r="153" spans="1:12" x14ac:dyDescent="0.25">
      <c r="A153" s="5">
        <v>54</v>
      </c>
      <c r="B153" s="7">
        <v>1</v>
      </c>
      <c r="C153" s="5">
        <v>1</v>
      </c>
      <c r="D153" s="5">
        <v>108</v>
      </c>
      <c r="E153" s="5">
        <v>309</v>
      </c>
      <c r="F153" s="5">
        <v>0</v>
      </c>
      <c r="G153" s="5">
        <v>1</v>
      </c>
      <c r="H153" s="5">
        <v>156</v>
      </c>
      <c r="I153" s="5">
        <v>0</v>
      </c>
      <c r="J153" s="5">
        <v>0</v>
      </c>
      <c r="K153" s="5">
        <v>2</v>
      </c>
      <c r="L153" s="5">
        <v>3</v>
      </c>
    </row>
    <row r="154" spans="1:12" x14ac:dyDescent="0.25">
      <c r="A154" s="6">
        <v>67</v>
      </c>
      <c r="B154" s="8">
        <v>0</v>
      </c>
      <c r="C154" s="6">
        <v>0</v>
      </c>
      <c r="D154" s="6">
        <v>106</v>
      </c>
      <c r="E154" s="6">
        <v>223</v>
      </c>
      <c r="F154" s="6">
        <v>0</v>
      </c>
      <c r="G154" s="6">
        <v>1</v>
      </c>
      <c r="H154" s="6">
        <v>142</v>
      </c>
      <c r="I154" s="6">
        <v>0</v>
      </c>
      <c r="J154" s="6">
        <v>0.3</v>
      </c>
      <c r="K154" s="6">
        <v>2</v>
      </c>
      <c r="L154" s="6">
        <v>2</v>
      </c>
    </row>
    <row r="155" spans="1:12" x14ac:dyDescent="0.25">
      <c r="A155" s="6">
        <v>58</v>
      </c>
      <c r="B155" s="8">
        <v>1</v>
      </c>
      <c r="C155" s="6">
        <v>2</v>
      </c>
      <c r="D155" s="6">
        <v>105</v>
      </c>
      <c r="E155" s="6">
        <v>240</v>
      </c>
      <c r="F155" s="6">
        <v>0</v>
      </c>
      <c r="G155" s="6">
        <v>0</v>
      </c>
      <c r="H155" s="6">
        <v>154</v>
      </c>
      <c r="I155" s="6">
        <v>1</v>
      </c>
      <c r="J155" s="6">
        <v>0.6</v>
      </c>
      <c r="K155" s="6">
        <v>1</v>
      </c>
      <c r="L155" s="6">
        <v>3</v>
      </c>
    </row>
    <row r="156" spans="1:12" x14ac:dyDescent="0.25">
      <c r="A156" s="5">
        <v>46</v>
      </c>
      <c r="B156" s="7">
        <v>0</v>
      </c>
      <c r="C156" s="5">
        <v>1</v>
      </c>
      <c r="D156" s="5">
        <v>105</v>
      </c>
      <c r="E156" s="5">
        <v>204</v>
      </c>
      <c r="F156" s="5">
        <v>0</v>
      </c>
      <c r="G156" s="5">
        <v>1</v>
      </c>
      <c r="H156" s="5">
        <v>172</v>
      </c>
      <c r="I156" s="5">
        <v>0</v>
      </c>
      <c r="J156" s="5">
        <v>0</v>
      </c>
      <c r="K156" s="5">
        <v>2</v>
      </c>
      <c r="L156" s="5">
        <v>2</v>
      </c>
    </row>
    <row r="157" spans="1:12" x14ac:dyDescent="0.25">
      <c r="A157" s="5">
        <v>41</v>
      </c>
      <c r="B157" s="7">
        <v>0</v>
      </c>
      <c r="C157" s="5">
        <v>1</v>
      </c>
      <c r="D157" s="5">
        <v>105</v>
      </c>
      <c r="E157" s="5">
        <v>198</v>
      </c>
      <c r="F157" s="5">
        <v>0</v>
      </c>
      <c r="G157" s="5">
        <v>1</v>
      </c>
      <c r="H157" s="5">
        <v>168</v>
      </c>
      <c r="I157" s="5">
        <v>0</v>
      </c>
      <c r="J157" s="5">
        <v>0</v>
      </c>
      <c r="K157" s="5">
        <v>2</v>
      </c>
      <c r="L157" s="5">
        <v>2</v>
      </c>
    </row>
    <row r="158" spans="1:12" x14ac:dyDescent="0.25">
      <c r="A158" s="5">
        <v>45</v>
      </c>
      <c r="B158" s="7">
        <v>1</v>
      </c>
      <c r="C158" s="5">
        <v>0</v>
      </c>
      <c r="D158" s="5">
        <v>104</v>
      </c>
      <c r="E158" s="5">
        <v>208</v>
      </c>
      <c r="F158" s="5">
        <v>0</v>
      </c>
      <c r="G158" s="5">
        <v>0</v>
      </c>
      <c r="H158" s="5">
        <v>148</v>
      </c>
      <c r="I158" s="5">
        <v>1</v>
      </c>
      <c r="J158" s="5">
        <v>3</v>
      </c>
      <c r="K158" s="5">
        <v>1</v>
      </c>
      <c r="L158" s="5">
        <v>2</v>
      </c>
    </row>
    <row r="159" spans="1:12" x14ac:dyDescent="0.25">
      <c r="A159" s="5">
        <v>42</v>
      </c>
      <c r="B159" s="7">
        <v>0</v>
      </c>
      <c r="C159" s="5">
        <v>0</v>
      </c>
      <c r="D159" s="5">
        <v>102</v>
      </c>
      <c r="E159" s="5">
        <v>265</v>
      </c>
      <c r="F159" s="5">
        <v>0</v>
      </c>
      <c r="G159" s="5">
        <v>0</v>
      </c>
      <c r="H159" s="5">
        <v>122</v>
      </c>
      <c r="I159" s="5">
        <v>0</v>
      </c>
      <c r="J159" s="5">
        <v>0.6</v>
      </c>
      <c r="K159" s="5">
        <v>1</v>
      </c>
      <c r="L159" s="5">
        <v>2</v>
      </c>
    </row>
    <row r="160" spans="1:12" x14ac:dyDescent="0.25">
      <c r="A160" s="6">
        <v>60</v>
      </c>
      <c r="B160" s="8">
        <v>0</v>
      </c>
      <c r="C160" s="6">
        <v>2</v>
      </c>
      <c r="D160" s="6">
        <v>102</v>
      </c>
      <c r="E160" s="6">
        <v>318</v>
      </c>
      <c r="F160" s="6">
        <v>0</v>
      </c>
      <c r="G160" s="6">
        <v>1</v>
      </c>
      <c r="H160" s="6">
        <v>160</v>
      </c>
      <c r="I160" s="6">
        <v>0</v>
      </c>
      <c r="J160" s="6">
        <v>0</v>
      </c>
      <c r="K160" s="6">
        <v>2</v>
      </c>
      <c r="L160" s="6">
        <v>2</v>
      </c>
    </row>
    <row r="161" spans="1:12" x14ac:dyDescent="0.25">
      <c r="A161" s="5">
        <v>46</v>
      </c>
      <c r="B161" s="7">
        <v>1</v>
      </c>
      <c r="C161" s="5">
        <v>1</v>
      </c>
      <c r="D161" s="5">
        <v>101</v>
      </c>
      <c r="E161" s="5">
        <v>197</v>
      </c>
      <c r="F161" s="5">
        <v>1</v>
      </c>
      <c r="G161" s="5">
        <v>1</v>
      </c>
      <c r="H161" s="5">
        <v>156</v>
      </c>
      <c r="I161" s="5">
        <v>0</v>
      </c>
      <c r="J161" s="5">
        <v>0</v>
      </c>
      <c r="K161" s="5">
        <v>2</v>
      </c>
      <c r="L161" s="5">
        <v>3</v>
      </c>
    </row>
    <row r="162" spans="1:12" x14ac:dyDescent="0.25">
      <c r="A162" s="6">
        <v>51</v>
      </c>
      <c r="B162" s="8">
        <v>1</v>
      </c>
      <c r="C162" s="6">
        <v>2</v>
      </c>
      <c r="D162" s="6">
        <v>100</v>
      </c>
      <c r="E162" s="6">
        <v>222</v>
      </c>
      <c r="F162" s="6">
        <v>0</v>
      </c>
      <c r="G162" s="6">
        <v>1</v>
      </c>
      <c r="H162" s="6">
        <v>143</v>
      </c>
      <c r="I162" s="6">
        <v>1</v>
      </c>
      <c r="J162" s="6">
        <v>1.2</v>
      </c>
      <c r="K162" s="6">
        <v>1</v>
      </c>
      <c r="L162" s="6">
        <v>2</v>
      </c>
    </row>
    <row r="163" spans="1:12" x14ac:dyDescent="0.25">
      <c r="A163" s="6">
        <v>58</v>
      </c>
      <c r="B163" s="8">
        <v>0</v>
      </c>
      <c r="C163" s="6">
        <v>0</v>
      </c>
      <c r="D163" s="6">
        <v>100</v>
      </c>
      <c r="E163" s="6">
        <v>248</v>
      </c>
      <c r="F163" s="6">
        <v>0</v>
      </c>
      <c r="G163" s="6">
        <v>0</v>
      </c>
      <c r="H163" s="6">
        <v>122</v>
      </c>
      <c r="I163" s="6">
        <v>0</v>
      </c>
      <c r="J163" s="6">
        <v>1</v>
      </c>
      <c r="K163" s="6">
        <v>1</v>
      </c>
      <c r="L163" s="6">
        <v>2</v>
      </c>
    </row>
    <row r="164" spans="1:12" x14ac:dyDescent="0.25">
      <c r="A164" s="5">
        <v>51</v>
      </c>
      <c r="B164" s="7">
        <v>1</v>
      </c>
      <c r="C164" s="5">
        <v>2</v>
      </c>
      <c r="D164" s="5">
        <v>94</v>
      </c>
      <c r="E164" s="5">
        <v>227</v>
      </c>
      <c r="F164" s="5">
        <v>0</v>
      </c>
      <c r="G164" s="5">
        <v>1</v>
      </c>
      <c r="H164" s="5">
        <v>154</v>
      </c>
      <c r="I164" s="5">
        <v>1</v>
      </c>
      <c r="J164" s="5">
        <v>0</v>
      </c>
      <c r="K164" s="5">
        <v>2</v>
      </c>
      <c r="L164" s="5">
        <v>3</v>
      </c>
    </row>
    <row r="165" spans="1:12" x14ac:dyDescent="0.25">
      <c r="A165" s="5">
        <v>39</v>
      </c>
      <c r="B165" s="7">
        <v>0</v>
      </c>
      <c r="C165" s="5">
        <v>2</v>
      </c>
      <c r="D165" s="5">
        <v>94</v>
      </c>
      <c r="E165" s="5">
        <v>199</v>
      </c>
      <c r="F165" s="5">
        <v>0</v>
      </c>
      <c r="G165" s="5">
        <v>1</v>
      </c>
      <c r="H165" s="5">
        <v>179</v>
      </c>
      <c r="I165" s="5">
        <v>0</v>
      </c>
      <c r="J165" s="5">
        <v>0</v>
      </c>
      <c r="K165" s="5">
        <v>2</v>
      </c>
      <c r="L165" s="5">
        <v>2</v>
      </c>
    </row>
    <row r="166" spans="1:12" x14ac:dyDescent="0.25">
      <c r="A166"/>
      <c r="C166"/>
    </row>
    <row r="167" spans="1:12" x14ac:dyDescent="0.25">
      <c r="A167"/>
      <c r="C167"/>
    </row>
    <row r="168" spans="1:12" x14ac:dyDescent="0.25">
      <c r="A168"/>
      <c r="C168"/>
    </row>
    <row r="169" spans="1:12" x14ac:dyDescent="0.25">
      <c r="A169"/>
      <c r="C169"/>
    </row>
    <row r="170" spans="1:12" x14ac:dyDescent="0.25">
      <c r="A170"/>
      <c r="C170"/>
    </row>
    <row r="171" spans="1:12" x14ac:dyDescent="0.25">
      <c r="A171"/>
      <c r="C171"/>
    </row>
    <row r="172" spans="1:12" x14ac:dyDescent="0.25">
      <c r="A172"/>
      <c r="C172"/>
    </row>
    <row r="173" spans="1:12" x14ac:dyDescent="0.25">
      <c r="A173"/>
      <c r="C173"/>
    </row>
    <row r="174" spans="1:12" x14ac:dyDescent="0.25">
      <c r="A174"/>
      <c r="C174"/>
    </row>
    <row r="175" spans="1:12" x14ac:dyDescent="0.25">
      <c r="A175"/>
      <c r="C175"/>
    </row>
    <row r="176" spans="1:12" x14ac:dyDescent="0.25">
      <c r="A176"/>
      <c r="C176"/>
    </row>
    <row r="177" spans="1:3" x14ac:dyDescent="0.25">
      <c r="A177"/>
      <c r="C177"/>
    </row>
    <row r="178" spans="1:3" x14ac:dyDescent="0.25">
      <c r="A178"/>
      <c r="C178"/>
    </row>
    <row r="179" spans="1:3" x14ac:dyDescent="0.25">
      <c r="A179"/>
      <c r="C179"/>
    </row>
    <row r="180" spans="1:3" x14ac:dyDescent="0.25">
      <c r="A180"/>
      <c r="C180"/>
    </row>
    <row r="181" spans="1:3" x14ac:dyDescent="0.25">
      <c r="A181"/>
      <c r="C181"/>
    </row>
    <row r="182" spans="1:3" x14ac:dyDescent="0.25">
      <c r="A182"/>
      <c r="C182"/>
    </row>
    <row r="183" spans="1:3" x14ac:dyDescent="0.25">
      <c r="A183"/>
      <c r="C183"/>
    </row>
    <row r="184" spans="1:3" x14ac:dyDescent="0.25">
      <c r="A184"/>
      <c r="C184"/>
    </row>
    <row r="185" spans="1:3" x14ac:dyDescent="0.25">
      <c r="A185"/>
      <c r="C185"/>
    </row>
    <row r="186" spans="1:3" x14ac:dyDescent="0.25">
      <c r="A186"/>
      <c r="C186"/>
    </row>
    <row r="187" spans="1:3" x14ac:dyDescent="0.25">
      <c r="A187"/>
      <c r="C187"/>
    </row>
    <row r="188" spans="1:3" x14ac:dyDescent="0.25">
      <c r="A188"/>
      <c r="C188"/>
    </row>
    <row r="189" spans="1:3" x14ac:dyDescent="0.25">
      <c r="A189"/>
      <c r="C189"/>
    </row>
    <row r="190" spans="1:3" x14ac:dyDescent="0.25">
      <c r="A190"/>
      <c r="C190"/>
    </row>
    <row r="191" spans="1:3" x14ac:dyDescent="0.25">
      <c r="A191"/>
      <c r="C191"/>
    </row>
    <row r="192" spans="1:3" x14ac:dyDescent="0.25">
      <c r="A192"/>
      <c r="C192"/>
    </row>
    <row r="193" spans="1:3" x14ac:dyDescent="0.25">
      <c r="A193"/>
      <c r="C193"/>
    </row>
    <row r="194" spans="1:3" x14ac:dyDescent="0.25">
      <c r="A194"/>
      <c r="C194"/>
    </row>
    <row r="195" spans="1:3" x14ac:dyDescent="0.25">
      <c r="A195"/>
      <c r="C195"/>
    </row>
    <row r="196" spans="1:3" x14ac:dyDescent="0.25">
      <c r="A196"/>
      <c r="C196"/>
    </row>
    <row r="197" spans="1:3" x14ac:dyDescent="0.25">
      <c r="A197"/>
      <c r="C197"/>
    </row>
    <row r="198" spans="1:3" x14ac:dyDescent="0.25">
      <c r="A198"/>
      <c r="C198"/>
    </row>
    <row r="199" spans="1:3" x14ac:dyDescent="0.25">
      <c r="A199"/>
      <c r="C199"/>
    </row>
    <row r="200" spans="1:3" x14ac:dyDescent="0.25">
      <c r="A200"/>
      <c r="C200"/>
    </row>
    <row r="201" spans="1:3" x14ac:dyDescent="0.25">
      <c r="A201"/>
      <c r="C201"/>
    </row>
    <row r="202" spans="1:3" x14ac:dyDescent="0.25">
      <c r="A202"/>
      <c r="C202"/>
    </row>
    <row r="203" spans="1:3" x14ac:dyDescent="0.25">
      <c r="A203"/>
      <c r="C203"/>
    </row>
    <row r="204" spans="1:3" x14ac:dyDescent="0.25">
      <c r="A204"/>
      <c r="C204"/>
    </row>
    <row r="205" spans="1:3" x14ac:dyDescent="0.25">
      <c r="A205"/>
      <c r="C205"/>
    </row>
    <row r="206" spans="1:3" x14ac:dyDescent="0.25">
      <c r="A206"/>
      <c r="C206"/>
    </row>
    <row r="207" spans="1:3" x14ac:dyDescent="0.25">
      <c r="A207"/>
      <c r="C207"/>
    </row>
    <row r="208" spans="1:3" x14ac:dyDescent="0.25">
      <c r="A208"/>
      <c r="C208"/>
    </row>
    <row r="209" spans="1:3" x14ac:dyDescent="0.25">
      <c r="A209"/>
      <c r="C209"/>
    </row>
    <row r="210" spans="1:3" x14ac:dyDescent="0.25">
      <c r="A210"/>
      <c r="C210"/>
    </row>
    <row r="211" spans="1:3" x14ac:dyDescent="0.25">
      <c r="A211"/>
      <c r="C211"/>
    </row>
    <row r="212" spans="1:3" x14ac:dyDescent="0.25">
      <c r="A212"/>
      <c r="C212"/>
    </row>
    <row r="213" spans="1:3" x14ac:dyDescent="0.25">
      <c r="A213"/>
      <c r="C213"/>
    </row>
    <row r="214" spans="1:3" x14ac:dyDescent="0.25">
      <c r="A214"/>
      <c r="C214"/>
    </row>
    <row r="215" spans="1:3" x14ac:dyDescent="0.25">
      <c r="A215"/>
      <c r="C215"/>
    </row>
    <row r="216" spans="1:3" x14ac:dyDescent="0.25">
      <c r="A216"/>
      <c r="C216"/>
    </row>
    <row r="217" spans="1:3" x14ac:dyDescent="0.25">
      <c r="A217"/>
      <c r="C217"/>
    </row>
    <row r="218" spans="1:3" x14ac:dyDescent="0.25">
      <c r="A218"/>
      <c r="C218"/>
    </row>
    <row r="219" spans="1:3" x14ac:dyDescent="0.25">
      <c r="A219"/>
      <c r="C219"/>
    </row>
    <row r="220" spans="1:3" x14ac:dyDescent="0.25">
      <c r="A220"/>
      <c r="C220"/>
    </row>
    <row r="221" spans="1:3" x14ac:dyDescent="0.25">
      <c r="A221"/>
      <c r="C221"/>
    </row>
    <row r="222" spans="1:3" x14ac:dyDescent="0.25">
      <c r="A222"/>
      <c r="C222"/>
    </row>
    <row r="223" spans="1:3" x14ac:dyDescent="0.25">
      <c r="A223"/>
      <c r="C223"/>
    </row>
    <row r="224" spans="1:3" x14ac:dyDescent="0.25">
      <c r="A224"/>
      <c r="C224"/>
    </row>
    <row r="225" spans="1:3" x14ac:dyDescent="0.25">
      <c r="A225"/>
      <c r="C225"/>
    </row>
    <row r="226" spans="1:3" x14ac:dyDescent="0.25">
      <c r="A226"/>
      <c r="C226"/>
    </row>
    <row r="227" spans="1:3" x14ac:dyDescent="0.25">
      <c r="A227"/>
      <c r="C227"/>
    </row>
    <row r="228" spans="1:3" x14ac:dyDescent="0.25">
      <c r="A228"/>
      <c r="C228"/>
    </row>
    <row r="229" spans="1:3" x14ac:dyDescent="0.25">
      <c r="A229"/>
      <c r="C229"/>
    </row>
    <row r="230" spans="1:3" x14ac:dyDescent="0.25">
      <c r="A230"/>
      <c r="C230"/>
    </row>
    <row r="231" spans="1:3" x14ac:dyDescent="0.25">
      <c r="A231"/>
      <c r="C231"/>
    </row>
    <row r="232" spans="1:3" x14ac:dyDescent="0.25">
      <c r="A232"/>
      <c r="C232"/>
    </row>
    <row r="233" spans="1:3" x14ac:dyDescent="0.25">
      <c r="A233"/>
      <c r="C233"/>
    </row>
    <row r="234" spans="1:3" x14ac:dyDescent="0.25">
      <c r="A234"/>
      <c r="C234"/>
    </row>
    <row r="235" spans="1:3" x14ac:dyDescent="0.25">
      <c r="A235"/>
      <c r="C235"/>
    </row>
    <row r="236" spans="1:3" x14ac:dyDescent="0.25">
      <c r="A236"/>
      <c r="C236"/>
    </row>
    <row r="237" spans="1:3" x14ac:dyDescent="0.25">
      <c r="A237"/>
      <c r="C237"/>
    </row>
    <row r="238" spans="1:3" x14ac:dyDescent="0.25">
      <c r="A238"/>
      <c r="C238"/>
    </row>
    <row r="239" spans="1:3" x14ac:dyDescent="0.25">
      <c r="A239"/>
      <c r="C239"/>
    </row>
    <row r="240" spans="1:3" x14ac:dyDescent="0.25">
      <c r="A240"/>
      <c r="C240"/>
    </row>
    <row r="241" spans="1:3" x14ac:dyDescent="0.25">
      <c r="A241"/>
      <c r="C241"/>
    </row>
    <row r="242" spans="1:3" x14ac:dyDescent="0.25">
      <c r="A242"/>
      <c r="C242"/>
    </row>
    <row r="243" spans="1:3" x14ac:dyDescent="0.25">
      <c r="A243"/>
      <c r="C243"/>
    </row>
    <row r="244" spans="1:3" x14ac:dyDescent="0.25">
      <c r="A244"/>
      <c r="C244"/>
    </row>
    <row r="245" spans="1:3" x14ac:dyDescent="0.25">
      <c r="A245"/>
      <c r="C245"/>
    </row>
    <row r="246" spans="1:3" x14ac:dyDescent="0.25">
      <c r="A246"/>
      <c r="C246"/>
    </row>
    <row r="247" spans="1:3" x14ac:dyDescent="0.25">
      <c r="A247"/>
      <c r="C247"/>
    </row>
    <row r="248" spans="1:3" x14ac:dyDescent="0.25">
      <c r="A248"/>
      <c r="C248"/>
    </row>
    <row r="249" spans="1:3" x14ac:dyDescent="0.25">
      <c r="A249"/>
      <c r="C249"/>
    </row>
    <row r="250" spans="1:3" x14ac:dyDescent="0.25">
      <c r="A250"/>
      <c r="C250"/>
    </row>
    <row r="251" spans="1:3" x14ac:dyDescent="0.25">
      <c r="A251"/>
      <c r="C251"/>
    </row>
    <row r="252" spans="1:3" x14ac:dyDescent="0.25">
      <c r="A252"/>
      <c r="C252"/>
    </row>
    <row r="253" spans="1:3" x14ac:dyDescent="0.25">
      <c r="A253"/>
      <c r="C253"/>
    </row>
    <row r="254" spans="1:3" x14ac:dyDescent="0.25">
      <c r="A254"/>
      <c r="C254"/>
    </row>
    <row r="255" spans="1:3" x14ac:dyDescent="0.25">
      <c r="A255"/>
      <c r="C255"/>
    </row>
    <row r="256" spans="1:3" x14ac:dyDescent="0.25">
      <c r="A256"/>
      <c r="C256"/>
    </row>
    <row r="257" spans="1:3" x14ac:dyDescent="0.25">
      <c r="A257"/>
      <c r="C257"/>
    </row>
    <row r="258" spans="1:3" x14ac:dyDescent="0.25">
      <c r="A258"/>
      <c r="C258"/>
    </row>
    <row r="259" spans="1:3" x14ac:dyDescent="0.25">
      <c r="A259"/>
      <c r="C259"/>
    </row>
    <row r="260" spans="1:3" x14ac:dyDescent="0.25">
      <c r="A260"/>
      <c r="C260"/>
    </row>
    <row r="261" spans="1:3" x14ac:dyDescent="0.25">
      <c r="A261"/>
      <c r="C261"/>
    </row>
    <row r="262" spans="1:3" x14ac:dyDescent="0.25">
      <c r="A262"/>
      <c r="C262"/>
    </row>
    <row r="263" spans="1:3" x14ac:dyDescent="0.25">
      <c r="A263"/>
      <c r="C263"/>
    </row>
    <row r="264" spans="1:3" x14ac:dyDescent="0.25">
      <c r="A264"/>
      <c r="C264"/>
    </row>
    <row r="265" spans="1:3" x14ac:dyDescent="0.25">
      <c r="A265"/>
      <c r="C265"/>
    </row>
    <row r="266" spans="1:3" x14ac:dyDescent="0.25">
      <c r="A266"/>
      <c r="C266"/>
    </row>
    <row r="267" spans="1:3" x14ac:dyDescent="0.25">
      <c r="A267"/>
      <c r="C267"/>
    </row>
    <row r="268" spans="1:3" x14ac:dyDescent="0.25">
      <c r="A268"/>
      <c r="C268"/>
    </row>
    <row r="269" spans="1:3" x14ac:dyDescent="0.25">
      <c r="A269"/>
      <c r="C269"/>
    </row>
    <row r="270" spans="1:3" x14ac:dyDescent="0.25">
      <c r="A270"/>
      <c r="C270"/>
    </row>
    <row r="271" spans="1:3" x14ac:dyDescent="0.25">
      <c r="A271"/>
      <c r="C271"/>
    </row>
    <row r="272" spans="1:3" x14ac:dyDescent="0.25">
      <c r="A272"/>
      <c r="C272"/>
    </row>
    <row r="273" spans="1:3" x14ac:dyDescent="0.25">
      <c r="A273"/>
      <c r="C273"/>
    </row>
    <row r="274" spans="1:3" x14ac:dyDescent="0.25">
      <c r="A274"/>
      <c r="C274"/>
    </row>
    <row r="275" spans="1:3" x14ac:dyDescent="0.25">
      <c r="A275"/>
      <c r="C275"/>
    </row>
    <row r="276" spans="1:3" x14ac:dyDescent="0.25">
      <c r="A276"/>
      <c r="C276"/>
    </row>
    <row r="277" spans="1:3" x14ac:dyDescent="0.25">
      <c r="A277"/>
      <c r="C277"/>
    </row>
    <row r="278" spans="1:3" x14ac:dyDescent="0.25">
      <c r="A278"/>
      <c r="C278"/>
    </row>
    <row r="279" spans="1:3" x14ac:dyDescent="0.25">
      <c r="A279"/>
      <c r="C279"/>
    </row>
    <row r="280" spans="1:3" x14ac:dyDescent="0.25">
      <c r="A280"/>
      <c r="C280"/>
    </row>
    <row r="281" spans="1:3" x14ac:dyDescent="0.25">
      <c r="A281"/>
      <c r="C281"/>
    </row>
    <row r="282" spans="1:3" x14ac:dyDescent="0.25">
      <c r="A282"/>
      <c r="C282"/>
    </row>
    <row r="283" spans="1:3" x14ac:dyDescent="0.25">
      <c r="A283"/>
      <c r="C283"/>
    </row>
    <row r="284" spans="1:3" x14ac:dyDescent="0.25">
      <c r="A284"/>
      <c r="C284"/>
    </row>
    <row r="285" spans="1:3" x14ac:dyDescent="0.25">
      <c r="A285"/>
      <c r="C285"/>
    </row>
    <row r="286" spans="1:3" x14ac:dyDescent="0.25">
      <c r="A286"/>
      <c r="C286"/>
    </row>
    <row r="287" spans="1:3" x14ac:dyDescent="0.25">
      <c r="A287"/>
      <c r="C287"/>
    </row>
    <row r="288" spans="1:3" x14ac:dyDescent="0.25">
      <c r="A288"/>
      <c r="C288"/>
    </row>
    <row r="289" spans="1:3" x14ac:dyDescent="0.25">
      <c r="A289"/>
      <c r="C289"/>
    </row>
    <row r="290" spans="1:3" x14ac:dyDescent="0.25">
      <c r="A290"/>
      <c r="C290"/>
    </row>
    <row r="291" spans="1:3" x14ac:dyDescent="0.25">
      <c r="A291"/>
      <c r="C291"/>
    </row>
    <row r="292" spans="1:3" x14ac:dyDescent="0.25">
      <c r="A292"/>
      <c r="C292"/>
    </row>
    <row r="293" spans="1:3" x14ac:dyDescent="0.25">
      <c r="A293"/>
      <c r="C293"/>
    </row>
    <row r="294" spans="1:3" x14ac:dyDescent="0.25">
      <c r="A294"/>
      <c r="C294"/>
    </row>
    <row r="295" spans="1:3" x14ac:dyDescent="0.25">
      <c r="A295"/>
      <c r="C295"/>
    </row>
    <row r="296" spans="1:3" x14ac:dyDescent="0.25">
      <c r="A296"/>
      <c r="C296"/>
    </row>
    <row r="297" spans="1:3" x14ac:dyDescent="0.25">
      <c r="A297"/>
      <c r="C297"/>
    </row>
    <row r="298" spans="1:3" x14ac:dyDescent="0.25">
      <c r="A298"/>
      <c r="C298"/>
    </row>
    <row r="299" spans="1:3" x14ac:dyDescent="0.25">
      <c r="A299"/>
      <c r="C299"/>
    </row>
    <row r="300" spans="1:3" x14ac:dyDescent="0.25">
      <c r="A300"/>
      <c r="C300"/>
    </row>
    <row r="301" spans="1:3" x14ac:dyDescent="0.25">
      <c r="A301"/>
      <c r="C301"/>
    </row>
    <row r="302" spans="1:3" x14ac:dyDescent="0.25">
      <c r="A302"/>
      <c r="C302"/>
    </row>
    <row r="303" spans="1:3" x14ac:dyDescent="0.25">
      <c r="A303"/>
      <c r="C303"/>
    </row>
    <row r="304" spans="1:3" x14ac:dyDescent="0.25">
      <c r="A304"/>
      <c r="C304"/>
    </row>
    <row r="305" spans="1:3" x14ac:dyDescent="0.25">
      <c r="A305"/>
      <c r="C305"/>
    </row>
    <row r="306" spans="1:3" x14ac:dyDescent="0.25">
      <c r="A306"/>
      <c r="C306"/>
    </row>
    <row r="307" spans="1:3" x14ac:dyDescent="0.25">
      <c r="A307"/>
      <c r="C307"/>
    </row>
    <row r="308" spans="1:3" x14ac:dyDescent="0.25">
      <c r="A308"/>
      <c r="C308"/>
    </row>
    <row r="309" spans="1:3" x14ac:dyDescent="0.25">
      <c r="A309"/>
      <c r="C309"/>
    </row>
    <row r="310" spans="1:3" x14ac:dyDescent="0.25">
      <c r="A310"/>
      <c r="C310"/>
    </row>
    <row r="311" spans="1:3" x14ac:dyDescent="0.25">
      <c r="A311"/>
      <c r="C311"/>
    </row>
    <row r="312" spans="1:3" x14ac:dyDescent="0.25">
      <c r="A312"/>
      <c r="C312"/>
    </row>
    <row r="313" spans="1:3" x14ac:dyDescent="0.25">
      <c r="A313"/>
      <c r="C313"/>
    </row>
    <row r="314" spans="1:3" x14ac:dyDescent="0.25">
      <c r="A314"/>
      <c r="C314"/>
    </row>
    <row r="315" spans="1:3" x14ac:dyDescent="0.25">
      <c r="A315"/>
      <c r="C315"/>
    </row>
    <row r="316" spans="1:3" x14ac:dyDescent="0.25">
      <c r="A316"/>
      <c r="C316"/>
    </row>
    <row r="317" spans="1:3" x14ac:dyDescent="0.25">
      <c r="A317"/>
      <c r="C317"/>
    </row>
    <row r="318" spans="1:3" x14ac:dyDescent="0.25">
      <c r="A318"/>
      <c r="C318"/>
    </row>
    <row r="319" spans="1:3" x14ac:dyDescent="0.25">
      <c r="A319"/>
      <c r="C319"/>
    </row>
    <row r="320" spans="1:3" x14ac:dyDescent="0.25">
      <c r="A320"/>
      <c r="C320"/>
    </row>
    <row r="321" spans="1:3" x14ac:dyDescent="0.25">
      <c r="A321"/>
      <c r="C321"/>
    </row>
    <row r="322" spans="1:3" x14ac:dyDescent="0.25">
      <c r="A322"/>
      <c r="C322"/>
    </row>
    <row r="323" spans="1:3" x14ac:dyDescent="0.25">
      <c r="A323"/>
      <c r="C323"/>
    </row>
    <row r="324" spans="1:3" x14ac:dyDescent="0.25">
      <c r="A324"/>
      <c r="C324"/>
    </row>
    <row r="325" spans="1:3" x14ac:dyDescent="0.25">
      <c r="A325"/>
      <c r="C325"/>
    </row>
    <row r="326" spans="1:3" x14ac:dyDescent="0.25">
      <c r="A326"/>
      <c r="C326"/>
    </row>
    <row r="327" spans="1:3" x14ac:dyDescent="0.25">
      <c r="A327"/>
      <c r="C327"/>
    </row>
    <row r="328" spans="1:3" x14ac:dyDescent="0.25">
      <c r="A328"/>
      <c r="C328"/>
    </row>
    <row r="329" spans="1:3" x14ac:dyDescent="0.25">
      <c r="A329"/>
      <c r="C329"/>
    </row>
    <row r="330" spans="1:3" x14ac:dyDescent="0.25">
      <c r="A330"/>
      <c r="C330"/>
    </row>
    <row r="331" spans="1:3" x14ac:dyDescent="0.25">
      <c r="A331"/>
      <c r="C331"/>
    </row>
    <row r="332" spans="1:3" x14ac:dyDescent="0.25">
      <c r="A332"/>
      <c r="C332"/>
    </row>
    <row r="333" spans="1:3" x14ac:dyDescent="0.25">
      <c r="A333"/>
      <c r="C333"/>
    </row>
    <row r="334" spans="1:3" x14ac:dyDescent="0.25">
      <c r="A334"/>
      <c r="C334"/>
    </row>
    <row r="335" spans="1:3" x14ac:dyDescent="0.25">
      <c r="A335"/>
      <c r="C335"/>
    </row>
    <row r="336" spans="1:3" x14ac:dyDescent="0.25">
      <c r="A336"/>
      <c r="C336"/>
    </row>
    <row r="337" spans="1:3" x14ac:dyDescent="0.25">
      <c r="A337"/>
      <c r="C337"/>
    </row>
    <row r="338" spans="1:3" x14ac:dyDescent="0.25">
      <c r="A338"/>
      <c r="C338"/>
    </row>
    <row r="339" spans="1:3" x14ac:dyDescent="0.25">
      <c r="A339"/>
      <c r="C339"/>
    </row>
    <row r="340" spans="1:3" x14ac:dyDescent="0.25">
      <c r="A340"/>
      <c r="C340"/>
    </row>
    <row r="341" spans="1:3" x14ac:dyDescent="0.25">
      <c r="A341"/>
      <c r="C341"/>
    </row>
    <row r="342" spans="1:3" x14ac:dyDescent="0.25">
      <c r="A342"/>
      <c r="C342"/>
    </row>
    <row r="343" spans="1:3" x14ac:dyDescent="0.25">
      <c r="A343"/>
      <c r="C343"/>
    </row>
    <row r="344" spans="1:3" x14ac:dyDescent="0.25">
      <c r="A344"/>
      <c r="C344"/>
    </row>
    <row r="345" spans="1:3" x14ac:dyDescent="0.25">
      <c r="A345"/>
      <c r="C345"/>
    </row>
    <row r="346" spans="1:3" x14ac:dyDescent="0.25">
      <c r="A346"/>
      <c r="C346"/>
    </row>
    <row r="347" spans="1:3" x14ac:dyDescent="0.25">
      <c r="A347"/>
      <c r="C347"/>
    </row>
    <row r="348" spans="1:3" x14ac:dyDescent="0.25">
      <c r="A348"/>
      <c r="C348"/>
    </row>
    <row r="349" spans="1:3" x14ac:dyDescent="0.25">
      <c r="A349"/>
      <c r="C349"/>
    </row>
    <row r="350" spans="1:3" x14ac:dyDescent="0.25">
      <c r="A350"/>
      <c r="C350"/>
    </row>
    <row r="351" spans="1:3" x14ac:dyDescent="0.25">
      <c r="A351"/>
      <c r="C351"/>
    </row>
    <row r="352" spans="1:3" x14ac:dyDescent="0.25">
      <c r="A352"/>
      <c r="C352"/>
    </row>
    <row r="353" spans="1:3" x14ac:dyDescent="0.25">
      <c r="A353"/>
      <c r="C353"/>
    </row>
    <row r="354" spans="1:3" x14ac:dyDescent="0.25">
      <c r="A354"/>
      <c r="C354"/>
    </row>
    <row r="355" spans="1:3" x14ac:dyDescent="0.25">
      <c r="A355"/>
      <c r="C355"/>
    </row>
    <row r="356" spans="1:3" x14ac:dyDescent="0.25">
      <c r="A356"/>
      <c r="C356"/>
    </row>
    <row r="357" spans="1:3" x14ac:dyDescent="0.25">
      <c r="A357"/>
      <c r="C357"/>
    </row>
    <row r="358" spans="1:3" x14ac:dyDescent="0.25">
      <c r="A358"/>
      <c r="C358"/>
    </row>
    <row r="359" spans="1:3" x14ac:dyDescent="0.25">
      <c r="A359"/>
      <c r="C359"/>
    </row>
    <row r="360" spans="1:3" x14ac:dyDescent="0.25">
      <c r="A360"/>
      <c r="C360"/>
    </row>
    <row r="361" spans="1:3" x14ac:dyDescent="0.25">
      <c r="A361"/>
      <c r="C361"/>
    </row>
    <row r="362" spans="1:3" x14ac:dyDescent="0.25">
      <c r="A362"/>
      <c r="C362"/>
    </row>
    <row r="363" spans="1:3" x14ac:dyDescent="0.25">
      <c r="A363"/>
      <c r="C363"/>
    </row>
    <row r="364" spans="1:3" x14ac:dyDescent="0.25">
      <c r="A364"/>
      <c r="C364"/>
    </row>
    <row r="365" spans="1:3" x14ac:dyDescent="0.25">
      <c r="A365"/>
      <c r="C365"/>
    </row>
    <row r="366" spans="1:3" x14ac:dyDescent="0.25">
      <c r="A366"/>
      <c r="C366"/>
    </row>
    <row r="367" spans="1:3" x14ac:dyDescent="0.25">
      <c r="A367"/>
      <c r="C367"/>
    </row>
    <row r="368" spans="1:3" x14ac:dyDescent="0.25">
      <c r="A368"/>
      <c r="C368"/>
    </row>
    <row r="369" spans="1:3" x14ac:dyDescent="0.25">
      <c r="A369"/>
      <c r="C369"/>
    </row>
    <row r="370" spans="1:3" x14ac:dyDescent="0.25">
      <c r="A370"/>
      <c r="C370"/>
    </row>
    <row r="371" spans="1:3" x14ac:dyDescent="0.25">
      <c r="A371"/>
      <c r="C371"/>
    </row>
    <row r="372" spans="1:3" x14ac:dyDescent="0.25">
      <c r="A372"/>
      <c r="C372"/>
    </row>
    <row r="373" spans="1:3" x14ac:dyDescent="0.25">
      <c r="A373"/>
      <c r="C373"/>
    </row>
    <row r="374" spans="1:3" x14ac:dyDescent="0.25">
      <c r="A374"/>
      <c r="C374"/>
    </row>
    <row r="375" spans="1:3" x14ac:dyDescent="0.25">
      <c r="A375"/>
      <c r="C375"/>
    </row>
    <row r="376" spans="1:3" x14ac:dyDescent="0.25">
      <c r="A376"/>
      <c r="C376"/>
    </row>
    <row r="377" spans="1:3" x14ac:dyDescent="0.25">
      <c r="A377"/>
      <c r="C377"/>
    </row>
    <row r="378" spans="1:3" x14ac:dyDescent="0.25">
      <c r="A378"/>
      <c r="C378"/>
    </row>
    <row r="379" spans="1:3" x14ac:dyDescent="0.25">
      <c r="A379"/>
      <c r="C379"/>
    </row>
    <row r="380" spans="1:3" x14ac:dyDescent="0.25">
      <c r="A380"/>
      <c r="C380"/>
    </row>
    <row r="381" spans="1:3" x14ac:dyDescent="0.25">
      <c r="A381"/>
      <c r="C381"/>
    </row>
    <row r="382" spans="1:3" x14ac:dyDescent="0.25">
      <c r="A382"/>
      <c r="C382"/>
    </row>
    <row r="383" spans="1:3" x14ac:dyDescent="0.25">
      <c r="A383"/>
      <c r="C383"/>
    </row>
    <row r="384" spans="1:3" x14ac:dyDescent="0.25">
      <c r="A384"/>
      <c r="C384"/>
    </row>
    <row r="385" spans="1:3" x14ac:dyDescent="0.25">
      <c r="A385"/>
      <c r="C385"/>
    </row>
    <row r="386" spans="1:3" x14ac:dyDescent="0.25">
      <c r="A386"/>
      <c r="C386"/>
    </row>
    <row r="387" spans="1:3" x14ac:dyDescent="0.25">
      <c r="A387"/>
      <c r="C387"/>
    </row>
    <row r="388" spans="1:3" x14ac:dyDescent="0.25">
      <c r="A388"/>
      <c r="C388"/>
    </row>
    <row r="389" spans="1:3" x14ac:dyDescent="0.25">
      <c r="A389"/>
      <c r="C389"/>
    </row>
    <row r="390" spans="1:3" x14ac:dyDescent="0.25">
      <c r="A390"/>
      <c r="C390"/>
    </row>
    <row r="391" spans="1:3" x14ac:dyDescent="0.25">
      <c r="A391"/>
      <c r="C391"/>
    </row>
    <row r="392" spans="1:3" x14ac:dyDescent="0.25">
      <c r="A392"/>
      <c r="C392"/>
    </row>
    <row r="393" spans="1:3" x14ac:dyDescent="0.25">
      <c r="A393"/>
      <c r="C393"/>
    </row>
    <row r="394" spans="1:3" x14ac:dyDescent="0.25">
      <c r="A394"/>
      <c r="C394"/>
    </row>
    <row r="395" spans="1:3" x14ac:dyDescent="0.25">
      <c r="A395"/>
      <c r="C395"/>
    </row>
    <row r="396" spans="1:3" x14ac:dyDescent="0.25">
      <c r="A396"/>
      <c r="C396"/>
    </row>
    <row r="397" spans="1:3" x14ac:dyDescent="0.25">
      <c r="A397"/>
      <c r="C397"/>
    </row>
    <row r="398" spans="1:3" x14ac:dyDescent="0.25">
      <c r="A398"/>
      <c r="C398"/>
    </row>
    <row r="399" spans="1:3" x14ac:dyDescent="0.25">
      <c r="A399"/>
      <c r="C399"/>
    </row>
    <row r="400" spans="1:3" x14ac:dyDescent="0.25">
      <c r="A400"/>
      <c r="C400"/>
    </row>
    <row r="401" spans="1:3" x14ac:dyDescent="0.25">
      <c r="A401"/>
      <c r="C401"/>
    </row>
    <row r="402" spans="1:3" x14ac:dyDescent="0.25">
      <c r="A402"/>
      <c r="C402"/>
    </row>
    <row r="403" spans="1:3" x14ac:dyDescent="0.25">
      <c r="A403"/>
      <c r="C403"/>
    </row>
    <row r="404" spans="1:3" x14ac:dyDescent="0.25">
      <c r="A404"/>
      <c r="C404"/>
    </row>
    <row r="405" spans="1:3" x14ac:dyDescent="0.25">
      <c r="A405"/>
      <c r="C405"/>
    </row>
    <row r="406" spans="1:3" x14ac:dyDescent="0.25">
      <c r="A406"/>
      <c r="C406"/>
    </row>
    <row r="407" spans="1:3" x14ac:dyDescent="0.25">
      <c r="A407"/>
      <c r="C407"/>
    </row>
    <row r="408" spans="1:3" x14ac:dyDescent="0.25">
      <c r="A408"/>
      <c r="C408"/>
    </row>
    <row r="409" spans="1:3" x14ac:dyDescent="0.25">
      <c r="A409"/>
      <c r="C409"/>
    </row>
    <row r="410" spans="1:3" x14ac:dyDescent="0.25">
      <c r="A410"/>
      <c r="C410"/>
    </row>
    <row r="411" spans="1:3" x14ac:dyDescent="0.25">
      <c r="A411"/>
      <c r="C411"/>
    </row>
    <row r="412" spans="1:3" x14ac:dyDescent="0.25">
      <c r="A412"/>
      <c r="C412"/>
    </row>
    <row r="413" spans="1:3" x14ac:dyDescent="0.25">
      <c r="A413"/>
      <c r="C413"/>
    </row>
    <row r="414" spans="1:3" x14ac:dyDescent="0.25">
      <c r="A414"/>
      <c r="C414"/>
    </row>
    <row r="415" spans="1:3" x14ac:dyDescent="0.25">
      <c r="A415"/>
      <c r="C415"/>
    </row>
    <row r="416" spans="1:3" x14ac:dyDescent="0.25">
      <c r="A416"/>
      <c r="C416"/>
    </row>
    <row r="417" spans="1:3" x14ac:dyDescent="0.25">
      <c r="A417"/>
      <c r="C417"/>
    </row>
    <row r="418" spans="1:3" x14ac:dyDescent="0.25">
      <c r="A418"/>
      <c r="C418"/>
    </row>
    <row r="419" spans="1:3" x14ac:dyDescent="0.25">
      <c r="A419"/>
      <c r="C419"/>
    </row>
    <row r="420" spans="1:3" x14ac:dyDescent="0.25">
      <c r="A420"/>
      <c r="C420"/>
    </row>
    <row r="421" spans="1:3" x14ac:dyDescent="0.25">
      <c r="A421"/>
      <c r="C421"/>
    </row>
    <row r="422" spans="1:3" x14ac:dyDescent="0.25">
      <c r="A422"/>
      <c r="C422"/>
    </row>
    <row r="423" spans="1:3" x14ac:dyDescent="0.25">
      <c r="A423"/>
      <c r="C423"/>
    </row>
    <row r="424" spans="1:3" x14ac:dyDescent="0.25">
      <c r="A424"/>
      <c r="C424"/>
    </row>
    <row r="425" spans="1:3" x14ac:dyDescent="0.25">
      <c r="A425"/>
      <c r="C425"/>
    </row>
    <row r="426" spans="1:3" x14ac:dyDescent="0.25">
      <c r="A426"/>
      <c r="C426"/>
    </row>
    <row r="427" spans="1:3" x14ac:dyDescent="0.25">
      <c r="A427"/>
      <c r="C427"/>
    </row>
    <row r="428" spans="1:3" x14ac:dyDescent="0.25">
      <c r="A428"/>
      <c r="C428"/>
    </row>
    <row r="429" spans="1:3" x14ac:dyDescent="0.25">
      <c r="A429"/>
      <c r="C429"/>
    </row>
    <row r="430" spans="1:3" x14ac:dyDescent="0.25">
      <c r="A430"/>
      <c r="C430"/>
    </row>
    <row r="431" spans="1:3" x14ac:dyDescent="0.25">
      <c r="A431"/>
      <c r="C431"/>
    </row>
    <row r="432" spans="1:3" x14ac:dyDescent="0.25">
      <c r="A432"/>
      <c r="C432"/>
    </row>
    <row r="433" spans="1:3" x14ac:dyDescent="0.25">
      <c r="A433"/>
      <c r="C433"/>
    </row>
    <row r="434" spans="1:3" x14ac:dyDescent="0.25">
      <c r="A434"/>
      <c r="C434"/>
    </row>
    <row r="435" spans="1:3" x14ac:dyDescent="0.25">
      <c r="A435"/>
      <c r="C435"/>
    </row>
    <row r="436" spans="1:3" x14ac:dyDescent="0.25">
      <c r="A436"/>
      <c r="C436"/>
    </row>
    <row r="437" spans="1:3" x14ac:dyDescent="0.25">
      <c r="A437"/>
      <c r="C437"/>
    </row>
    <row r="438" spans="1:3" x14ac:dyDescent="0.25">
      <c r="A438"/>
      <c r="C438"/>
    </row>
    <row r="439" spans="1:3" x14ac:dyDescent="0.25">
      <c r="A439"/>
      <c r="C439"/>
    </row>
    <row r="440" spans="1:3" x14ac:dyDescent="0.25">
      <c r="A440"/>
      <c r="C440"/>
    </row>
    <row r="441" spans="1:3" x14ac:dyDescent="0.25">
      <c r="A441"/>
      <c r="C441"/>
    </row>
    <row r="442" spans="1:3" x14ac:dyDescent="0.25">
      <c r="A442"/>
      <c r="C442"/>
    </row>
    <row r="443" spans="1:3" x14ac:dyDescent="0.25">
      <c r="A443"/>
      <c r="C443"/>
    </row>
    <row r="444" spans="1:3" x14ac:dyDescent="0.25">
      <c r="A444"/>
      <c r="C444"/>
    </row>
    <row r="445" spans="1:3" x14ac:dyDescent="0.25">
      <c r="A445"/>
      <c r="C445"/>
    </row>
    <row r="446" spans="1:3" x14ac:dyDescent="0.25">
      <c r="A446"/>
      <c r="C446"/>
    </row>
    <row r="447" spans="1:3" x14ac:dyDescent="0.25">
      <c r="A447"/>
      <c r="C447"/>
    </row>
    <row r="448" spans="1:3" x14ac:dyDescent="0.25">
      <c r="A448"/>
      <c r="C448"/>
    </row>
    <row r="449" spans="1:3" x14ac:dyDescent="0.25">
      <c r="A449"/>
      <c r="C449"/>
    </row>
    <row r="450" spans="1:3" x14ac:dyDescent="0.25">
      <c r="A450"/>
      <c r="C450"/>
    </row>
    <row r="451" spans="1:3" x14ac:dyDescent="0.25">
      <c r="A451"/>
      <c r="C451"/>
    </row>
    <row r="452" spans="1:3" x14ac:dyDescent="0.25">
      <c r="A452"/>
      <c r="C452"/>
    </row>
    <row r="453" spans="1:3" x14ac:dyDescent="0.25">
      <c r="A453"/>
      <c r="C453"/>
    </row>
    <row r="454" spans="1:3" x14ac:dyDescent="0.25">
      <c r="A454"/>
      <c r="C454"/>
    </row>
    <row r="455" spans="1:3" x14ac:dyDescent="0.25">
      <c r="A455"/>
      <c r="C455"/>
    </row>
    <row r="456" spans="1:3" x14ac:dyDescent="0.25">
      <c r="A456"/>
      <c r="C456"/>
    </row>
    <row r="457" spans="1:3" x14ac:dyDescent="0.25">
      <c r="A457"/>
      <c r="C457"/>
    </row>
    <row r="458" spans="1:3" x14ac:dyDescent="0.25">
      <c r="A458"/>
      <c r="C458"/>
    </row>
    <row r="459" spans="1:3" x14ac:dyDescent="0.25">
      <c r="A459"/>
      <c r="C459"/>
    </row>
    <row r="460" spans="1:3" x14ac:dyDescent="0.25">
      <c r="A460"/>
      <c r="C460"/>
    </row>
    <row r="461" spans="1:3" x14ac:dyDescent="0.25">
      <c r="A461"/>
      <c r="C461"/>
    </row>
    <row r="462" spans="1:3" x14ac:dyDescent="0.25">
      <c r="A462"/>
      <c r="C462"/>
    </row>
    <row r="463" spans="1:3" x14ac:dyDescent="0.25">
      <c r="A463"/>
      <c r="C463"/>
    </row>
    <row r="464" spans="1:3" x14ac:dyDescent="0.25">
      <c r="A464"/>
      <c r="C464"/>
    </row>
    <row r="465" spans="1:3" x14ac:dyDescent="0.25">
      <c r="A465"/>
      <c r="C465"/>
    </row>
    <row r="466" spans="1:3" x14ac:dyDescent="0.25">
      <c r="A466"/>
      <c r="C466"/>
    </row>
    <row r="467" spans="1:3" x14ac:dyDescent="0.25">
      <c r="A467"/>
      <c r="C467"/>
    </row>
    <row r="468" spans="1:3" x14ac:dyDescent="0.25">
      <c r="A468"/>
      <c r="C468"/>
    </row>
    <row r="469" spans="1:3" x14ac:dyDescent="0.25">
      <c r="A469"/>
      <c r="C469"/>
    </row>
    <row r="470" spans="1:3" x14ac:dyDescent="0.25">
      <c r="A470"/>
      <c r="C470"/>
    </row>
    <row r="471" spans="1:3" x14ac:dyDescent="0.25">
      <c r="A471"/>
      <c r="C471"/>
    </row>
    <row r="472" spans="1:3" x14ac:dyDescent="0.25">
      <c r="A472"/>
      <c r="C472"/>
    </row>
    <row r="473" spans="1:3" x14ac:dyDescent="0.25">
      <c r="A473"/>
      <c r="C473"/>
    </row>
    <row r="474" spans="1:3" x14ac:dyDescent="0.25">
      <c r="A474"/>
      <c r="C474"/>
    </row>
    <row r="475" spans="1:3" x14ac:dyDescent="0.25">
      <c r="A475"/>
      <c r="C475"/>
    </row>
    <row r="476" spans="1:3" x14ac:dyDescent="0.25">
      <c r="A476"/>
      <c r="C476"/>
    </row>
    <row r="477" spans="1:3" x14ac:dyDescent="0.25">
      <c r="A477"/>
      <c r="C477"/>
    </row>
    <row r="478" spans="1:3" x14ac:dyDescent="0.25">
      <c r="A478"/>
      <c r="C478"/>
    </row>
    <row r="479" spans="1:3" x14ac:dyDescent="0.25">
      <c r="A479"/>
      <c r="C479"/>
    </row>
    <row r="480" spans="1:3" x14ac:dyDescent="0.25">
      <c r="A480"/>
      <c r="C480"/>
    </row>
    <row r="481" spans="1:3" x14ac:dyDescent="0.25">
      <c r="A481"/>
      <c r="C481"/>
    </row>
    <row r="482" spans="1:3" x14ac:dyDescent="0.25">
      <c r="A482"/>
      <c r="C482"/>
    </row>
    <row r="483" spans="1:3" x14ac:dyDescent="0.25">
      <c r="A483"/>
      <c r="C483"/>
    </row>
    <row r="484" spans="1:3" x14ac:dyDescent="0.25">
      <c r="A484"/>
      <c r="C484"/>
    </row>
    <row r="485" spans="1:3" x14ac:dyDescent="0.25">
      <c r="A485"/>
      <c r="C485"/>
    </row>
    <row r="486" spans="1:3" x14ac:dyDescent="0.25">
      <c r="A486"/>
      <c r="C486"/>
    </row>
    <row r="487" spans="1:3" x14ac:dyDescent="0.25">
      <c r="A487"/>
      <c r="C487"/>
    </row>
    <row r="488" spans="1:3" x14ac:dyDescent="0.25">
      <c r="A488"/>
      <c r="C488"/>
    </row>
    <row r="489" spans="1:3" x14ac:dyDescent="0.25">
      <c r="A489"/>
      <c r="C489"/>
    </row>
    <row r="490" spans="1:3" x14ac:dyDescent="0.25">
      <c r="A490"/>
      <c r="C490"/>
    </row>
    <row r="491" spans="1:3" x14ac:dyDescent="0.25">
      <c r="A491"/>
      <c r="C491"/>
    </row>
    <row r="492" spans="1:3" x14ac:dyDescent="0.25">
      <c r="A492"/>
      <c r="C492"/>
    </row>
    <row r="493" spans="1:3" x14ac:dyDescent="0.25">
      <c r="A493"/>
      <c r="C493"/>
    </row>
    <row r="494" spans="1:3" x14ac:dyDescent="0.25">
      <c r="A494"/>
      <c r="C494"/>
    </row>
    <row r="495" spans="1:3" x14ac:dyDescent="0.25">
      <c r="A495"/>
      <c r="C495"/>
    </row>
    <row r="496" spans="1:3" x14ac:dyDescent="0.25">
      <c r="A496"/>
      <c r="C496"/>
    </row>
    <row r="497" spans="1:3" x14ac:dyDescent="0.25">
      <c r="A497"/>
      <c r="C497"/>
    </row>
    <row r="498" spans="1:3" x14ac:dyDescent="0.25">
      <c r="A498"/>
      <c r="C498"/>
    </row>
    <row r="499" spans="1:3" x14ac:dyDescent="0.25">
      <c r="A499"/>
      <c r="C499"/>
    </row>
    <row r="500" spans="1:3" x14ac:dyDescent="0.25">
      <c r="A500"/>
      <c r="C500"/>
    </row>
    <row r="501" spans="1:3" x14ac:dyDescent="0.25">
      <c r="A501"/>
      <c r="C501"/>
    </row>
    <row r="502" spans="1:3" x14ac:dyDescent="0.25">
      <c r="A502"/>
      <c r="C502"/>
    </row>
    <row r="503" spans="1:3" x14ac:dyDescent="0.25">
      <c r="A503"/>
      <c r="C503"/>
    </row>
    <row r="504" spans="1:3" x14ac:dyDescent="0.25">
      <c r="A504"/>
      <c r="C504"/>
    </row>
    <row r="505" spans="1:3" x14ac:dyDescent="0.25">
      <c r="A505"/>
      <c r="C505"/>
    </row>
    <row r="506" spans="1:3" x14ac:dyDescent="0.25">
      <c r="A506"/>
      <c r="C506"/>
    </row>
    <row r="507" spans="1:3" x14ac:dyDescent="0.25">
      <c r="A507"/>
      <c r="C507"/>
    </row>
    <row r="508" spans="1:3" x14ac:dyDescent="0.25">
      <c r="A508"/>
      <c r="C508"/>
    </row>
    <row r="509" spans="1:3" x14ac:dyDescent="0.25">
      <c r="A509"/>
      <c r="C509"/>
    </row>
    <row r="510" spans="1:3" x14ac:dyDescent="0.25">
      <c r="A510"/>
      <c r="C510"/>
    </row>
    <row r="511" spans="1:3" x14ac:dyDescent="0.25">
      <c r="A511"/>
      <c r="C511"/>
    </row>
    <row r="512" spans="1:3" x14ac:dyDescent="0.25">
      <c r="A512"/>
      <c r="C512"/>
    </row>
    <row r="513" spans="1:3" x14ac:dyDescent="0.25">
      <c r="A513"/>
      <c r="C513"/>
    </row>
    <row r="514" spans="1:3" x14ac:dyDescent="0.25">
      <c r="A514"/>
      <c r="C514"/>
    </row>
    <row r="515" spans="1:3" x14ac:dyDescent="0.25">
      <c r="A515"/>
      <c r="C515"/>
    </row>
    <row r="516" spans="1:3" x14ac:dyDescent="0.25">
      <c r="A516"/>
      <c r="C516"/>
    </row>
    <row r="517" spans="1:3" x14ac:dyDescent="0.25">
      <c r="A517"/>
      <c r="C517"/>
    </row>
    <row r="518" spans="1:3" x14ac:dyDescent="0.25">
      <c r="A518"/>
      <c r="C518"/>
    </row>
    <row r="519" spans="1:3" x14ac:dyDescent="0.25">
      <c r="A519"/>
      <c r="C519"/>
    </row>
    <row r="520" spans="1:3" x14ac:dyDescent="0.25">
      <c r="A520"/>
      <c r="C520"/>
    </row>
    <row r="521" spans="1:3" x14ac:dyDescent="0.25">
      <c r="A521"/>
      <c r="C521"/>
    </row>
    <row r="522" spans="1:3" x14ac:dyDescent="0.25">
      <c r="A522"/>
      <c r="C522"/>
    </row>
    <row r="523" spans="1:3" x14ac:dyDescent="0.25">
      <c r="A523"/>
      <c r="C523"/>
    </row>
    <row r="524" spans="1:3" x14ac:dyDescent="0.25">
      <c r="A524"/>
      <c r="C524"/>
    </row>
    <row r="525" spans="1:3" x14ac:dyDescent="0.25">
      <c r="A525"/>
      <c r="C525"/>
    </row>
    <row r="526" spans="1:3" x14ac:dyDescent="0.25">
      <c r="A526"/>
      <c r="C526"/>
    </row>
    <row r="527" spans="1:3" x14ac:dyDescent="0.25">
      <c r="A527"/>
      <c r="C527"/>
    </row>
  </sheetData>
  <conditionalFormatting sqref="E528:E1048576 D1:D16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28:F1048576 E1:E16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39"/>
  <sheetViews>
    <sheetView topLeftCell="A10" zoomScale="150" zoomScaleNormal="150" workbookViewId="0">
      <selection activeCell="M18" sqref="M18"/>
    </sheetView>
  </sheetViews>
  <sheetFormatPr defaultRowHeight="15" x14ac:dyDescent="0.25"/>
  <cols>
    <col min="14" max="14" width="8.140625" bestFit="1" customWidth="1"/>
    <col min="15" max="15" width="6.28515625" bestFit="1" customWidth="1"/>
  </cols>
  <sheetData>
    <row r="1" spans="1:15" x14ac:dyDescent="0.25">
      <c r="A1" s="15" t="s">
        <v>0</v>
      </c>
      <c r="B1" s="15" t="s">
        <v>1</v>
      </c>
      <c r="C1" s="15" t="s">
        <v>11</v>
      </c>
      <c r="D1" s="15" t="s">
        <v>10</v>
      </c>
      <c r="E1" s="15" t="s">
        <v>2</v>
      </c>
      <c r="F1" s="15" t="s">
        <v>3</v>
      </c>
      <c r="G1" s="15" t="s">
        <v>4</v>
      </c>
      <c r="H1" s="15" t="s">
        <v>12</v>
      </c>
      <c r="I1" s="15" t="s">
        <v>5</v>
      </c>
      <c r="J1" s="15" t="s">
        <v>6</v>
      </c>
      <c r="K1" s="15" t="s">
        <v>7</v>
      </c>
      <c r="L1" s="15" t="s">
        <v>8</v>
      </c>
      <c r="M1" s="16"/>
      <c r="N1" s="15" t="s">
        <v>37</v>
      </c>
      <c r="O1" s="15" t="s">
        <v>38</v>
      </c>
    </row>
    <row r="2" spans="1:15" x14ac:dyDescent="0.25">
      <c r="A2" s="11">
        <v>56</v>
      </c>
      <c r="B2" s="5">
        <v>0</v>
      </c>
      <c r="C2" s="5">
        <v>0</v>
      </c>
      <c r="D2" s="5">
        <v>134</v>
      </c>
      <c r="E2" s="5">
        <v>409</v>
      </c>
      <c r="F2" s="5">
        <v>0</v>
      </c>
      <c r="G2" s="5">
        <v>0</v>
      </c>
      <c r="H2" s="5">
        <v>150</v>
      </c>
      <c r="I2" s="5">
        <v>1</v>
      </c>
      <c r="J2" s="5">
        <v>1.9</v>
      </c>
      <c r="K2" s="5">
        <v>1</v>
      </c>
      <c r="L2" s="5">
        <v>3</v>
      </c>
      <c r="N2">
        <f>COUNTIF(B2:B527, "0")</f>
        <v>24</v>
      </c>
      <c r="O2">
        <f>COUNTIF(B2:B527, "1")</f>
        <v>114</v>
      </c>
    </row>
    <row r="3" spans="1:15" x14ac:dyDescent="0.25">
      <c r="A3" s="10">
        <v>63</v>
      </c>
      <c r="B3" s="6">
        <v>0</v>
      </c>
      <c r="C3" s="6">
        <v>0</v>
      </c>
      <c r="D3" s="6">
        <v>150</v>
      </c>
      <c r="E3" s="6">
        <v>407</v>
      </c>
      <c r="F3" s="6">
        <v>0</v>
      </c>
      <c r="G3" s="6">
        <v>0</v>
      </c>
      <c r="H3" s="6">
        <v>154</v>
      </c>
      <c r="I3" s="6">
        <v>0</v>
      </c>
      <c r="J3" s="6">
        <v>4</v>
      </c>
      <c r="K3" s="6">
        <v>1</v>
      </c>
      <c r="L3" s="6">
        <v>3</v>
      </c>
    </row>
    <row r="4" spans="1:15" x14ac:dyDescent="0.25">
      <c r="A4" s="10">
        <v>55</v>
      </c>
      <c r="B4" s="6">
        <v>1</v>
      </c>
      <c r="C4" s="6">
        <v>0</v>
      </c>
      <c r="D4" s="6">
        <v>132</v>
      </c>
      <c r="E4" s="6">
        <v>353</v>
      </c>
      <c r="F4" s="6">
        <v>0</v>
      </c>
      <c r="G4" s="6">
        <v>1</v>
      </c>
      <c r="H4" s="6">
        <v>132</v>
      </c>
      <c r="I4" s="6">
        <v>1</v>
      </c>
      <c r="J4" s="6">
        <v>1.2</v>
      </c>
      <c r="K4" s="6">
        <v>1</v>
      </c>
      <c r="L4" s="6">
        <v>3</v>
      </c>
    </row>
    <row r="5" spans="1:15" x14ac:dyDescent="0.25">
      <c r="A5" s="10">
        <v>43</v>
      </c>
      <c r="B5" s="6">
        <v>0</v>
      </c>
      <c r="C5" s="6">
        <v>0</v>
      </c>
      <c r="D5" s="6">
        <v>132</v>
      </c>
      <c r="E5" s="6">
        <v>341</v>
      </c>
      <c r="F5" s="6">
        <v>1</v>
      </c>
      <c r="G5" s="6">
        <v>0</v>
      </c>
      <c r="H5" s="6">
        <v>136</v>
      </c>
      <c r="I5" s="6">
        <v>1</v>
      </c>
      <c r="J5" s="6">
        <v>3</v>
      </c>
      <c r="K5" s="6">
        <v>1</v>
      </c>
      <c r="L5" s="6">
        <v>3</v>
      </c>
    </row>
    <row r="6" spans="1:15" x14ac:dyDescent="0.25">
      <c r="A6" s="10">
        <v>57</v>
      </c>
      <c r="B6" s="6">
        <v>1</v>
      </c>
      <c r="C6" s="6">
        <v>0</v>
      </c>
      <c r="D6" s="6">
        <v>110</v>
      </c>
      <c r="E6" s="6">
        <v>335</v>
      </c>
      <c r="F6" s="6">
        <v>0</v>
      </c>
      <c r="G6" s="6">
        <v>1</v>
      </c>
      <c r="H6" s="6">
        <v>143</v>
      </c>
      <c r="I6" s="6">
        <v>1</v>
      </c>
      <c r="J6" s="6">
        <v>3</v>
      </c>
      <c r="K6" s="6">
        <v>1</v>
      </c>
      <c r="L6" s="6">
        <v>3</v>
      </c>
    </row>
    <row r="7" spans="1:15" x14ac:dyDescent="0.25">
      <c r="A7" s="10">
        <v>64</v>
      </c>
      <c r="B7" s="6">
        <v>1</v>
      </c>
      <c r="C7" s="6">
        <v>2</v>
      </c>
      <c r="D7" s="6">
        <v>140</v>
      </c>
      <c r="E7" s="6">
        <v>335</v>
      </c>
      <c r="F7" s="6">
        <v>0</v>
      </c>
      <c r="G7" s="6">
        <v>1</v>
      </c>
      <c r="H7" s="6">
        <v>158</v>
      </c>
      <c r="I7" s="6">
        <v>0</v>
      </c>
      <c r="J7" s="6">
        <v>0</v>
      </c>
      <c r="K7" s="6">
        <v>2</v>
      </c>
      <c r="L7" s="6">
        <v>2</v>
      </c>
    </row>
    <row r="8" spans="1:15" x14ac:dyDescent="0.25">
      <c r="A8" s="10">
        <v>61</v>
      </c>
      <c r="B8" s="6">
        <v>0</v>
      </c>
      <c r="C8" s="6">
        <v>0</v>
      </c>
      <c r="D8" s="6">
        <v>130</v>
      </c>
      <c r="E8" s="6">
        <v>330</v>
      </c>
      <c r="F8" s="6">
        <v>0</v>
      </c>
      <c r="G8" s="6">
        <v>0</v>
      </c>
      <c r="H8" s="6">
        <v>169</v>
      </c>
      <c r="I8" s="6">
        <v>0</v>
      </c>
      <c r="J8" s="6">
        <v>0</v>
      </c>
      <c r="K8" s="6">
        <v>2</v>
      </c>
      <c r="L8" s="6">
        <v>2</v>
      </c>
    </row>
    <row r="9" spans="1:15" x14ac:dyDescent="0.25">
      <c r="A9" s="11">
        <v>63</v>
      </c>
      <c r="B9" s="5">
        <v>1</v>
      </c>
      <c r="C9" s="5">
        <v>0</v>
      </c>
      <c r="D9" s="5">
        <v>130</v>
      </c>
      <c r="E9" s="5">
        <v>330</v>
      </c>
      <c r="F9" s="5">
        <v>1</v>
      </c>
      <c r="G9" s="5">
        <v>0</v>
      </c>
      <c r="H9" s="5">
        <v>132</v>
      </c>
      <c r="I9" s="5">
        <v>1</v>
      </c>
      <c r="J9" s="5">
        <v>1.8</v>
      </c>
      <c r="K9" s="5">
        <v>2</v>
      </c>
      <c r="L9" s="5">
        <v>3</v>
      </c>
    </row>
    <row r="10" spans="1:15" x14ac:dyDescent="0.25">
      <c r="A10" s="10">
        <v>55</v>
      </c>
      <c r="B10" s="6">
        <v>0</v>
      </c>
      <c r="C10" s="6">
        <v>0</v>
      </c>
      <c r="D10" s="6">
        <v>180</v>
      </c>
      <c r="E10" s="6">
        <v>327</v>
      </c>
      <c r="F10" s="6">
        <v>0</v>
      </c>
      <c r="G10" s="6">
        <v>2</v>
      </c>
      <c r="H10" s="6">
        <v>117</v>
      </c>
      <c r="I10" s="6">
        <v>1</v>
      </c>
      <c r="J10" s="6">
        <v>3.4</v>
      </c>
      <c r="K10" s="6">
        <v>1</v>
      </c>
      <c r="L10" s="6">
        <v>2</v>
      </c>
    </row>
    <row r="11" spans="1:15" x14ac:dyDescent="0.25">
      <c r="A11" s="10">
        <v>59</v>
      </c>
      <c r="B11" s="6">
        <v>1</v>
      </c>
      <c r="C11" s="6">
        <v>0</v>
      </c>
      <c r="D11" s="6">
        <v>170</v>
      </c>
      <c r="E11" s="6">
        <v>326</v>
      </c>
      <c r="F11" s="6">
        <v>0</v>
      </c>
      <c r="G11" s="6">
        <v>0</v>
      </c>
      <c r="H11" s="6">
        <v>140</v>
      </c>
      <c r="I11" s="6">
        <v>1</v>
      </c>
      <c r="J11" s="6">
        <v>3.4</v>
      </c>
      <c r="K11" s="6">
        <v>0</v>
      </c>
      <c r="L11" s="6">
        <v>3</v>
      </c>
    </row>
    <row r="12" spans="1:15" x14ac:dyDescent="0.25">
      <c r="A12" s="11">
        <v>70</v>
      </c>
      <c r="B12" s="5">
        <v>1</v>
      </c>
      <c r="C12" s="5">
        <v>0</v>
      </c>
      <c r="D12" s="5">
        <v>130</v>
      </c>
      <c r="E12" s="5">
        <v>322</v>
      </c>
      <c r="F12" s="5">
        <v>0</v>
      </c>
      <c r="G12" s="5">
        <v>0</v>
      </c>
      <c r="H12" s="5">
        <v>109</v>
      </c>
      <c r="I12" s="5">
        <v>0</v>
      </c>
      <c r="J12" s="5">
        <v>2.4</v>
      </c>
      <c r="K12" s="5">
        <v>1</v>
      </c>
      <c r="L12" s="5">
        <v>2</v>
      </c>
    </row>
    <row r="13" spans="1:15" x14ac:dyDescent="0.25">
      <c r="A13" s="11">
        <v>58</v>
      </c>
      <c r="B13" s="5">
        <v>0</v>
      </c>
      <c r="C13" s="5">
        <v>1</v>
      </c>
      <c r="D13" s="5">
        <v>136</v>
      </c>
      <c r="E13" s="5">
        <v>319</v>
      </c>
      <c r="F13" s="5">
        <v>1</v>
      </c>
      <c r="G13" s="5">
        <v>0</v>
      </c>
      <c r="H13" s="5">
        <v>152</v>
      </c>
      <c r="I13" s="5">
        <v>0</v>
      </c>
      <c r="J13" s="5">
        <v>0</v>
      </c>
      <c r="K13" s="5">
        <v>2</v>
      </c>
      <c r="L13" s="5">
        <v>2</v>
      </c>
    </row>
    <row r="14" spans="1:15" x14ac:dyDescent="0.25">
      <c r="A14" s="11">
        <v>58</v>
      </c>
      <c r="B14" s="5">
        <v>1</v>
      </c>
      <c r="C14" s="5">
        <v>0</v>
      </c>
      <c r="D14" s="5">
        <v>114</v>
      </c>
      <c r="E14" s="5">
        <v>318</v>
      </c>
      <c r="F14" s="5">
        <v>0</v>
      </c>
      <c r="G14" s="5">
        <v>2</v>
      </c>
      <c r="H14" s="5">
        <v>140</v>
      </c>
      <c r="I14" s="5">
        <v>0</v>
      </c>
      <c r="J14" s="5">
        <v>4.4000000000000004</v>
      </c>
      <c r="K14" s="5">
        <v>0</v>
      </c>
      <c r="L14" s="5">
        <v>1</v>
      </c>
    </row>
    <row r="15" spans="1:15" x14ac:dyDescent="0.25">
      <c r="A15" s="11">
        <v>42</v>
      </c>
      <c r="B15" s="5">
        <v>1</v>
      </c>
      <c r="C15" s="5">
        <v>0</v>
      </c>
      <c r="D15" s="5">
        <v>136</v>
      </c>
      <c r="E15" s="5">
        <v>315</v>
      </c>
      <c r="F15" s="5">
        <v>0</v>
      </c>
      <c r="G15" s="5">
        <v>1</v>
      </c>
      <c r="H15" s="5">
        <v>125</v>
      </c>
      <c r="I15" s="5">
        <v>1</v>
      </c>
      <c r="J15" s="5">
        <v>1.8</v>
      </c>
      <c r="K15" s="5">
        <v>1</v>
      </c>
      <c r="L15" s="5">
        <v>1</v>
      </c>
    </row>
    <row r="16" spans="1:15" x14ac:dyDescent="0.25">
      <c r="A16" s="11">
        <v>46</v>
      </c>
      <c r="B16" s="5">
        <v>1</v>
      </c>
      <c r="C16" s="5">
        <v>0</v>
      </c>
      <c r="D16" s="5">
        <v>140</v>
      </c>
      <c r="E16" s="5">
        <v>311</v>
      </c>
      <c r="F16" s="5">
        <v>0</v>
      </c>
      <c r="G16" s="5">
        <v>1</v>
      </c>
      <c r="H16" s="5">
        <v>120</v>
      </c>
      <c r="I16" s="5">
        <v>1</v>
      </c>
      <c r="J16" s="5">
        <v>1.8</v>
      </c>
      <c r="K16" s="5">
        <v>1</v>
      </c>
      <c r="L16" s="5">
        <v>3</v>
      </c>
    </row>
    <row r="17" spans="1:12" x14ac:dyDescent="0.25">
      <c r="A17" s="11">
        <v>64</v>
      </c>
      <c r="B17" s="5">
        <v>1</v>
      </c>
      <c r="C17" s="5">
        <v>2</v>
      </c>
      <c r="D17" s="5">
        <v>125</v>
      </c>
      <c r="E17" s="5">
        <v>309</v>
      </c>
      <c r="F17" s="5">
        <v>0</v>
      </c>
      <c r="G17" s="5">
        <v>1</v>
      </c>
      <c r="H17" s="5">
        <v>131</v>
      </c>
      <c r="I17" s="5">
        <v>1</v>
      </c>
      <c r="J17" s="5">
        <v>1.8</v>
      </c>
      <c r="K17" s="5">
        <v>1</v>
      </c>
      <c r="L17" s="5">
        <v>3</v>
      </c>
    </row>
    <row r="18" spans="1:12" x14ac:dyDescent="0.25">
      <c r="A18" s="10">
        <v>45</v>
      </c>
      <c r="B18" s="6">
        <v>1</v>
      </c>
      <c r="C18" s="6">
        <v>0</v>
      </c>
      <c r="D18" s="6">
        <v>142</v>
      </c>
      <c r="E18" s="6">
        <v>309</v>
      </c>
      <c r="F18" s="6">
        <v>0</v>
      </c>
      <c r="G18" s="6">
        <v>0</v>
      </c>
      <c r="H18" s="6">
        <v>147</v>
      </c>
      <c r="I18" s="6">
        <v>1</v>
      </c>
      <c r="J18" s="6">
        <v>0</v>
      </c>
      <c r="K18" s="6">
        <v>1</v>
      </c>
      <c r="L18" s="6">
        <v>3</v>
      </c>
    </row>
    <row r="19" spans="1:12" x14ac:dyDescent="0.25">
      <c r="A19" s="10">
        <v>61</v>
      </c>
      <c r="B19" s="6">
        <v>0</v>
      </c>
      <c r="C19" s="6">
        <v>0</v>
      </c>
      <c r="D19" s="6">
        <v>145</v>
      </c>
      <c r="E19" s="6">
        <v>307</v>
      </c>
      <c r="F19" s="6">
        <v>0</v>
      </c>
      <c r="G19" s="6">
        <v>0</v>
      </c>
      <c r="H19" s="6">
        <v>146</v>
      </c>
      <c r="I19" s="6">
        <v>1</v>
      </c>
      <c r="J19" s="6">
        <v>1</v>
      </c>
      <c r="K19" s="6">
        <v>1</v>
      </c>
      <c r="L19" s="6">
        <v>3</v>
      </c>
    </row>
    <row r="20" spans="1:12" x14ac:dyDescent="0.25">
      <c r="A20" s="10">
        <v>51</v>
      </c>
      <c r="B20" s="6">
        <v>0</v>
      </c>
      <c r="C20" s="6">
        <v>0</v>
      </c>
      <c r="D20" s="6">
        <v>130</v>
      </c>
      <c r="E20" s="6">
        <v>305</v>
      </c>
      <c r="F20" s="6">
        <v>0</v>
      </c>
      <c r="G20" s="6">
        <v>1</v>
      </c>
      <c r="H20" s="6">
        <v>142</v>
      </c>
      <c r="I20" s="6">
        <v>1</v>
      </c>
      <c r="J20" s="6">
        <v>1.2</v>
      </c>
      <c r="K20" s="6">
        <v>1</v>
      </c>
      <c r="L20" s="6">
        <v>3</v>
      </c>
    </row>
    <row r="21" spans="1:12" x14ac:dyDescent="0.25">
      <c r="A21" s="11">
        <v>77</v>
      </c>
      <c r="B21" s="5">
        <v>1</v>
      </c>
      <c r="C21" s="5">
        <v>0</v>
      </c>
      <c r="D21" s="5">
        <v>125</v>
      </c>
      <c r="E21" s="5">
        <v>304</v>
      </c>
      <c r="F21" s="5">
        <v>0</v>
      </c>
      <c r="G21" s="5">
        <v>0</v>
      </c>
      <c r="H21" s="5">
        <v>162</v>
      </c>
      <c r="I21" s="5">
        <v>1</v>
      </c>
      <c r="J21" s="5">
        <v>0</v>
      </c>
      <c r="K21" s="5">
        <v>2</v>
      </c>
      <c r="L21" s="5">
        <v>2</v>
      </c>
    </row>
    <row r="22" spans="1:12" x14ac:dyDescent="0.25">
      <c r="A22" s="10">
        <v>58</v>
      </c>
      <c r="B22" s="6">
        <v>1</v>
      </c>
      <c r="C22" s="6">
        <v>0</v>
      </c>
      <c r="D22" s="6">
        <v>125</v>
      </c>
      <c r="E22" s="6">
        <v>300</v>
      </c>
      <c r="F22" s="6">
        <v>0</v>
      </c>
      <c r="G22" s="6">
        <v>0</v>
      </c>
      <c r="H22" s="6">
        <v>171</v>
      </c>
      <c r="I22" s="6">
        <v>0</v>
      </c>
      <c r="J22" s="6">
        <v>0</v>
      </c>
      <c r="K22" s="6">
        <v>2</v>
      </c>
      <c r="L22" s="6">
        <v>3</v>
      </c>
    </row>
    <row r="23" spans="1:12" x14ac:dyDescent="0.25">
      <c r="A23" s="10">
        <v>67</v>
      </c>
      <c r="B23" s="6">
        <v>1</v>
      </c>
      <c r="C23" s="6">
        <v>0</v>
      </c>
      <c r="D23" s="6">
        <v>100</v>
      </c>
      <c r="E23" s="6">
        <v>299</v>
      </c>
      <c r="F23" s="6">
        <v>0</v>
      </c>
      <c r="G23" s="6">
        <v>0</v>
      </c>
      <c r="H23" s="6">
        <v>125</v>
      </c>
      <c r="I23" s="6">
        <v>1</v>
      </c>
      <c r="J23" s="6">
        <v>0.9</v>
      </c>
      <c r="K23" s="6">
        <v>1</v>
      </c>
      <c r="L23" s="6">
        <v>2</v>
      </c>
    </row>
    <row r="24" spans="1:12" x14ac:dyDescent="0.25">
      <c r="A24" s="11">
        <v>51</v>
      </c>
      <c r="B24" s="5">
        <v>1</v>
      </c>
      <c r="C24" s="5">
        <v>0</v>
      </c>
      <c r="D24" s="5">
        <v>140</v>
      </c>
      <c r="E24" s="5">
        <v>299</v>
      </c>
      <c r="F24" s="5">
        <v>0</v>
      </c>
      <c r="G24" s="5">
        <v>1</v>
      </c>
      <c r="H24" s="5">
        <v>173</v>
      </c>
      <c r="I24" s="5">
        <v>1</v>
      </c>
      <c r="J24" s="5">
        <v>1.6</v>
      </c>
      <c r="K24" s="5">
        <v>2</v>
      </c>
      <c r="L24" s="5">
        <v>3</v>
      </c>
    </row>
    <row r="25" spans="1:12" x14ac:dyDescent="0.25">
      <c r="A25" s="11">
        <v>51</v>
      </c>
      <c r="B25" s="5">
        <v>1</v>
      </c>
      <c r="C25" s="5">
        <v>0</v>
      </c>
      <c r="D25" s="5">
        <v>140</v>
      </c>
      <c r="E25" s="5">
        <v>298</v>
      </c>
      <c r="F25" s="5">
        <v>0</v>
      </c>
      <c r="G25" s="5">
        <v>1</v>
      </c>
      <c r="H25" s="5">
        <v>122</v>
      </c>
      <c r="I25" s="5">
        <v>1</v>
      </c>
      <c r="J25" s="5">
        <v>4.2</v>
      </c>
      <c r="K25" s="5">
        <v>1</v>
      </c>
      <c r="L25" s="5">
        <v>3</v>
      </c>
    </row>
    <row r="26" spans="1:12" x14ac:dyDescent="0.25">
      <c r="A26" s="10">
        <v>62</v>
      </c>
      <c r="B26" s="6">
        <v>0</v>
      </c>
      <c r="C26" s="6">
        <v>0</v>
      </c>
      <c r="D26" s="6">
        <v>138</v>
      </c>
      <c r="E26" s="6">
        <v>294</v>
      </c>
      <c r="F26" s="6">
        <v>1</v>
      </c>
      <c r="G26" s="6">
        <v>1</v>
      </c>
      <c r="H26" s="6">
        <v>106</v>
      </c>
      <c r="I26" s="6">
        <v>0</v>
      </c>
      <c r="J26" s="6">
        <v>1.9</v>
      </c>
      <c r="K26" s="6">
        <v>1</v>
      </c>
      <c r="L26" s="6">
        <v>2</v>
      </c>
    </row>
    <row r="27" spans="1:12" x14ac:dyDescent="0.25">
      <c r="A27" s="11">
        <v>60</v>
      </c>
      <c r="B27" s="5">
        <v>1</v>
      </c>
      <c r="C27" s="5">
        <v>0</v>
      </c>
      <c r="D27" s="5">
        <v>140</v>
      </c>
      <c r="E27" s="5">
        <v>293</v>
      </c>
      <c r="F27" s="5">
        <v>0</v>
      </c>
      <c r="G27" s="5">
        <v>0</v>
      </c>
      <c r="H27" s="5">
        <v>170</v>
      </c>
      <c r="I27" s="5">
        <v>0</v>
      </c>
      <c r="J27" s="5">
        <v>1.2</v>
      </c>
      <c r="K27" s="5">
        <v>1</v>
      </c>
      <c r="L27" s="5">
        <v>3</v>
      </c>
    </row>
    <row r="28" spans="1:12" x14ac:dyDescent="0.25">
      <c r="A28" s="11">
        <v>44</v>
      </c>
      <c r="B28" s="5">
        <v>1</v>
      </c>
      <c r="C28" s="5">
        <v>0</v>
      </c>
      <c r="D28" s="5">
        <v>112</v>
      </c>
      <c r="E28" s="5">
        <v>290</v>
      </c>
      <c r="F28" s="5">
        <v>0</v>
      </c>
      <c r="G28" s="5">
        <v>0</v>
      </c>
      <c r="H28" s="5">
        <v>153</v>
      </c>
      <c r="I28" s="5">
        <v>0</v>
      </c>
      <c r="J28" s="5">
        <v>0</v>
      </c>
      <c r="K28" s="5">
        <v>2</v>
      </c>
      <c r="L28" s="5">
        <v>2</v>
      </c>
    </row>
    <row r="29" spans="1:12" x14ac:dyDescent="0.25">
      <c r="A29" s="10">
        <v>55</v>
      </c>
      <c r="B29" s="6">
        <v>1</v>
      </c>
      <c r="C29" s="6">
        <v>0</v>
      </c>
      <c r="D29" s="6">
        <v>160</v>
      </c>
      <c r="E29" s="6">
        <v>289</v>
      </c>
      <c r="F29" s="6">
        <v>0</v>
      </c>
      <c r="G29" s="6">
        <v>0</v>
      </c>
      <c r="H29" s="6">
        <v>145</v>
      </c>
      <c r="I29" s="6">
        <v>1</v>
      </c>
      <c r="J29" s="6">
        <v>0.8</v>
      </c>
      <c r="K29" s="6">
        <v>1</v>
      </c>
      <c r="L29" s="6">
        <v>3</v>
      </c>
    </row>
    <row r="30" spans="1:12" x14ac:dyDescent="0.25">
      <c r="A30" s="11">
        <v>57</v>
      </c>
      <c r="B30" s="5">
        <v>1</v>
      </c>
      <c r="C30" s="5">
        <v>0</v>
      </c>
      <c r="D30" s="5">
        <v>165</v>
      </c>
      <c r="E30" s="5">
        <v>289</v>
      </c>
      <c r="F30" s="5">
        <v>1</v>
      </c>
      <c r="G30" s="5">
        <v>0</v>
      </c>
      <c r="H30" s="5">
        <v>124</v>
      </c>
      <c r="I30" s="5">
        <v>0</v>
      </c>
      <c r="J30" s="5">
        <v>1</v>
      </c>
      <c r="K30" s="5">
        <v>1</v>
      </c>
      <c r="L30" s="5">
        <v>3</v>
      </c>
    </row>
    <row r="31" spans="1:12" x14ac:dyDescent="0.25">
      <c r="A31" s="10">
        <v>59</v>
      </c>
      <c r="B31" s="6">
        <v>1</v>
      </c>
      <c r="C31" s="6">
        <v>3</v>
      </c>
      <c r="D31" s="6">
        <v>170</v>
      </c>
      <c r="E31" s="6">
        <v>288</v>
      </c>
      <c r="F31" s="6">
        <v>0</v>
      </c>
      <c r="G31" s="6">
        <v>0</v>
      </c>
      <c r="H31" s="6">
        <v>159</v>
      </c>
      <c r="I31" s="6">
        <v>0</v>
      </c>
      <c r="J31" s="6">
        <v>0.2</v>
      </c>
      <c r="K31" s="6">
        <v>1</v>
      </c>
      <c r="L31" s="6">
        <v>3</v>
      </c>
    </row>
    <row r="32" spans="1:12" x14ac:dyDescent="0.25">
      <c r="A32" s="11">
        <v>56</v>
      </c>
      <c r="B32" s="5">
        <v>0</v>
      </c>
      <c r="C32" s="5">
        <v>0</v>
      </c>
      <c r="D32" s="5">
        <v>200</v>
      </c>
      <c r="E32" s="5">
        <v>288</v>
      </c>
      <c r="F32" s="5">
        <v>1</v>
      </c>
      <c r="G32" s="5">
        <v>0</v>
      </c>
      <c r="H32" s="5">
        <v>133</v>
      </c>
      <c r="I32" s="5">
        <v>1</v>
      </c>
      <c r="J32" s="5">
        <v>4</v>
      </c>
      <c r="K32" s="5">
        <v>0</v>
      </c>
      <c r="L32" s="5">
        <v>3</v>
      </c>
    </row>
    <row r="33" spans="1:12" x14ac:dyDescent="0.25">
      <c r="A33" s="10">
        <v>54</v>
      </c>
      <c r="B33" s="6">
        <v>1</v>
      </c>
      <c r="C33" s="6">
        <v>0</v>
      </c>
      <c r="D33" s="6">
        <v>122</v>
      </c>
      <c r="E33" s="6">
        <v>286</v>
      </c>
      <c r="F33" s="6">
        <v>0</v>
      </c>
      <c r="G33" s="6">
        <v>0</v>
      </c>
      <c r="H33" s="6">
        <v>116</v>
      </c>
      <c r="I33" s="6">
        <v>1</v>
      </c>
      <c r="J33" s="6">
        <v>3.2</v>
      </c>
      <c r="K33" s="6">
        <v>1</v>
      </c>
      <c r="L33" s="6">
        <v>2</v>
      </c>
    </row>
    <row r="34" spans="1:12" x14ac:dyDescent="0.25">
      <c r="A34" s="11">
        <v>67</v>
      </c>
      <c r="B34" s="5">
        <v>1</v>
      </c>
      <c r="C34" s="5">
        <v>0</v>
      </c>
      <c r="D34" s="5">
        <v>160</v>
      </c>
      <c r="E34" s="5">
        <v>286</v>
      </c>
      <c r="F34" s="5">
        <v>0</v>
      </c>
      <c r="G34" s="5">
        <v>0</v>
      </c>
      <c r="H34" s="5">
        <v>108</v>
      </c>
      <c r="I34" s="5">
        <v>1</v>
      </c>
      <c r="J34" s="5">
        <v>1.5</v>
      </c>
      <c r="K34" s="5">
        <v>1</v>
      </c>
      <c r="L34" s="5">
        <v>2</v>
      </c>
    </row>
    <row r="35" spans="1:12" x14ac:dyDescent="0.25">
      <c r="A35" s="10">
        <v>58</v>
      </c>
      <c r="B35" s="6">
        <v>1</v>
      </c>
      <c r="C35" s="6">
        <v>1</v>
      </c>
      <c r="D35" s="6">
        <v>120</v>
      </c>
      <c r="E35" s="6">
        <v>284</v>
      </c>
      <c r="F35" s="6">
        <v>0</v>
      </c>
      <c r="G35" s="6">
        <v>0</v>
      </c>
      <c r="H35" s="6">
        <v>160</v>
      </c>
      <c r="I35" s="6">
        <v>0</v>
      </c>
      <c r="J35" s="6">
        <v>1.8</v>
      </c>
      <c r="K35" s="6">
        <v>1</v>
      </c>
      <c r="L35" s="6">
        <v>2</v>
      </c>
    </row>
    <row r="36" spans="1:12" x14ac:dyDescent="0.25">
      <c r="A36" s="10">
        <v>54</v>
      </c>
      <c r="B36" s="6">
        <v>1</v>
      </c>
      <c r="C36" s="6">
        <v>1</v>
      </c>
      <c r="D36" s="6">
        <v>192</v>
      </c>
      <c r="E36" s="6">
        <v>283</v>
      </c>
      <c r="F36" s="6">
        <v>0</v>
      </c>
      <c r="G36" s="6">
        <v>0</v>
      </c>
      <c r="H36" s="6">
        <v>195</v>
      </c>
      <c r="I36" s="6">
        <v>0</v>
      </c>
      <c r="J36" s="6">
        <v>0</v>
      </c>
      <c r="K36" s="6">
        <v>2</v>
      </c>
      <c r="L36" s="6">
        <v>3</v>
      </c>
    </row>
    <row r="37" spans="1:12" x14ac:dyDescent="0.25">
      <c r="A37" s="11">
        <v>56</v>
      </c>
      <c r="B37" s="5">
        <v>1</v>
      </c>
      <c r="C37" s="5">
        <v>0</v>
      </c>
      <c r="D37" s="5">
        <v>130</v>
      </c>
      <c r="E37" s="5">
        <v>283</v>
      </c>
      <c r="F37" s="5">
        <v>1</v>
      </c>
      <c r="G37" s="5">
        <v>0</v>
      </c>
      <c r="H37" s="5">
        <v>103</v>
      </c>
      <c r="I37" s="5">
        <v>1</v>
      </c>
      <c r="J37" s="5">
        <v>1.6</v>
      </c>
      <c r="K37" s="5">
        <v>0</v>
      </c>
      <c r="L37" s="5">
        <v>3</v>
      </c>
    </row>
    <row r="38" spans="1:12" x14ac:dyDescent="0.25">
      <c r="A38" s="11">
        <v>53</v>
      </c>
      <c r="B38" s="5">
        <v>1</v>
      </c>
      <c r="C38" s="5">
        <v>0</v>
      </c>
      <c r="D38" s="5">
        <v>123</v>
      </c>
      <c r="E38" s="5">
        <v>282</v>
      </c>
      <c r="F38" s="5">
        <v>0</v>
      </c>
      <c r="G38" s="5">
        <v>1</v>
      </c>
      <c r="H38" s="5">
        <v>95</v>
      </c>
      <c r="I38" s="5">
        <v>1</v>
      </c>
      <c r="J38" s="5">
        <v>2</v>
      </c>
      <c r="K38" s="5">
        <v>1</v>
      </c>
      <c r="L38" s="5">
        <v>3</v>
      </c>
    </row>
    <row r="39" spans="1:12" x14ac:dyDescent="0.25">
      <c r="A39" s="10">
        <v>65</v>
      </c>
      <c r="B39" s="6">
        <v>1</v>
      </c>
      <c r="C39" s="6">
        <v>3</v>
      </c>
      <c r="D39" s="6">
        <v>138</v>
      </c>
      <c r="E39" s="6">
        <v>282</v>
      </c>
      <c r="F39" s="6">
        <v>1</v>
      </c>
      <c r="G39" s="6">
        <v>0</v>
      </c>
      <c r="H39" s="6">
        <v>174</v>
      </c>
      <c r="I39" s="6">
        <v>0</v>
      </c>
      <c r="J39" s="6">
        <v>1.4</v>
      </c>
      <c r="K39" s="6">
        <v>1</v>
      </c>
      <c r="L39" s="6">
        <v>2</v>
      </c>
    </row>
    <row r="40" spans="1:12" x14ac:dyDescent="0.25">
      <c r="A40" s="10">
        <v>60</v>
      </c>
      <c r="B40" s="6">
        <v>1</v>
      </c>
      <c r="C40" s="6">
        <v>0</v>
      </c>
      <c r="D40" s="6">
        <v>145</v>
      </c>
      <c r="E40" s="6">
        <v>282</v>
      </c>
      <c r="F40" s="6">
        <v>0</v>
      </c>
      <c r="G40" s="6">
        <v>0</v>
      </c>
      <c r="H40" s="6">
        <v>142</v>
      </c>
      <c r="I40" s="6">
        <v>1</v>
      </c>
      <c r="J40" s="6">
        <v>2.8</v>
      </c>
      <c r="K40" s="6">
        <v>1</v>
      </c>
      <c r="L40" s="6">
        <v>3</v>
      </c>
    </row>
    <row r="41" spans="1:12" x14ac:dyDescent="0.25">
      <c r="A41" s="11">
        <v>35</v>
      </c>
      <c r="B41" s="5">
        <v>1</v>
      </c>
      <c r="C41" s="5">
        <v>0</v>
      </c>
      <c r="D41" s="5">
        <v>126</v>
      </c>
      <c r="E41" s="5">
        <v>282</v>
      </c>
      <c r="F41" s="5">
        <v>0</v>
      </c>
      <c r="G41" s="5">
        <v>0</v>
      </c>
      <c r="H41" s="5">
        <v>156</v>
      </c>
      <c r="I41" s="5">
        <v>1</v>
      </c>
      <c r="J41" s="5">
        <v>0</v>
      </c>
      <c r="K41" s="5">
        <v>2</v>
      </c>
      <c r="L41" s="5">
        <v>3</v>
      </c>
    </row>
    <row r="42" spans="1:12" x14ac:dyDescent="0.25">
      <c r="A42" s="11">
        <v>62</v>
      </c>
      <c r="B42" s="5">
        <v>1</v>
      </c>
      <c r="C42" s="5">
        <v>1</v>
      </c>
      <c r="D42" s="5">
        <v>120</v>
      </c>
      <c r="E42" s="5">
        <v>281</v>
      </c>
      <c r="F42" s="5">
        <v>0</v>
      </c>
      <c r="G42" s="5">
        <v>0</v>
      </c>
      <c r="H42" s="5">
        <v>103</v>
      </c>
      <c r="I42" s="5">
        <v>0</v>
      </c>
      <c r="J42" s="5">
        <v>1.4</v>
      </c>
      <c r="K42" s="5">
        <v>1</v>
      </c>
      <c r="L42" s="5">
        <v>3</v>
      </c>
    </row>
    <row r="43" spans="1:12" x14ac:dyDescent="0.25">
      <c r="A43" s="11">
        <v>57</v>
      </c>
      <c r="B43" s="5">
        <v>1</v>
      </c>
      <c r="C43" s="5">
        <v>0</v>
      </c>
      <c r="D43" s="5">
        <v>150</v>
      </c>
      <c r="E43" s="5">
        <v>276</v>
      </c>
      <c r="F43" s="5">
        <v>0</v>
      </c>
      <c r="G43" s="5">
        <v>0</v>
      </c>
      <c r="H43" s="5">
        <v>112</v>
      </c>
      <c r="I43" s="5">
        <v>1</v>
      </c>
      <c r="J43" s="5">
        <v>0.6</v>
      </c>
      <c r="K43" s="5">
        <v>1</v>
      </c>
      <c r="L43" s="5">
        <v>1</v>
      </c>
    </row>
    <row r="44" spans="1:12" x14ac:dyDescent="0.25">
      <c r="A44" s="11">
        <v>47</v>
      </c>
      <c r="B44" s="5">
        <v>1</v>
      </c>
      <c r="C44" s="5">
        <v>0</v>
      </c>
      <c r="D44" s="5">
        <v>110</v>
      </c>
      <c r="E44" s="5">
        <v>275</v>
      </c>
      <c r="F44" s="5">
        <v>0</v>
      </c>
      <c r="G44" s="5">
        <v>0</v>
      </c>
      <c r="H44" s="5">
        <v>118</v>
      </c>
      <c r="I44" s="5">
        <v>1</v>
      </c>
      <c r="J44" s="5">
        <v>1</v>
      </c>
      <c r="K44" s="5">
        <v>1</v>
      </c>
      <c r="L44" s="5">
        <v>2</v>
      </c>
    </row>
    <row r="45" spans="1:12" x14ac:dyDescent="0.25">
      <c r="A45" s="11">
        <v>57</v>
      </c>
      <c r="B45" s="5">
        <v>1</v>
      </c>
      <c r="C45" s="5">
        <v>0</v>
      </c>
      <c r="D45" s="5">
        <v>152</v>
      </c>
      <c r="E45" s="5">
        <v>274</v>
      </c>
      <c r="F45" s="5">
        <v>0</v>
      </c>
      <c r="G45" s="5">
        <v>1</v>
      </c>
      <c r="H45" s="5">
        <v>88</v>
      </c>
      <c r="I45" s="5">
        <v>1</v>
      </c>
      <c r="J45" s="5">
        <v>1.2</v>
      </c>
      <c r="K45" s="5">
        <v>1</v>
      </c>
      <c r="L45" s="5">
        <v>3</v>
      </c>
    </row>
    <row r="46" spans="1:12" x14ac:dyDescent="0.25">
      <c r="A46" s="10">
        <v>48</v>
      </c>
      <c r="B46" s="6">
        <v>1</v>
      </c>
      <c r="C46" s="6">
        <v>0</v>
      </c>
      <c r="D46" s="6">
        <v>124</v>
      </c>
      <c r="E46" s="6">
        <v>274</v>
      </c>
      <c r="F46" s="6">
        <v>0</v>
      </c>
      <c r="G46" s="6">
        <v>0</v>
      </c>
      <c r="H46" s="6">
        <v>166</v>
      </c>
      <c r="I46" s="6">
        <v>0</v>
      </c>
      <c r="J46" s="6">
        <v>0.5</v>
      </c>
      <c r="K46" s="6">
        <v>1</v>
      </c>
      <c r="L46" s="6">
        <v>3</v>
      </c>
    </row>
    <row r="47" spans="1:12" x14ac:dyDescent="0.25">
      <c r="A47" s="11">
        <v>68</v>
      </c>
      <c r="B47" s="5">
        <v>1</v>
      </c>
      <c r="C47" s="5">
        <v>2</v>
      </c>
      <c r="D47" s="5">
        <v>180</v>
      </c>
      <c r="E47" s="5">
        <v>274</v>
      </c>
      <c r="F47" s="5">
        <v>1</v>
      </c>
      <c r="G47" s="5">
        <v>0</v>
      </c>
      <c r="H47" s="5">
        <v>150</v>
      </c>
      <c r="I47" s="5">
        <v>1</v>
      </c>
      <c r="J47" s="5">
        <v>1.6</v>
      </c>
      <c r="K47" s="5">
        <v>1</v>
      </c>
      <c r="L47" s="5">
        <v>3</v>
      </c>
    </row>
    <row r="48" spans="1:12" x14ac:dyDescent="0.25">
      <c r="A48" s="10">
        <v>59</v>
      </c>
      <c r="B48" s="6">
        <v>1</v>
      </c>
      <c r="C48" s="6">
        <v>3</v>
      </c>
      <c r="D48" s="6">
        <v>160</v>
      </c>
      <c r="E48" s="6">
        <v>273</v>
      </c>
      <c r="F48" s="6">
        <v>0</v>
      </c>
      <c r="G48" s="6">
        <v>0</v>
      </c>
      <c r="H48" s="6">
        <v>125</v>
      </c>
      <c r="I48" s="6">
        <v>0</v>
      </c>
      <c r="J48" s="6">
        <v>0</v>
      </c>
      <c r="K48" s="6">
        <v>2</v>
      </c>
      <c r="L48" s="6">
        <v>2</v>
      </c>
    </row>
    <row r="49" spans="1:12" x14ac:dyDescent="0.25">
      <c r="A49" s="11">
        <v>58</v>
      </c>
      <c r="B49" s="5">
        <v>1</v>
      </c>
      <c r="C49" s="5">
        <v>0</v>
      </c>
      <c r="D49" s="5">
        <v>150</v>
      </c>
      <c r="E49" s="5">
        <v>270</v>
      </c>
      <c r="F49" s="5">
        <v>0</v>
      </c>
      <c r="G49" s="5">
        <v>0</v>
      </c>
      <c r="H49" s="5">
        <v>111</v>
      </c>
      <c r="I49" s="5">
        <v>1</v>
      </c>
      <c r="J49" s="5">
        <v>0.8</v>
      </c>
      <c r="K49" s="5">
        <v>2</v>
      </c>
      <c r="L49" s="5">
        <v>3</v>
      </c>
    </row>
    <row r="50" spans="1:12" x14ac:dyDescent="0.25">
      <c r="A50" s="10">
        <v>70</v>
      </c>
      <c r="B50" s="6">
        <v>1</v>
      </c>
      <c r="C50" s="6">
        <v>2</v>
      </c>
      <c r="D50" s="6">
        <v>160</v>
      </c>
      <c r="E50" s="6">
        <v>269</v>
      </c>
      <c r="F50" s="6">
        <v>0</v>
      </c>
      <c r="G50" s="6">
        <v>1</v>
      </c>
      <c r="H50" s="6">
        <v>112</v>
      </c>
      <c r="I50" s="6">
        <v>1</v>
      </c>
      <c r="J50" s="6">
        <v>2.9</v>
      </c>
      <c r="K50" s="6">
        <v>1</v>
      </c>
      <c r="L50" s="6">
        <v>3</v>
      </c>
    </row>
    <row r="51" spans="1:12" x14ac:dyDescent="0.25">
      <c r="A51" s="10">
        <v>63</v>
      </c>
      <c r="B51" s="6">
        <v>0</v>
      </c>
      <c r="C51" s="6">
        <v>0</v>
      </c>
      <c r="D51" s="6">
        <v>108</v>
      </c>
      <c r="E51" s="6">
        <v>269</v>
      </c>
      <c r="F51" s="6">
        <v>0</v>
      </c>
      <c r="G51" s="6">
        <v>1</v>
      </c>
      <c r="H51" s="6">
        <v>169</v>
      </c>
      <c r="I51" s="6">
        <v>1</v>
      </c>
      <c r="J51" s="6">
        <v>1.8</v>
      </c>
      <c r="K51" s="6">
        <v>1</v>
      </c>
      <c r="L51" s="6">
        <v>2</v>
      </c>
    </row>
    <row r="52" spans="1:12" x14ac:dyDescent="0.25">
      <c r="A52" s="11">
        <v>62</v>
      </c>
      <c r="B52" s="5">
        <v>0</v>
      </c>
      <c r="C52" s="5">
        <v>0</v>
      </c>
      <c r="D52" s="5">
        <v>140</v>
      </c>
      <c r="E52" s="5">
        <v>268</v>
      </c>
      <c r="F52" s="5">
        <v>0</v>
      </c>
      <c r="G52" s="5">
        <v>0</v>
      </c>
      <c r="H52" s="5">
        <v>160</v>
      </c>
      <c r="I52" s="5">
        <v>0</v>
      </c>
      <c r="J52" s="5">
        <v>3.6</v>
      </c>
      <c r="K52" s="5">
        <v>0</v>
      </c>
      <c r="L52" s="5">
        <v>2</v>
      </c>
    </row>
    <row r="53" spans="1:12" x14ac:dyDescent="0.25">
      <c r="A53" s="11">
        <v>62</v>
      </c>
      <c r="B53" s="5">
        <v>1</v>
      </c>
      <c r="C53" s="5">
        <v>0</v>
      </c>
      <c r="D53" s="5">
        <v>120</v>
      </c>
      <c r="E53" s="5">
        <v>267</v>
      </c>
      <c r="F53" s="5">
        <v>0</v>
      </c>
      <c r="G53" s="5">
        <v>1</v>
      </c>
      <c r="H53" s="5">
        <v>99</v>
      </c>
      <c r="I53" s="5">
        <v>1</v>
      </c>
      <c r="J53" s="5">
        <v>1.8</v>
      </c>
      <c r="K53" s="5">
        <v>1</v>
      </c>
      <c r="L53" s="5">
        <v>3</v>
      </c>
    </row>
    <row r="54" spans="1:12" x14ac:dyDescent="0.25">
      <c r="A54" s="10">
        <v>54</v>
      </c>
      <c r="B54" s="6">
        <v>1</v>
      </c>
      <c r="C54" s="6">
        <v>0</v>
      </c>
      <c r="D54" s="6">
        <v>124</v>
      </c>
      <c r="E54" s="6">
        <v>266</v>
      </c>
      <c r="F54" s="6">
        <v>0</v>
      </c>
      <c r="G54" s="6">
        <v>0</v>
      </c>
      <c r="H54" s="6">
        <v>109</v>
      </c>
      <c r="I54" s="6">
        <v>1</v>
      </c>
      <c r="J54" s="6">
        <v>2.2000000000000002</v>
      </c>
      <c r="K54" s="6">
        <v>1</v>
      </c>
      <c r="L54" s="6">
        <v>3</v>
      </c>
    </row>
    <row r="55" spans="1:12" x14ac:dyDescent="0.25">
      <c r="A55" s="11">
        <v>45</v>
      </c>
      <c r="B55" s="5">
        <v>1</v>
      </c>
      <c r="C55" s="5">
        <v>3</v>
      </c>
      <c r="D55" s="5">
        <v>110</v>
      </c>
      <c r="E55" s="5">
        <v>264</v>
      </c>
      <c r="F55" s="5">
        <v>0</v>
      </c>
      <c r="G55" s="5">
        <v>1</v>
      </c>
      <c r="H55" s="5">
        <v>132</v>
      </c>
      <c r="I55" s="5">
        <v>0</v>
      </c>
      <c r="J55" s="5">
        <v>1.2</v>
      </c>
      <c r="K55" s="5">
        <v>1</v>
      </c>
      <c r="L55" s="5">
        <v>3</v>
      </c>
    </row>
    <row r="56" spans="1:12" x14ac:dyDescent="0.25">
      <c r="A56" s="10">
        <v>62</v>
      </c>
      <c r="B56" s="6">
        <v>0</v>
      </c>
      <c r="C56" s="6">
        <v>2</v>
      </c>
      <c r="D56" s="6">
        <v>130</v>
      </c>
      <c r="E56" s="6">
        <v>263</v>
      </c>
      <c r="F56" s="6">
        <v>0</v>
      </c>
      <c r="G56" s="6">
        <v>1</v>
      </c>
      <c r="H56" s="6">
        <v>97</v>
      </c>
      <c r="I56" s="6">
        <v>0</v>
      </c>
      <c r="J56" s="6">
        <v>1.2</v>
      </c>
      <c r="K56" s="6">
        <v>1</v>
      </c>
      <c r="L56" s="6">
        <v>3</v>
      </c>
    </row>
    <row r="57" spans="1:12" x14ac:dyDescent="0.25">
      <c r="A57" s="10">
        <v>57</v>
      </c>
      <c r="B57" s="6">
        <v>1</v>
      </c>
      <c r="C57" s="6">
        <v>1</v>
      </c>
      <c r="D57" s="6">
        <v>124</v>
      </c>
      <c r="E57" s="6">
        <v>261</v>
      </c>
      <c r="F57" s="6">
        <v>0</v>
      </c>
      <c r="G57" s="6">
        <v>1</v>
      </c>
      <c r="H57" s="6">
        <v>141</v>
      </c>
      <c r="I57" s="6">
        <v>0</v>
      </c>
      <c r="J57" s="6">
        <v>0.3</v>
      </c>
      <c r="K57" s="6">
        <v>2</v>
      </c>
      <c r="L57" s="6">
        <v>3</v>
      </c>
    </row>
    <row r="58" spans="1:12" x14ac:dyDescent="0.25">
      <c r="A58" s="10">
        <v>61</v>
      </c>
      <c r="B58" s="6">
        <v>1</v>
      </c>
      <c r="C58" s="6">
        <v>0</v>
      </c>
      <c r="D58" s="6">
        <v>120</v>
      </c>
      <c r="E58" s="6">
        <v>260</v>
      </c>
      <c r="F58" s="6">
        <v>0</v>
      </c>
      <c r="G58" s="6">
        <v>1</v>
      </c>
      <c r="H58" s="6">
        <v>140</v>
      </c>
      <c r="I58" s="6">
        <v>1</v>
      </c>
      <c r="J58" s="6">
        <v>3.6</v>
      </c>
      <c r="K58" s="6">
        <v>1</v>
      </c>
      <c r="L58" s="6">
        <v>3</v>
      </c>
    </row>
    <row r="59" spans="1:12" x14ac:dyDescent="0.25">
      <c r="A59" s="10">
        <v>58</v>
      </c>
      <c r="B59" s="6">
        <v>1</v>
      </c>
      <c r="C59" s="6">
        <v>0</v>
      </c>
      <c r="D59" s="6">
        <v>128</v>
      </c>
      <c r="E59" s="6">
        <v>259</v>
      </c>
      <c r="F59" s="6">
        <v>0</v>
      </c>
      <c r="G59" s="6">
        <v>0</v>
      </c>
      <c r="H59" s="6">
        <v>130</v>
      </c>
      <c r="I59" s="6">
        <v>1</v>
      </c>
      <c r="J59" s="6">
        <v>3</v>
      </c>
      <c r="K59" s="6">
        <v>1</v>
      </c>
      <c r="L59" s="6">
        <v>3</v>
      </c>
    </row>
    <row r="60" spans="1:12" x14ac:dyDescent="0.25">
      <c r="A60" s="11">
        <v>60</v>
      </c>
      <c r="B60" s="5">
        <v>1</v>
      </c>
      <c r="C60" s="5">
        <v>0</v>
      </c>
      <c r="D60" s="5">
        <v>125</v>
      </c>
      <c r="E60" s="5">
        <v>258</v>
      </c>
      <c r="F60" s="5">
        <v>0</v>
      </c>
      <c r="G60" s="5">
        <v>0</v>
      </c>
      <c r="H60" s="5">
        <v>141</v>
      </c>
      <c r="I60" s="5">
        <v>1</v>
      </c>
      <c r="J60" s="5">
        <v>2.8</v>
      </c>
      <c r="K60" s="5">
        <v>1</v>
      </c>
      <c r="L60" s="5">
        <v>3</v>
      </c>
    </row>
    <row r="61" spans="1:12" x14ac:dyDescent="0.25">
      <c r="A61" s="11">
        <v>60</v>
      </c>
      <c r="B61" s="5">
        <v>0</v>
      </c>
      <c r="C61" s="5">
        <v>0</v>
      </c>
      <c r="D61" s="5">
        <v>150</v>
      </c>
      <c r="E61" s="5">
        <v>258</v>
      </c>
      <c r="F61" s="5">
        <v>0</v>
      </c>
      <c r="G61" s="5">
        <v>0</v>
      </c>
      <c r="H61" s="5">
        <v>157</v>
      </c>
      <c r="I61" s="5">
        <v>0</v>
      </c>
      <c r="J61" s="5">
        <v>2.6</v>
      </c>
      <c r="K61" s="5">
        <v>1</v>
      </c>
      <c r="L61" s="5">
        <v>3</v>
      </c>
    </row>
    <row r="62" spans="1:12" x14ac:dyDescent="0.25">
      <c r="A62" s="11">
        <v>56</v>
      </c>
      <c r="B62" s="5">
        <v>1</v>
      </c>
      <c r="C62" s="5">
        <v>2</v>
      </c>
      <c r="D62" s="5">
        <v>130</v>
      </c>
      <c r="E62" s="5">
        <v>256</v>
      </c>
      <c r="F62" s="5">
        <v>1</v>
      </c>
      <c r="G62" s="5">
        <v>0</v>
      </c>
      <c r="H62" s="5">
        <v>142</v>
      </c>
      <c r="I62" s="5">
        <v>1</v>
      </c>
      <c r="J62" s="5">
        <v>0.6</v>
      </c>
      <c r="K62" s="5">
        <v>1</v>
      </c>
      <c r="L62" s="5">
        <v>1</v>
      </c>
    </row>
    <row r="63" spans="1:12" x14ac:dyDescent="0.25">
      <c r="A63" s="10">
        <v>48</v>
      </c>
      <c r="B63" s="6">
        <v>1</v>
      </c>
      <c r="C63" s="6">
        <v>0</v>
      </c>
      <c r="D63" s="6">
        <v>130</v>
      </c>
      <c r="E63" s="6">
        <v>256</v>
      </c>
      <c r="F63" s="6">
        <v>1</v>
      </c>
      <c r="G63" s="6">
        <v>0</v>
      </c>
      <c r="H63" s="6">
        <v>150</v>
      </c>
      <c r="I63" s="6">
        <v>1</v>
      </c>
      <c r="J63" s="6">
        <v>0</v>
      </c>
      <c r="K63" s="6">
        <v>2</v>
      </c>
      <c r="L63" s="6">
        <v>3</v>
      </c>
    </row>
    <row r="64" spans="1:12" x14ac:dyDescent="0.25">
      <c r="A64" s="11">
        <v>52</v>
      </c>
      <c r="B64" s="5">
        <v>1</v>
      </c>
      <c r="C64" s="5">
        <v>0</v>
      </c>
      <c r="D64" s="5">
        <v>128</v>
      </c>
      <c r="E64" s="5">
        <v>255</v>
      </c>
      <c r="F64" s="5">
        <v>0</v>
      </c>
      <c r="G64" s="5">
        <v>1</v>
      </c>
      <c r="H64" s="5">
        <v>161</v>
      </c>
      <c r="I64" s="5">
        <v>1</v>
      </c>
      <c r="J64" s="5">
        <v>0</v>
      </c>
      <c r="K64" s="5">
        <v>2</v>
      </c>
      <c r="L64" s="5">
        <v>3</v>
      </c>
    </row>
    <row r="65" spans="1:12" x14ac:dyDescent="0.25">
      <c r="A65" s="10">
        <v>67</v>
      </c>
      <c r="B65" s="6">
        <v>1</v>
      </c>
      <c r="C65" s="6">
        <v>0</v>
      </c>
      <c r="D65" s="6">
        <v>125</v>
      </c>
      <c r="E65" s="6">
        <v>254</v>
      </c>
      <c r="F65" s="6">
        <v>1</v>
      </c>
      <c r="G65" s="6">
        <v>1</v>
      </c>
      <c r="H65" s="6">
        <v>163</v>
      </c>
      <c r="I65" s="6">
        <v>0</v>
      </c>
      <c r="J65" s="6">
        <v>0.2</v>
      </c>
      <c r="K65" s="6">
        <v>1</v>
      </c>
      <c r="L65" s="6">
        <v>3</v>
      </c>
    </row>
    <row r="66" spans="1:12" x14ac:dyDescent="0.25">
      <c r="A66" s="11">
        <v>63</v>
      </c>
      <c r="B66" s="5">
        <v>1</v>
      </c>
      <c r="C66" s="5">
        <v>0</v>
      </c>
      <c r="D66" s="5">
        <v>130</v>
      </c>
      <c r="E66" s="5">
        <v>254</v>
      </c>
      <c r="F66" s="5">
        <v>0</v>
      </c>
      <c r="G66" s="5">
        <v>0</v>
      </c>
      <c r="H66" s="5">
        <v>147</v>
      </c>
      <c r="I66" s="5">
        <v>0</v>
      </c>
      <c r="J66" s="5">
        <v>1.4</v>
      </c>
      <c r="K66" s="5">
        <v>1</v>
      </c>
      <c r="L66" s="5">
        <v>3</v>
      </c>
    </row>
    <row r="67" spans="1:12" x14ac:dyDescent="0.25">
      <c r="A67" s="11">
        <v>65</v>
      </c>
      <c r="B67" s="5">
        <v>1</v>
      </c>
      <c r="C67" s="5">
        <v>0</v>
      </c>
      <c r="D67" s="5">
        <v>135</v>
      </c>
      <c r="E67" s="5">
        <v>254</v>
      </c>
      <c r="F67" s="5">
        <v>0</v>
      </c>
      <c r="G67" s="5">
        <v>0</v>
      </c>
      <c r="H67" s="5">
        <v>127</v>
      </c>
      <c r="I67" s="5">
        <v>0</v>
      </c>
      <c r="J67" s="5">
        <v>2.8</v>
      </c>
      <c r="K67" s="5">
        <v>1</v>
      </c>
      <c r="L67" s="5">
        <v>3</v>
      </c>
    </row>
    <row r="68" spans="1:12" x14ac:dyDescent="0.25">
      <c r="A68" s="11">
        <v>69</v>
      </c>
      <c r="B68" s="5">
        <v>1</v>
      </c>
      <c r="C68" s="5">
        <v>2</v>
      </c>
      <c r="D68" s="5">
        <v>140</v>
      </c>
      <c r="E68" s="5">
        <v>254</v>
      </c>
      <c r="F68" s="5">
        <v>0</v>
      </c>
      <c r="G68" s="5">
        <v>0</v>
      </c>
      <c r="H68" s="5">
        <v>146</v>
      </c>
      <c r="I68" s="5">
        <v>0</v>
      </c>
      <c r="J68" s="5">
        <v>2</v>
      </c>
      <c r="K68" s="5">
        <v>1</v>
      </c>
      <c r="L68" s="5">
        <v>3</v>
      </c>
    </row>
    <row r="69" spans="1:12" x14ac:dyDescent="0.25">
      <c r="A69" s="10">
        <v>60</v>
      </c>
      <c r="B69" s="6">
        <v>1</v>
      </c>
      <c r="C69" s="6">
        <v>0</v>
      </c>
      <c r="D69" s="6">
        <v>130</v>
      </c>
      <c r="E69" s="6">
        <v>253</v>
      </c>
      <c r="F69" s="6">
        <v>0</v>
      </c>
      <c r="G69" s="6">
        <v>1</v>
      </c>
      <c r="H69" s="6">
        <v>144</v>
      </c>
      <c r="I69" s="6">
        <v>1</v>
      </c>
      <c r="J69" s="6">
        <v>1.4</v>
      </c>
      <c r="K69" s="6">
        <v>2</v>
      </c>
      <c r="L69" s="6">
        <v>3</v>
      </c>
    </row>
    <row r="70" spans="1:12" x14ac:dyDescent="0.25">
      <c r="A70" s="11">
        <v>46</v>
      </c>
      <c r="B70" s="5">
        <v>1</v>
      </c>
      <c r="C70" s="5">
        <v>0</v>
      </c>
      <c r="D70" s="5">
        <v>120</v>
      </c>
      <c r="E70" s="5">
        <v>249</v>
      </c>
      <c r="F70" s="5">
        <v>0</v>
      </c>
      <c r="G70" s="5">
        <v>0</v>
      </c>
      <c r="H70" s="5">
        <v>144</v>
      </c>
      <c r="I70" s="5">
        <v>0</v>
      </c>
      <c r="J70" s="5">
        <v>0.8</v>
      </c>
      <c r="K70" s="5">
        <v>2</v>
      </c>
      <c r="L70" s="5">
        <v>3</v>
      </c>
    </row>
    <row r="71" spans="1:12" x14ac:dyDescent="0.25">
      <c r="A71" s="11">
        <v>56</v>
      </c>
      <c r="B71" s="5">
        <v>1</v>
      </c>
      <c r="C71" s="5">
        <v>0</v>
      </c>
      <c r="D71" s="5">
        <v>125</v>
      </c>
      <c r="E71" s="5">
        <v>249</v>
      </c>
      <c r="F71" s="5">
        <v>1</v>
      </c>
      <c r="G71" s="5">
        <v>0</v>
      </c>
      <c r="H71" s="5">
        <v>144</v>
      </c>
      <c r="I71" s="5">
        <v>1</v>
      </c>
      <c r="J71" s="5">
        <v>1.2</v>
      </c>
      <c r="K71" s="5">
        <v>1</v>
      </c>
      <c r="L71" s="5">
        <v>2</v>
      </c>
    </row>
    <row r="72" spans="1:12" x14ac:dyDescent="0.25">
      <c r="A72" s="10">
        <v>59</v>
      </c>
      <c r="B72" s="6">
        <v>0</v>
      </c>
      <c r="C72" s="6">
        <v>0</v>
      </c>
      <c r="D72" s="6">
        <v>174</v>
      </c>
      <c r="E72" s="6">
        <v>249</v>
      </c>
      <c r="F72" s="6">
        <v>0</v>
      </c>
      <c r="G72" s="6">
        <v>1</v>
      </c>
      <c r="H72" s="6">
        <v>143</v>
      </c>
      <c r="I72" s="6">
        <v>1</v>
      </c>
      <c r="J72" s="6">
        <v>0</v>
      </c>
      <c r="K72" s="6">
        <v>1</v>
      </c>
      <c r="L72" s="6">
        <v>2</v>
      </c>
    </row>
    <row r="73" spans="1:12" x14ac:dyDescent="0.25">
      <c r="A73" s="10">
        <v>65</v>
      </c>
      <c r="B73" s="6">
        <v>1</v>
      </c>
      <c r="C73" s="6">
        <v>0</v>
      </c>
      <c r="D73" s="6">
        <v>110</v>
      </c>
      <c r="E73" s="6">
        <v>248</v>
      </c>
      <c r="F73" s="6">
        <v>0</v>
      </c>
      <c r="G73" s="6">
        <v>0</v>
      </c>
      <c r="H73" s="6">
        <v>158</v>
      </c>
      <c r="I73" s="6">
        <v>0</v>
      </c>
      <c r="J73" s="6">
        <v>0.6</v>
      </c>
      <c r="K73" s="6">
        <v>2</v>
      </c>
      <c r="L73" s="6">
        <v>1</v>
      </c>
    </row>
    <row r="74" spans="1:12" x14ac:dyDescent="0.25">
      <c r="A74" s="11">
        <v>43</v>
      </c>
      <c r="B74" s="5">
        <v>1</v>
      </c>
      <c r="C74" s="5">
        <v>0</v>
      </c>
      <c r="D74" s="5">
        <v>132</v>
      </c>
      <c r="E74" s="5">
        <v>247</v>
      </c>
      <c r="F74" s="5">
        <v>1</v>
      </c>
      <c r="G74" s="5">
        <v>0</v>
      </c>
      <c r="H74" s="5">
        <v>143</v>
      </c>
      <c r="I74" s="5">
        <v>1</v>
      </c>
      <c r="J74" s="5">
        <v>0.1</v>
      </c>
      <c r="K74" s="5">
        <v>1</v>
      </c>
      <c r="L74" s="5">
        <v>3</v>
      </c>
    </row>
    <row r="75" spans="1:12" x14ac:dyDescent="0.25">
      <c r="A75" s="10">
        <v>64</v>
      </c>
      <c r="B75" s="6">
        <v>1</v>
      </c>
      <c r="C75" s="6">
        <v>0</v>
      </c>
      <c r="D75" s="6">
        <v>120</v>
      </c>
      <c r="E75" s="6">
        <v>246</v>
      </c>
      <c r="F75" s="6">
        <v>0</v>
      </c>
      <c r="G75" s="6">
        <v>0</v>
      </c>
      <c r="H75" s="6">
        <v>96</v>
      </c>
      <c r="I75" s="6">
        <v>1</v>
      </c>
      <c r="J75" s="6">
        <v>2.2000000000000002</v>
      </c>
      <c r="K75" s="6">
        <v>0</v>
      </c>
      <c r="L75" s="6">
        <v>2</v>
      </c>
    </row>
    <row r="76" spans="1:12" x14ac:dyDescent="0.25">
      <c r="A76" s="11">
        <v>66</v>
      </c>
      <c r="B76" s="5">
        <v>1</v>
      </c>
      <c r="C76" s="5">
        <v>1</v>
      </c>
      <c r="D76" s="5">
        <v>160</v>
      </c>
      <c r="E76" s="5">
        <v>246</v>
      </c>
      <c r="F76" s="5">
        <v>0</v>
      </c>
      <c r="G76" s="5">
        <v>1</v>
      </c>
      <c r="H76" s="5">
        <v>120</v>
      </c>
      <c r="I76" s="5">
        <v>1</v>
      </c>
      <c r="J76" s="5">
        <v>0</v>
      </c>
      <c r="K76" s="5">
        <v>1</v>
      </c>
      <c r="L76" s="5">
        <v>1</v>
      </c>
    </row>
    <row r="77" spans="1:12" x14ac:dyDescent="0.25">
      <c r="A77" s="11">
        <v>62</v>
      </c>
      <c r="B77" s="5">
        <v>0</v>
      </c>
      <c r="C77" s="5">
        <v>0</v>
      </c>
      <c r="D77" s="5">
        <v>150</v>
      </c>
      <c r="E77" s="5">
        <v>244</v>
      </c>
      <c r="F77" s="5">
        <v>0</v>
      </c>
      <c r="G77" s="5">
        <v>1</v>
      </c>
      <c r="H77" s="5">
        <v>154</v>
      </c>
      <c r="I77" s="5">
        <v>1</v>
      </c>
      <c r="J77" s="5">
        <v>1.4</v>
      </c>
      <c r="K77" s="5">
        <v>1</v>
      </c>
      <c r="L77" s="5">
        <v>2</v>
      </c>
    </row>
    <row r="78" spans="1:12" x14ac:dyDescent="0.25">
      <c r="A78" s="10">
        <v>50</v>
      </c>
      <c r="B78" s="6">
        <v>1</v>
      </c>
      <c r="C78" s="6">
        <v>0</v>
      </c>
      <c r="D78" s="6">
        <v>150</v>
      </c>
      <c r="E78" s="6">
        <v>243</v>
      </c>
      <c r="F78" s="6">
        <v>0</v>
      </c>
      <c r="G78" s="6">
        <v>0</v>
      </c>
      <c r="H78" s="6">
        <v>128</v>
      </c>
      <c r="I78" s="6">
        <v>0</v>
      </c>
      <c r="J78" s="6">
        <v>2.6</v>
      </c>
      <c r="K78" s="6">
        <v>1</v>
      </c>
      <c r="L78" s="6">
        <v>3</v>
      </c>
    </row>
    <row r="79" spans="1:12" x14ac:dyDescent="0.25">
      <c r="A79" s="10">
        <v>47</v>
      </c>
      <c r="B79" s="6">
        <v>1</v>
      </c>
      <c r="C79" s="6">
        <v>2</v>
      </c>
      <c r="D79" s="6">
        <v>108</v>
      </c>
      <c r="E79" s="6">
        <v>243</v>
      </c>
      <c r="F79" s="6">
        <v>0</v>
      </c>
      <c r="G79" s="6">
        <v>1</v>
      </c>
      <c r="H79" s="6">
        <v>152</v>
      </c>
      <c r="I79" s="6">
        <v>0</v>
      </c>
      <c r="J79" s="6">
        <v>0</v>
      </c>
      <c r="K79" s="6">
        <v>2</v>
      </c>
      <c r="L79" s="6">
        <v>2</v>
      </c>
    </row>
    <row r="80" spans="1:12" x14ac:dyDescent="0.25">
      <c r="A80" s="11">
        <v>57</v>
      </c>
      <c r="B80" s="5">
        <v>0</v>
      </c>
      <c r="C80" s="5">
        <v>0</v>
      </c>
      <c r="D80" s="5">
        <v>140</v>
      </c>
      <c r="E80" s="5">
        <v>241</v>
      </c>
      <c r="F80" s="5">
        <v>0</v>
      </c>
      <c r="G80" s="5">
        <v>1</v>
      </c>
      <c r="H80" s="5">
        <v>123</v>
      </c>
      <c r="I80" s="5">
        <v>1</v>
      </c>
      <c r="J80" s="5">
        <v>0.2</v>
      </c>
      <c r="K80" s="5">
        <v>1</v>
      </c>
      <c r="L80" s="5">
        <v>3</v>
      </c>
    </row>
    <row r="81" spans="1:12" x14ac:dyDescent="0.25">
      <c r="A81" s="10">
        <v>59</v>
      </c>
      <c r="B81" s="6">
        <v>1</v>
      </c>
      <c r="C81" s="6">
        <v>0</v>
      </c>
      <c r="D81" s="6">
        <v>110</v>
      </c>
      <c r="E81" s="6">
        <v>239</v>
      </c>
      <c r="F81" s="6">
        <v>0</v>
      </c>
      <c r="G81" s="6">
        <v>0</v>
      </c>
      <c r="H81" s="6">
        <v>142</v>
      </c>
      <c r="I81" s="6">
        <v>1</v>
      </c>
      <c r="J81" s="6">
        <v>1.2</v>
      </c>
      <c r="K81" s="6">
        <v>1</v>
      </c>
      <c r="L81" s="6">
        <v>3</v>
      </c>
    </row>
    <row r="82" spans="1:12" x14ac:dyDescent="0.25">
      <c r="A82" s="11">
        <v>54</v>
      </c>
      <c r="B82" s="5">
        <v>1</v>
      </c>
      <c r="C82" s="5">
        <v>0</v>
      </c>
      <c r="D82" s="5">
        <v>110</v>
      </c>
      <c r="E82" s="5">
        <v>239</v>
      </c>
      <c r="F82" s="5">
        <v>0</v>
      </c>
      <c r="G82" s="5">
        <v>1</v>
      </c>
      <c r="H82" s="5">
        <v>126</v>
      </c>
      <c r="I82" s="5">
        <v>1</v>
      </c>
      <c r="J82" s="5">
        <v>2.8</v>
      </c>
      <c r="K82" s="5">
        <v>1</v>
      </c>
      <c r="L82" s="5">
        <v>3</v>
      </c>
    </row>
    <row r="83" spans="1:12" x14ac:dyDescent="0.25">
      <c r="A83" s="11">
        <v>67</v>
      </c>
      <c r="B83" s="5">
        <v>1</v>
      </c>
      <c r="C83" s="5">
        <v>0</v>
      </c>
      <c r="D83" s="5">
        <v>120</v>
      </c>
      <c r="E83" s="5">
        <v>237</v>
      </c>
      <c r="F83" s="5">
        <v>0</v>
      </c>
      <c r="G83" s="5">
        <v>1</v>
      </c>
      <c r="H83" s="5">
        <v>71</v>
      </c>
      <c r="I83" s="5">
        <v>0</v>
      </c>
      <c r="J83" s="5">
        <v>1</v>
      </c>
      <c r="K83" s="5">
        <v>1</v>
      </c>
      <c r="L83" s="5">
        <v>2</v>
      </c>
    </row>
    <row r="84" spans="1:12" x14ac:dyDescent="0.25">
      <c r="A84" s="11">
        <v>57</v>
      </c>
      <c r="B84" s="5">
        <v>0</v>
      </c>
      <c r="C84" s="5">
        <v>1</v>
      </c>
      <c r="D84" s="5">
        <v>130</v>
      </c>
      <c r="E84" s="5">
        <v>236</v>
      </c>
      <c r="F84" s="5">
        <v>0</v>
      </c>
      <c r="G84" s="5">
        <v>0</v>
      </c>
      <c r="H84" s="5">
        <v>174</v>
      </c>
      <c r="I84" s="5">
        <v>0</v>
      </c>
      <c r="J84" s="5">
        <v>0</v>
      </c>
      <c r="K84" s="5">
        <v>1</v>
      </c>
      <c r="L84" s="5">
        <v>2</v>
      </c>
    </row>
    <row r="85" spans="1:12" x14ac:dyDescent="0.25">
      <c r="A85" s="10">
        <v>61</v>
      </c>
      <c r="B85" s="6">
        <v>1</v>
      </c>
      <c r="C85" s="6">
        <v>3</v>
      </c>
      <c r="D85" s="6">
        <v>134</v>
      </c>
      <c r="E85" s="6">
        <v>234</v>
      </c>
      <c r="F85" s="6">
        <v>0</v>
      </c>
      <c r="G85" s="6">
        <v>1</v>
      </c>
      <c r="H85" s="6">
        <v>145</v>
      </c>
      <c r="I85" s="6">
        <v>0</v>
      </c>
      <c r="J85" s="6">
        <v>2.6</v>
      </c>
      <c r="K85" s="6">
        <v>1</v>
      </c>
      <c r="L85" s="6">
        <v>2</v>
      </c>
    </row>
    <row r="86" spans="1:12" x14ac:dyDescent="0.25">
      <c r="A86" s="11">
        <v>58</v>
      </c>
      <c r="B86" s="5">
        <v>1</v>
      </c>
      <c r="C86" s="5">
        <v>0</v>
      </c>
      <c r="D86" s="5">
        <v>100</v>
      </c>
      <c r="E86" s="5">
        <v>234</v>
      </c>
      <c r="F86" s="5">
        <v>0</v>
      </c>
      <c r="G86" s="5">
        <v>1</v>
      </c>
      <c r="H86" s="5">
        <v>156</v>
      </c>
      <c r="I86" s="5">
        <v>0</v>
      </c>
      <c r="J86" s="5">
        <v>0.1</v>
      </c>
      <c r="K86" s="5">
        <v>2</v>
      </c>
      <c r="L86" s="5">
        <v>3</v>
      </c>
    </row>
    <row r="87" spans="1:12" x14ac:dyDescent="0.25">
      <c r="A87" s="10">
        <v>50</v>
      </c>
      <c r="B87" s="6">
        <v>1</v>
      </c>
      <c r="C87" s="6">
        <v>2</v>
      </c>
      <c r="D87" s="6">
        <v>140</v>
      </c>
      <c r="E87" s="6">
        <v>233</v>
      </c>
      <c r="F87" s="6">
        <v>0</v>
      </c>
      <c r="G87" s="6">
        <v>1</v>
      </c>
      <c r="H87" s="6">
        <v>163</v>
      </c>
      <c r="I87" s="6">
        <v>0</v>
      </c>
      <c r="J87" s="6">
        <v>0.6</v>
      </c>
      <c r="K87" s="6">
        <v>1</v>
      </c>
      <c r="L87" s="6">
        <v>3</v>
      </c>
    </row>
    <row r="88" spans="1:12" x14ac:dyDescent="0.25">
      <c r="A88" s="11">
        <v>57</v>
      </c>
      <c r="B88" s="5">
        <v>1</v>
      </c>
      <c r="C88" s="5">
        <v>1</v>
      </c>
      <c r="D88" s="5">
        <v>154</v>
      </c>
      <c r="E88" s="5">
        <v>232</v>
      </c>
      <c r="F88" s="5">
        <v>0</v>
      </c>
      <c r="G88" s="5">
        <v>0</v>
      </c>
      <c r="H88" s="5">
        <v>164</v>
      </c>
      <c r="I88" s="5">
        <v>0</v>
      </c>
      <c r="J88" s="5">
        <v>0</v>
      </c>
      <c r="K88" s="5">
        <v>2</v>
      </c>
      <c r="L88" s="5">
        <v>2</v>
      </c>
    </row>
    <row r="89" spans="1:12" x14ac:dyDescent="0.25">
      <c r="A89" s="11">
        <v>46</v>
      </c>
      <c r="B89" s="5">
        <v>1</v>
      </c>
      <c r="C89" s="5">
        <v>2</v>
      </c>
      <c r="D89" s="5">
        <v>150</v>
      </c>
      <c r="E89" s="5">
        <v>231</v>
      </c>
      <c r="F89" s="5">
        <v>0</v>
      </c>
      <c r="G89" s="5">
        <v>1</v>
      </c>
      <c r="H89" s="5">
        <v>147</v>
      </c>
      <c r="I89" s="5">
        <v>0</v>
      </c>
      <c r="J89" s="5">
        <v>3.6</v>
      </c>
      <c r="K89" s="5">
        <v>1</v>
      </c>
      <c r="L89" s="5">
        <v>2</v>
      </c>
    </row>
    <row r="90" spans="1:12" x14ac:dyDescent="0.25">
      <c r="A90" s="11">
        <v>38</v>
      </c>
      <c r="B90" s="5">
        <v>1</v>
      </c>
      <c r="C90" s="5">
        <v>3</v>
      </c>
      <c r="D90" s="5">
        <v>120</v>
      </c>
      <c r="E90" s="5">
        <v>231</v>
      </c>
      <c r="F90" s="5">
        <v>0</v>
      </c>
      <c r="G90" s="5">
        <v>1</v>
      </c>
      <c r="H90" s="5">
        <v>182</v>
      </c>
      <c r="I90" s="5">
        <v>1</v>
      </c>
      <c r="J90" s="5">
        <v>3.8</v>
      </c>
      <c r="K90" s="5">
        <v>1</v>
      </c>
      <c r="L90" s="5">
        <v>3</v>
      </c>
    </row>
    <row r="91" spans="1:12" x14ac:dyDescent="0.25">
      <c r="A91" s="10">
        <v>60</v>
      </c>
      <c r="B91" s="6">
        <v>1</v>
      </c>
      <c r="C91" s="6">
        <v>0</v>
      </c>
      <c r="D91" s="6">
        <v>117</v>
      </c>
      <c r="E91" s="6">
        <v>230</v>
      </c>
      <c r="F91" s="6">
        <v>1</v>
      </c>
      <c r="G91" s="6">
        <v>1</v>
      </c>
      <c r="H91" s="6">
        <v>160</v>
      </c>
      <c r="I91" s="6">
        <v>1</v>
      </c>
      <c r="J91" s="6">
        <v>1.4</v>
      </c>
      <c r="K91" s="6">
        <v>2</v>
      </c>
      <c r="L91" s="6">
        <v>3</v>
      </c>
    </row>
    <row r="92" spans="1:12" x14ac:dyDescent="0.25">
      <c r="A92" s="11">
        <v>58</v>
      </c>
      <c r="B92" s="5">
        <v>1</v>
      </c>
      <c r="C92" s="5">
        <v>2</v>
      </c>
      <c r="D92" s="5">
        <v>112</v>
      </c>
      <c r="E92" s="5">
        <v>230</v>
      </c>
      <c r="F92" s="5">
        <v>0</v>
      </c>
      <c r="G92" s="5">
        <v>0</v>
      </c>
      <c r="H92" s="5">
        <v>165</v>
      </c>
      <c r="I92" s="5">
        <v>0</v>
      </c>
      <c r="J92" s="5">
        <v>2.5</v>
      </c>
      <c r="K92" s="5">
        <v>1</v>
      </c>
      <c r="L92" s="5">
        <v>3</v>
      </c>
    </row>
    <row r="93" spans="1:12" x14ac:dyDescent="0.25">
      <c r="A93" s="10">
        <v>52</v>
      </c>
      <c r="B93" s="6">
        <v>1</v>
      </c>
      <c r="C93" s="6">
        <v>0</v>
      </c>
      <c r="D93" s="6">
        <v>112</v>
      </c>
      <c r="E93" s="6">
        <v>230</v>
      </c>
      <c r="F93" s="6">
        <v>0</v>
      </c>
      <c r="G93" s="6">
        <v>1</v>
      </c>
      <c r="H93" s="6">
        <v>160</v>
      </c>
      <c r="I93" s="6">
        <v>0</v>
      </c>
      <c r="J93" s="6">
        <v>0</v>
      </c>
      <c r="K93" s="6">
        <v>2</v>
      </c>
      <c r="L93" s="6">
        <v>2</v>
      </c>
    </row>
    <row r="94" spans="1:12" x14ac:dyDescent="0.25">
      <c r="A94" s="11">
        <v>57</v>
      </c>
      <c r="B94" s="5">
        <v>1</v>
      </c>
      <c r="C94" s="5">
        <v>2</v>
      </c>
      <c r="D94" s="5">
        <v>128</v>
      </c>
      <c r="E94" s="5">
        <v>229</v>
      </c>
      <c r="F94" s="5">
        <v>0</v>
      </c>
      <c r="G94" s="5">
        <v>0</v>
      </c>
      <c r="H94" s="5">
        <v>150</v>
      </c>
      <c r="I94" s="5">
        <v>0</v>
      </c>
      <c r="J94" s="5">
        <v>0.4</v>
      </c>
      <c r="K94" s="5">
        <v>1</v>
      </c>
      <c r="L94" s="5">
        <v>3</v>
      </c>
    </row>
    <row r="95" spans="1:12" x14ac:dyDescent="0.25">
      <c r="A95" s="10">
        <v>48</v>
      </c>
      <c r="B95" s="6">
        <v>1</v>
      </c>
      <c r="C95" s="6">
        <v>1</v>
      </c>
      <c r="D95" s="6">
        <v>110</v>
      </c>
      <c r="E95" s="6">
        <v>229</v>
      </c>
      <c r="F95" s="6">
        <v>0</v>
      </c>
      <c r="G95" s="6">
        <v>1</v>
      </c>
      <c r="H95" s="6">
        <v>168</v>
      </c>
      <c r="I95" s="6">
        <v>0</v>
      </c>
      <c r="J95" s="6">
        <v>1</v>
      </c>
      <c r="K95" s="6">
        <v>0</v>
      </c>
      <c r="L95" s="6">
        <v>3</v>
      </c>
    </row>
    <row r="96" spans="1:12" x14ac:dyDescent="0.25">
      <c r="A96" s="10">
        <v>67</v>
      </c>
      <c r="B96" s="6">
        <v>1</v>
      </c>
      <c r="C96" s="6">
        <v>0</v>
      </c>
      <c r="D96" s="6">
        <v>120</v>
      </c>
      <c r="E96" s="6">
        <v>229</v>
      </c>
      <c r="F96" s="6">
        <v>0</v>
      </c>
      <c r="G96" s="6">
        <v>0</v>
      </c>
      <c r="H96" s="6">
        <v>129</v>
      </c>
      <c r="I96" s="6">
        <v>1</v>
      </c>
      <c r="J96" s="6">
        <v>2.6</v>
      </c>
      <c r="K96" s="6">
        <v>1</v>
      </c>
      <c r="L96" s="6">
        <v>3</v>
      </c>
    </row>
    <row r="97" spans="1:12" x14ac:dyDescent="0.25">
      <c r="A97" s="11">
        <v>66</v>
      </c>
      <c r="B97" s="5">
        <v>0</v>
      </c>
      <c r="C97" s="5">
        <v>0</v>
      </c>
      <c r="D97" s="5">
        <v>178</v>
      </c>
      <c r="E97" s="5">
        <v>228</v>
      </c>
      <c r="F97" s="5">
        <v>1</v>
      </c>
      <c r="G97" s="5">
        <v>1</v>
      </c>
      <c r="H97" s="5">
        <v>165</v>
      </c>
      <c r="I97" s="5">
        <v>1</v>
      </c>
      <c r="J97" s="5">
        <v>1</v>
      </c>
      <c r="K97" s="5">
        <v>1</v>
      </c>
      <c r="L97" s="5">
        <v>3</v>
      </c>
    </row>
    <row r="98" spans="1:12" x14ac:dyDescent="0.25">
      <c r="A98" s="11">
        <v>58</v>
      </c>
      <c r="B98" s="5">
        <v>0</v>
      </c>
      <c r="C98" s="5">
        <v>0</v>
      </c>
      <c r="D98" s="5">
        <v>170</v>
      </c>
      <c r="E98" s="5">
        <v>225</v>
      </c>
      <c r="F98" s="5">
        <v>1</v>
      </c>
      <c r="G98" s="5">
        <v>0</v>
      </c>
      <c r="H98" s="5">
        <v>146</v>
      </c>
      <c r="I98" s="5">
        <v>1</v>
      </c>
      <c r="J98" s="5">
        <v>2.8</v>
      </c>
      <c r="K98" s="5">
        <v>1</v>
      </c>
      <c r="L98" s="5">
        <v>1</v>
      </c>
    </row>
    <row r="99" spans="1:12" x14ac:dyDescent="0.25">
      <c r="A99" s="11">
        <v>65</v>
      </c>
      <c r="B99" s="5">
        <v>0</v>
      </c>
      <c r="C99" s="5">
        <v>0</v>
      </c>
      <c r="D99" s="5">
        <v>150</v>
      </c>
      <c r="E99" s="5">
        <v>225</v>
      </c>
      <c r="F99" s="5">
        <v>0</v>
      </c>
      <c r="G99" s="5">
        <v>0</v>
      </c>
      <c r="H99" s="5">
        <v>114</v>
      </c>
      <c r="I99" s="5">
        <v>0</v>
      </c>
      <c r="J99" s="5">
        <v>1</v>
      </c>
      <c r="K99" s="5">
        <v>1</v>
      </c>
      <c r="L99" s="5">
        <v>3</v>
      </c>
    </row>
    <row r="100" spans="1:12" x14ac:dyDescent="0.25">
      <c r="A100" s="11">
        <v>58</v>
      </c>
      <c r="B100" s="5">
        <v>1</v>
      </c>
      <c r="C100" s="5">
        <v>2</v>
      </c>
      <c r="D100" s="5">
        <v>132</v>
      </c>
      <c r="E100" s="5">
        <v>224</v>
      </c>
      <c r="F100" s="5">
        <v>0</v>
      </c>
      <c r="G100" s="5">
        <v>0</v>
      </c>
      <c r="H100" s="5">
        <v>173</v>
      </c>
      <c r="I100" s="5">
        <v>0</v>
      </c>
      <c r="J100" s="5">
        <v>3.2</v>
      </c>
      <c r="K100" s="5">
        <v>2</v>
      </c>
      <c r="L100" s="5">
        <v>3</v>
      </c>
    </row>
    <row r="101" spans="1:12" x14ac:dyDescent="0.25">
      <c r="A101" s="11">
        <v>40</v>
      </c>
      <c r="B101" s="5">
        <v>1</v>
      </c>
      <c r="C101" s="5">
        <v>0</v>
      </c>
      <c r="D101" s="5">
        <v>152</v>
      </c>
      <c r="E101" s="5">
        <v>223</v>
      </c>
      <c r="F101" s="5">
        <v>0</v>
      </c>
      <c r="G101" s="5">
        <v>1</v>
      </c>
      <c r="H101" s="5">
        <v>181</v>
      </c>
      <c r="I101" s="5">
        <v>0</v>
      </c>
      <c r="J101" s="5">
        <v>0</v>
      </c>
      <c r="K101" s="5">
        <v>2</v>
      </c>
      <c r="L101" s="5">
        <v>3</v>
      </c>
    </row>
    <row r="102" spans="1:12" x14ac:dyDescent="0.25">
      <c r="A102" s="11">
        <v>39</v>
      </c>
      <c r="B102" s="5">
        <v>1</v>
      </c>
      <c r="C102" s="5">
        <v>0</v>
      </c>
      <c r="D102" s="5">
        <v>118</v>
      </c>
      <c r="E102" s="5">
        <v>219</v>
      </c>
      <c r="F102" s="5">
        <v>0</v>
      </c>
      <c r="G102" s="5">
        <v>1</v>
      </c>
      <c r="H102" s="5">
        <v>140</v>
      </c>
      <c r="I102" s="5">
        <v>0</v>
      </c>
      <c r="J102" s="5">
        <v>1.2</v>
      </c>
      <c r="K102" s="5">
        <v>1</v>
      </c>
      <c r="L102" s="5">
        <v>3</v>
      </c>
    </row>
    <row r="103" spans="1:12" x14ac:dyDescent="0.25">
      <c r="A103" s="11">
        <v>59</v>
      </c>
      <c r="B103" s="5">
        <v>1</v>
      </c>
      <c r="C103" s="5">
        <v>2</v>
      </c>
      <c r="D103" s="5">
        <v>126</v>
      </c>
      <c r="E103" s="5">
        <v>218</v>
      </c>
      <c r="F103" s="5">
        <v>1</v>
      </c>
      <c r="G103" s="5">
        <v>1</v>
      </c>
      <c r="H103" s="5">
        <v>134</v>
      </c>
      <c r="I103" s="5">
        <v>0</v>
      </c>
      <c r="J103" s="5">
        <v>2.2000000000000002</v>
      </c>
      <c r="K103" s="5">
        <v>1</v>
      </c>
      <c r="L103" s="5">
        <v>1</v>
      </c>
    </row>
    <row r="104" spans="1:12" x14ac:dyDescent="0.25">
      <c r="A104" s="10">
        <v>58</v>
      </c>
      <c r="B104" s="6">
        <v>1</v>
      </c>
      <c r="C104" s="6">
        <v>0</v>
      </c>
      <c r="D104" s="6">
        <v>146</v>
      </c>
      <c r="E104" s="6">
        <v>218</v>
      </c>
      <c r="F104" s="6">
        <v>0</v>
      </c>
      <c r="G104" s="6">
        <v>1</v>
      </c>
      <c r="H104" s="6">
        <v>105</v>
      </c>
      <c r="I104" s="6">
        <v>0</v>
      </c>
      <c r="J104" s="6">
        <v>2</v>
      </c>
      <c r="K104" s="6">
        <v>1</v>
      </c>
      <c r="L104" s="6">
        <v>3</v>
      </c>
    </row>
    <row r="105" spans="1:12" x14ac:dyDescent="0.25">
      <c r="A105" s="11">
        <v>55</v>
      </c>
      <c r="B105" s="5">
        <v>1</v>
      </c>
      <c r="C105" s="5">
        <v>0</v>
      </c>
      <c r="D105" s="5">
        <v>140</v>
      </c>
      <c r="E105" s="5">
        <v>217</v>
      </c>
      <c r="F105" s="5">
        <v>0</v>
      </c>
      <c r="G105" s="5">
        <v>1</v>
      </c>
      <c r="H105" s="5">
        <v>111</v>
      </c>
      <c r="I105" s="5">
        <v>1</v>
      </c>
      <c r="J105" s="5">
        <v>5.6</v>
      </c>
      <c r="K105" s="5">
        <v>0</v>
      </c>
      <c r="L105" s="5">
        <v>3</v>
      </c>
    </row>
    <row r="106" spans="1:12" x14ac:dyDescent="0.25">
      <c r="A106" s="11">
        <v>58</v>
      </c>
      <c r="B106" s="5">
        <v>1</v>
      </c>
      <c r="C106" s="5">
        <v>0</v>
      </c>
      <c r="D106" s="5">
        <v>128</v>
      </c>
      <c r="E106" s="5">
        <v>216</v>
      </c>
      <c r="F106" s="5">
        <v>0</v>
      </c>
      <c r="G106" s="5">
        <v>0</v>
      </c>
      <c r="H106" s="5">
        <v>131</v>
      </c>
      <c r="I106" s="5">
        <v>1</v>
      </c>
      <c r="J106" s="5">
        <v>2.2000000000000002</v>
      </c>
      <c r="K106" s="5">
        <v>1</v>
      </c>
      <c r="L106" s="5">
        <v>3</v>
      </c>
    </row>
    <row r="107" spans="1:12" x14ac:dyDescent="0.25">
      <c r="A107" s="10">
        <v>52</v>
      </c>
      <c r="B107" s="6">
        <v>1</v>
      </c>
      <c r="C107" s="6">
        <v>0</v>
      </c>
      <c r="D107" s="6">
        <v>125</v>
      </c>
      <c r="E107" s="6">
        <v>212</v>
      </c>
      <c r="F107" s="6">
        <v>0</v>
      </c>
      <c r="G107" s="6">
        <v>1</v>
      </c>
      <c r="H107" s="6">
        <v>168</v>
      </c>
      <c r="I107" s="6">
        <v>0</v>
      </c>
      <c r="J107" s="6">
        <v>1</v>
      </c>
      <c r="K107" s="6">
        <v>2</v>
      </c>
      <c r="L107" s="6">
        <v>3</v>
      </c>
    </row>
    <row r="108" spans="1:12" x14ac:dyDescent="0.25">
      <c r="A108" s="11">
        <v>67</v>
      </c>
      <c r="B108" s="5">
        <v>1</v>
      </c>
      <c r="C108" s="5">
        <v>2</v>
      </c>
      <c r="D108" s="5">
        <v>152</v>
      </c>
      <c r="E108" s="5">
        <v>212</v>
      </c>
      <c r="F108" s="5">
        <v>0</v>
      </c>
      <c r="G108" s="5">
        <v>0</v>
      </c>
      <c r="H108" s="5">
        <v>150</v>
      </c>
      <c r="I108" s="5">
        <v>0</v>
      </c>
      <c r="J108" s="5">
        <v>0.8</v>
      </c>
      <c r="K108" s="5">
        <v>1</v>
      </c>
      <c r="L108" s="5">
        <v>3</v>
      </c>
    </row>
    <row r="109" spans="1:12" x14ac:dyDescent="0.25">
      <c r="A109" s="10">
        <v>64</v>
      </c>
      <c r="B109" s="6">
        <v>1</v>
      </c>
      <c r="C109" s="6">
        <v>0</v>
      </c>
      <c r="D109" s="6">
        <v>145</v>
      </c>
      <c r="E109" s="6">
        <v>212</v>
      </c>
      <c r="F109" s="6">
        <v>0</v>
      </c>
      <c r="G109" s="6">
        <v>0</v>
      </c>
      <c r="H109" s="6">
        <v>132</v>
      </c>
      <c r="I109" s="6">
        <v>0</v>
      </c>
      <c r="J109" s="6">
        <v>2</v>
      </c>
      <c r="K109" s="6">
        <v>1</v>
      </c>
      <c r="L109" s="6">
        <v>1</v>
      </c>
    </row>
    <row r="110" spans="1:12" x14ac:dyDescent="0.25">
      <c r="A110" s="11">
        <v>66</v>
      </c>
      <c r="B110" s="5">
        <v>1</v>
      </c>
      <c r="C110" s="5">
        <v>0</v>
      </c>
      <c r="D110" s="5">
        <v>112</v>
      </c>
      <c r="E110" s="5">
        <v>212</v>
      </c>
      <c r="F110" s="5">
        <v>0</v>
      </c>
      <c r="G110" s="5">
        <v>0</v>
      </c>
      <c r="H110" s="5">
        <v>132</v>
      </c>
      <c r="I110" s="5">
        <v>1</v>
      </c>
      <c r="J110" s="5">
        <v>0.1</v>
      </c>
      <c r="K110" s="5">
        <v>2</v>
      </c>
      <c r="L110" s="5">
        <v>2</v>
      </c>
    </row>
    <row r="111" spans="1:12" x14ac:dyDescent="0.25">
      <c r="A111" s="11">
        <v>61</v>
      </c>
      <c r="B111" s="5">
        <v>1</v>
      </c>
      <c r="C111" s="5">
        <v>0</v>
      </c>
      <c r="D111" s="5">
        <v>140</v>
      </c>
      <c r="E111" s="5">
        <v>207</v>
      </c>
      <c r="F111" s="5">
        <v>0</v>
      </c>
      <c r="G111" s="5">
        <v>0</v>
      </c>
      <c r="H111" s="5">
        <v>138</v>
      </c>
      <c r="I111" s="5">
        <v>1</v>
      </c>
      <c r="J111" s="5">
        <v>1.9</v>
      </c>
      <c r="K111" s="5">
        <v>2</v>
      </c>
      <c r="L111" s="5">
        <v>3</v>
      </c>
    </row>
    <row r="112" spans="1:12" x14ac:dyDescent="0.25">
      <c r="A112" s="11">
        <v>54</v>
      </c>
      <c r="B112" s="5">
        <v>1</v>
      </c>
      <c r="C112" s="5">
        <v>0</v>
      </c>
      <c r="D112" s="5">
        <v>110</v>
      </c>
      <c r="E112" s="5">
        <v>206</v>
      </c>
      <c r="F112" s="5">
        <v>0</v>
      </c>
      <c r="G112" s="5">
        <v>0</v>
      </c>
      <c r="H112" s="5">
        <v>108</v>
      </c>
      <c r="I112" s="5">
        <v>1</v>
      </c>
      <c r="J112" s="5">
        <v>0</v>
      </c>
      <c r="K112" s="5">
        <v>1</v>
      </c>
      <c r="L112" s="5">
        <v>2</v>
      </c>
    </row>
    <row r="113" spans="1:12" x14ac:dyDescent="0.25">
      <c r="A113" s="11">
        <v>60</v>
      </c>
      <c r="B113" s="5">
        <v>1</v>
      </c>
      <c r="C113" s="5">
        <v>0</v>
      </c>
      <c r="D113" s="5">
        <v>130</v>
      </c>
      <c r="E113" s="5">
        <v>206</v>
      </c>
      <c r="F113" s="5">
        <v>0</v>
      </c>
      <c r="G113" s="5">
        <v>0</v>
      </c>
      <c r="H113" s="5">
        <v>132</v>
      </c>
      <c r="I113" s="5">
        <v>1</v>
      </c>
      <c r="J113" s="5">
        <v>2.4</v>
      </c>
      <c r="K113" s="5">
        <v>1</v>
      </c>
      <c r="L113" s="5">
        <v>3</v>
      </c>
    </row>
    <row r="114" spans="1:12" x14ac:dyDescent="0.25">
      <c r="A114" s="11">
        <v>55</v>
      </c>
      <c r="B114" s="5">
        <v>0</v>
      </c>
      <c r="C114" s="5">
        <v>0</v>
      </c>
      <c r="D114" s="5">
        <v>128</v>
      </c>
      <c r="E114" s="5">
        <v>205</v>
      </c>
      <c r="F114" s="5">
        <v>0</v>
      </c>
      <c r="G114" s="5">
        <v>2</v>
      </c>
      <c r="H114" s="5">
        <v>130</v>
      </c>
      <c r="I114" s="5">
        <v>1</v>
      </c>
      <c r="J114" s="5">
        <v>2</v>
      </c>
      <c r="K114" s="5">
        <v>1</v>
      </c>
      <c r="L114" s="5">
        <v>3</v>
      </c>
    </row>
    <row r="115" spans="1:12" x14ac:dyDescent="0.25">
      <c r="A115" s="11">
        <v>52</v>
      </c>
      <c r="B115" s="5">
        <v>1</v>
      </c>
      <c r="C115" s="5">
        <v>0</v>
      </c>
      <c r="D115" s="5">
        <v>128</v>
      </c>
      <c r="E115" s="5">
        <v>204</v>
      </c>
      <c r="F115" s="5">
        <v>1</v>
      </c>
      <c r="G115" s="5">
        <v>1</v>
      </c>
      <c r="H115" s="5">
        <v>156</v>
      </c>
      <c r="I115" s="5">
        <v>1</v>
      </c>
      <c r="J115" s="5">
        <v>1</v>
      </c>
      <c r="K115" s="5">
        <v>1</v>
      </c>
      <c r="L115" s="5">
        <v>0</v>
      </c>
    </row>
    <row r="116" spans="1:12" x14ac:dyDescent="0.25">
      <c r="A116" s="10">
        <v>59</v>
      </c>
      <c r="B116" s="6">
        <v>1</v>
      </c>
      <c r="C116" s="6">
        <v>3</v>
      </c>
      <c r="D116" s="6">
        <v>134</v>
      </c>
      <c r="E116" s="6">
        <v>204</v>
      </c>
      <c r="F116" s="6">
        <v>0</v>
      </c>
      <c r="G116" s="6">
        <v>1</v>
      </c>
      <c r="H116" s="6">
        <v>162</v>
      </c>
      <c r="I116" s="6">
        <v>0</v>
      </c>
      <c r="J116" s="6">
        <v>0.8</v>
      </c>
      <c r="K116" s="6">
        <v>2</v>
      </c>
      <c r="L116" s="6">
        <v>2</v>
      </c>
    </row>
    <row r="117" spans="1:12" x14ac:dyDescent="0.25">
      <c r="A117" s="11">
        <v>53</v>
      </c>
      <c r="B117" s="5">
        <v>1</v>
      </c>
      <c r="C117" s="5">
        <v>0</v>
      </c>
      <c r="D117" s="5">
        <v>140</v>
      </c>
      <c r="E117" s="5">
        <v>203</v>
      </c>
      <c r="F117" s="5">
        <v>1</v>
      </c>
      <c r="G117" s="5">
        <v>0</v>
      </c>
      <c r="H117" s="5">
        <v>155</v>
      </c>
      <c r="I117" s="5">
        <v>1</v>
      </c>
      <c r="J117" s="5">
        <v>3.1</v>
      </c>
      <c r="K117" s="5">
        <v>0</v>
      </c>
      <c r="L117" s="5">
        <v>3</v>
      </c>
    </row>
    <row r="118" spans="1:12" x14ac:dyDescent="0.25">
      <c r="A118" s="10">
        <v>61</v>
      </c>
      <c r="B118" s="6">
        <v>1</v>
      </c>
      <c r="C118" s="6">
        <v>0</v>
      </c>
      <c r="D118" s="6">
        <v>148</v>
      </c>
      <c r="E118" s="6">
        <v>203</v>
      </c>
      <c r="F118" s="6">
        <v>0</v>
      </c>
      <c r="G118" s="6">
        <v>1</v>
      </c>
      <c r="H118" s="6">
        <v>161</v>
      </c>
      <c r="I118" s="6">
        <v>0</v>
      </c>
      <c r="J118" s="6">
        <v>0</v>
      </c>
      <c r="K118" s="6">
        <v>2</v>
      </c>
      <c r="L118" s="6">
        <v>3</v>
      </c>
    </row>
    <row r="119" spans="1:12" x14ac:dyDescent="0.25">
      <c r="A119" s="11">
        <v>50</v>
      </c>
      <c r="B119" s="5">
        <v>1</v>
      </c>
      <c r="C119" s="5">
        <v>0</v>
      </c>
      <c r="D119" s="5">
        <v>144</v>
      </c>
      <c r="E119" s="5">
        <v>200</v>
      </c>
      <c r="F119" s="5">
        <v>0</v>
      </c>
      <c r="G119" s="5">
        <v>0</v>
      </c>
      <c r="H119" s="5">
        <v>126</v>
      </c>
      <c r="I119" s="5">
        <v>1</v>
      </c>
      <c r="J119" s="5">
        <v>0.9</v>
      </c>
      <c r="K119" s="5">
        <v>1</v>
      </c>
      <c r="L119" s="5">
        <v>3</v>
      </c>
    </row>
    <row r="120" spans="1:12" x14ac:dyDescent="0.25">
      <c r="A120" s="10">
        <v>35</v>
      </c>
      <c r="B120" s="6">
        <v>1</v>
      </c>
      <c r="C120" s="6">
        <v>0</v>
      </c>
      <c r="D120" s="6">
        <v>120</v>
      </c>
      <c r="E120" s="6">
        <v>198</v>
      </c>
      <c r="F120" s="6">
        <v>0</v>
      </c>
      <c r="G120" s="6">
        <v>1</v>
      </c>
      <c r="H120" s="6">
        <v>130</v>
      </c>
      <c r="I120" s="6">
        <v>1</v>
      </c>
      <c r="J120" s="6">
        <v>1.6</v>
      </c>
      <c r="K120" s="6">
        <v>1</v>
      </c>
      <c r="L120" s="6">
        <v>3</v>
      </c>
    </row>
    <row r="121" spans="1:12" x14ac:dyDescent="0.25">
      <c r="A121" s="10">
        <v>44</v>
      </c>
      <c r="B121" s="6">
        <v>1</v>
      </c>
      <c r="C121" s="6">
        <v>0</v>
      </c>
      <c r="D121" s="6">
        <v>110</v>
      </c>
      <c r="E121" s="6">
        <v>197</v>
      </c>
      <c r="F121" s="6">
        <v>0</v>
      </c>
      <c r="G121" s="6">
        <v>0</v>
      </c>
      <c r="H121" s="6">
        <v>177</v>
      </c>
      <c r="I121" s="6">
        <v>0</v>
      </c>
      <c r="J121" s="6">
        <v>0</v>
      </c>
      <c r="K121" s="6">
        <v>2</v>
      </c>
      <c r="L121" s="6">
        <v>2</v>
      </c>
    </row>
    <row r="122" spans="1:12" x14ac:dyDescent="0.25">
      <c r="A122" s="11">
        <v>63</v>
      </c>
      <c r="B122" s="5">
        <v>0</v>
      </c>
      <c r="C122" s="5">
        <v>0</v>
      </c>
      <c r="D122" s="5">
        <v>124</v>
      </c>
      <c r="E122" s="5">
        <v>197</v>
      </c>
      <c r="F122" s="5">
        <v>0</v>
      </c>
      <c r="G122" s="5">
        <v>1</v>
      </c>
      <c r="H122" s="5">
        <v>136</v>
      </c>
      <c r="I122" s="5">
        <v>1</v>
      </c>
      <c r="J122" s="5">
        <v>0</v>
      </c>
      <c r="K122" s="5">
        <v>1</v>
      </c>
      <c r="L122" s="5">
        <v>2</v>
      </c>
    </row>
    <row r="123" spans="1:12" x14ac:dyDescent="0.25">
      <c r="A123" s="10">
        <v>68</v>
      </c>
      <c r="B123" s="6">
        <v>1</v>
      </c>
      <c r="C123" s="6">
        <v>0</v>
      </c>
      <c r="D123" s="6">
        <v>144</v>
      </c>
      <c r="E123" s="6">
        <v>193</v>
      </c>
      <c r="F123" s="6">
        <v>1</v>
      </c>
      <c r="G123" s="6">
        <v>1</v>
      </c>
      <c r="H123" s="6">
        <v>141</v>
      </c>
      <c r="I123" s="6">
        <v>0</v>
      </c>
      <c r="J123" s="6">
        <v>3.4</v>
      </c>
      <c r="K123" s="6">
        <v>1</v>
      </c>
      <c r="L123" s="6">
        <v>3</v>
      </c>
    </row>
    <row r="124" spans="1:12" x14ac:dyDescent="0.25">
      <c r="A124" s="11">
        <v>49</v>
      </c>
      <c r="B124" s="5">
        <v>1</v>
      </c>
      <c r="C124" s="5">
        <v>2</v>
      </c>
      <c r="D124" s="5">
        <v>120</v>
      </c>
      <c r="E124" s="5">
        <v>188</v>
      </c>
      <c r="F124" s="5">
        <v>0</v>
      </c>
      <c r="G124" s="5">
        <v>1</v>
      </c>
      <c r="H124" s="5">
        <v>139</v>
      </c>
      <c r="I124" s="5">
        <v>0</v>
      </c>
      <c r="J124" s="5">
        <v>2</v>
      </c>
      <c r="K124" s="5">
        <v>1</v>
      </c>
      <c r="L124" s="5">
        <v>3</v>
      </c>
    </row>
    <row r="125" spans="1:12" x14ac:dyDescent="0.25">
      <c r="A125" s="10">
        <v>54</v>
      </c>
      <c r="B125" s="6">
        <v>1</v>
      </c>
      <c r="C125" s="6">
        <v>0</v>
      </c>
      <c r="D125" s="6">
        <v>120</v>
      </c>
      <c r="E125" s="6">
        <v>188</v>
      </c>
      <c r="F125" s="6">
        <v>0</v>
      </c>
      <c r="G125" s="6">
        <v>1</v>
      </c>
      <c r="H125" s="6">
        <v>113</v>
      </c>
      <c r="I125" s="6">
        <v>0</v>
      </c>
      <c r="J125" s="6">
        <v>1.4</v>
      </c>
      <c r="K125" s="6">
        <v>1</v>
      </c>
      <c r="L125" s="6">
        <v>3</v>
      </c>
    </row>
    <row r="126" spans="1:12" x14ac:dyDescent="0.25">
      <c r="A126" s="10">
        <v>63</v>
      </c>
      <c r="B126" s="6">
        <v>1</v>
      </c>
      <c r="C126" s="6">
        <v>0</v>
      </c>
      <c r="D126" s="6">
        <v>140</v>
      </c>
      <c r="E126" s="6">
        <v>187</v>
      </c>
      <c r="F126" s="6">
        <v>0</v>
      </c>
      <c r="G126" s="6">
        <v>0</v>
      </c>
      <c r="H126" s="6">
        <v>144</v>
      </c>
      <c r="I126" s="6">
        <v>1</v>
      </c>
      <c r="J126" s="6">
        <v>4</v>
      </c>
      <c r="K126" s="6">
        <v>2</v>
      </c>
      <c r="L126" s="6">
        <v>3</v>
      </c>
    </row>
    <row r="127" spans="1:12" x14ac:dyDescent="0.25">
      <c r="A127" s="10">
        <v>60</v>
      </c>
      <c r="B127" s="6">
        <v>1</v>
      </c>
      <c r="C127" s="6">
        <v>2</v>
      </c>
      <c r="D127" s="6">
        <v>140</v>
      </c>
      <c r="E127" s="6">
        <v>185</v>
      </c>
      <c r="F127" s="6">
        <v>0</v>
      </c>
      <c r="G127" s="6">
        <v>0</v>
      </c>
      <c r="H127" s="6">
        <v>155</v>
      </c>
      <c r="I127" s="6">
        <v>0</v>
      </c>
      <c r="J127" s="6">
        <v>3</v>
      </c>
      <c r="K127" s="6">
        <v>1</v>
      </c>
      <c r="L127" s="6">
        <v>2</v>
      </c>
    </row>
    <row r="128" spans="1:12" x14ac:dyDescent="0.25">
      <c r="A128" s="11">
        <v>56</v>
      </c>
      <c r="B128" s="5">
        <v>1</v>
      </c>
      <c r="C128" s="5">
        <v>0</v>
      </c>
      <c r="D128" s="5">
        <v>132</v>
      </c>
      <c r="E128" s="5">
        <v>184</v>
      </c>
      <c r="F128" s="5">
        <v>0</v>
      </c>
      <c r="G128" s="5">
        <v>0</v>
      </c>
      <c r="H128" s="5">
        <v>105</v>
      </c>
      <c r="I128" s="5">
        <v>1</v>
      </c>
      <c r="J128" s="5">
        <v>2.1</v>
      </c>
      <c r="K128" s="5">
        <v>1</v>
      </c>
      <c r="L128" s="5">
        <v>1</v>
      </c>
    </row>
    <row r="129" spans="1:12" x14ac:dyDescent="0.25">
      <c r="A129" s="10">
        <v>59</v>
      </c>
      <c r="B129" s="6">
        <v>1</v>
      </c>
      <c r="C129" s="6">
        <v>0</v>
      </c>
      <c r="D129" s="6">
        <v>140</v>
      </c>
      <c r="E129" s="6">
        <v>177</v>
      </c>
      <c r="F129" s="6">
        <v>0</v>
      </c>
      <c r="G129" s="6">
        <v>1</v>
      </c>
      <c r="H129" s="6">
        <v>162</v>
      </c>
      <c r="I129" s="6">
        <v>1</v>
      </c>
      <c r="J129" s="6">
        <v>0</v>
      </c>
      <c r="K129" s="6">
        <v>2</v>
      </c>
      <c r="L129" s="6">
        <v>3</v>
      </c>
    </row>
    <row r="130" spans="1:12" x14ac:dyDescent="0.25">
      <c r="A130" s="11">
        <v>43</v>
      </c>
      <c r="B130" s="5">
        <v>1</v>
      </c>
      <c r="C130" s="5">
        <v>0</v>
      </c>
      <c r="D130" s="5">
        <v>120</v>
      </c>
      <c r="E130" s="5">
        <v>177</v>
      </c>
      <c r="F130" s="5">
        <v>0</v>
      </c>
      <c r="G130" s="5">
        <v>0</v>
      </c>
      <c r="H130" s="5">
        <v>120</v>
      </c>
      <c r="I130" s="5">
        <v>1</v>
      </c>
      <c r="J130" s="5">
        <v>2.5</v>
      </c>
      <c r="K130" s="5">
        <v>1</v>
      </c>
      <c r="L130" s="5">
        <v>3</v>
      </c>
    </row>
    <row r="131" spans="1:12" x14ac:dyDescent="0.25">
      <c r="A131" s="10">
        <v>59</v>
      </c>
      <c r="B131" s="6">
        <v>1</v>
      </c>
      <c r="C131" s="6">
        <v>0</v>
      </c>
      <c r="D131" s="6">
        <v>164</v>
      </c>
      <c r="E131" s="6">
        <v>176</v>
      </c>
      <c r="F131" s="6">
        <v>1</v>
      </c>
      <c r="G131" s="6">
        <v>0</v>
      </c>
      <c r="H131" s="6">
        <v>90</v>
      </c>
      <c r="I131" s="6">
        <v>0</v>
      </c>
      <c r="J131" s="6">
        <v>1</v>
      </c>
      <c r="K131" s="6">
        <v>1</v>
      </c>
      <c r="L131" s="6">
        <v>1</v>
      </c>
    </row>
    <row r="132" spans="1:12" x14ac:dyDescent="0.25">
      <c r="A132" s="11">
        <v>70</v>
      </c>
      <c r="B132" s="5">
        <v>1</v>
      </c>
      <c r="C132" s="5">
        <v>0</v>
      </c>
      <c r="D132" s="5">
        <v>145</v>
      </c>
      <c r="E132" s="5">
        <v>174</v>
      </c>
      <c r="F132" s="5">
        <v>0</v>
      </c>
      <c r="G132" s="5">
        <v>1</v>
      </c>
      <c r="H132" s="5">
        <v>125</v>
      </c>
      <c r="I132" s="5">
        <v>1</v>
      </c>
      <c r="J132" s="5">
        <v>2.6</v>
      </c>
      <c r="K132" s="5">
        <v>0</v>
      </c>
      <c r="L132" s="5">
        <v>3</v>
      </c>
    </row>
    <row r="133" spans="1:12" x14ac:dyDescent="0.25">
      <c r="A133" s="11">
        <v>41</v>
      </c>
      <c r="B133" s="5">
        <v>1</v>
      </c>
      <c r="C133" s="5">
        <v>0</v>
      </c>
      <c r="D133" s="5">
        <v>110</v>
      </c>
      <c r="E133" s="5">
        <v>172</v>
      </c>
      <c r="F133" s="5">
        <v>0</v>
      </c>
      <c r="G133" s="5">
        <v>0</v>
      </c>
      <c r="H133" s="5">
        <v>158</v>
      </c>
      <c r="I133" s="5">
        <v>0</v>
      </c>
      <c r="J133" s="5">
        <v>0</v>
      </c>
      <c r="K133" s="5">
        <v>2</v>
      </c>
      <c r="L133" s="5">
        <v>3</v>
      </c>
    </row>
    <row r="134" spans="1:12" x14ac:dyDescent="0.25">
      <c r="A134" s="10">
        <v>44</v>
      </c>
      <c r="B134" s="6">
        <v>1</v>
      </c>
      <c r="C134" s="6">
        <v>0</v>
      </c>
      <c r="D134" s="6">
        <v>120</v>
      </c>
      <c r="E134" s="6">
        <v>169</v>
      </c>
      <c r="F134" s="6">
        <v>0</v>
      </c>
      <c r="G134" s="6">
        <v>1</v>
      </c>
      <c r="H134" s="6">
        <v>144</v>
      </c>
      <c r="I134" s="6">
        <v>1</v>
      </c>
      <c r="J134" s="6">
        <v>2.8</v>
      </c>
      <c r="K134" s="6">
        <v>0</v>
      </c>
      <c r="L134" s="6">
        <v>1</v>
      </c>
    </row>
    <row r="135" spans="1:12" x14ac:dyDescent="0.25">
      <c r="A135" s="10">
        <v>40</v>
      </c>
      <c r="B135" s="6">
        <v>1</v>
      </c>
      <c r="C135" s="6">
        <v>0</v>
      </c>
      <c r="D135" s="6">
        <v>110</v>
      </c>
      <c r="E135" s="6">
        <v>167</v>
      </c>
      <c r="F135" s="6">
        <v>0</v>
      </c>
      <c r="G135" s="6">
        <v>0</v>
      </c>
      <c r="H135" s="6">
        <v>114</v>
      </c>
      <c r="I135" s="6">
        <v>1</v>
      </c>
      <c r="J135" s="6">
        <v>2</v>
      </c>
      <c r="K135" s="6">
        <v>1</v>
      </c>
      <c r="L135" s="6">
        <v>3</v>
      </c>
    </row>
    <row r="136" spans="1:12" x14ac:dyDescent="0.25">
      <c r="A136" s="10">
        <v>61</v>
      </c>
      <c r="B136" s="6">
        <v>1</v>
      </c>
      <c r="C136" s="6">
        <v>0</v>
      </c>
      <c r="D136" s="6">
        <v>138</v>
      </c>
      <c r="E136" s="6">
        <v>166</v>
      </c>
      <c r="F136" s="6">
        <v>0</v>
      </c>
      <c r="G136" s="6">
        <v>0</v>
      </c>
      <c r="H136" s="6">
        <v>125</v>
      </c>
      <c r="I136" s="6">
        <v>1</v>
      </c>
      <c r="J136" s="6">
        <v>3.6</v>
      </c>
      <c r="K136" s="6">
        <v>1</v>
      </c>
      <c r="L136" s="6">
        <v>2</v>
      </c>
    </row>
    <row r="137" spans="1:12" x14ac:dyDescent="0.25">
      <c r="A137" s="10">
        <v>62</v>
      </c>
      <c r="B137" s="6">
        <v>0</v>
      </c>
      <c r="C137" s="6">
        <v>0</v>
      </c>
      <c r="D137" s="6">
        <v>160</v>
      </c>
      <c r="E137" s="6">
        <v>164</v>
      </c>
      <c r="F137" s="6">
        <v>0</v>
      </c>
      <c r="G137" s="6">
        <v>0</v>
      </c>
      <c r="H137" s="6">
        <v>145</v>
      </c>
      <c r="I137" s="6">
        <v>0</v>
      </c>
      <c r="J137" s="6">
        <v>6.2</v>
      </c>
      <c r="K137" s="6">
        <v>0</v>
      </c>
      <c r="L137" s="6">
        <v>3</v>
      </c>
    </row>
    <row r="138" spans="1:12" x14ac:dyDescent="0.25">
      <c r="A138" s="11">
        <v>49</v>
      </c>
      <c r="B138" s="5">
        <v>1</v>
      </c>
      <c r="C138" s="5">
        <v>2</v>
      </c>
      <c r="D138" s="5">
        <v>118</v>
      </c>
      <c r="E138" s="5">
        <v>149</v>
      </c>
      <c r="F138" s="5">
        <v>0</v>
      </c>
      <c r="G138" s="5">
        <v>0</v>
      </c>
      <c r="H138" s="5">
        <v>126</v>
      </c>
      <c r="I138" s="5">
        <v>0</v>
      </c>
      <c r="J138" s="5">
        <v>0.8</v>
      </c>
      <c r="K138" s="5">
        <v>2</v>
      </c>
      <c r="L138" s="5">
        <v>2</v>
      </c>
    </row>
    <row r="139" spans="1:12" x14ac:dyDescent="0.25">
      <c r="A139" s="11">
        <v>57</v>
      </c>
      <c r="B139" s="5">
        <v>1</v>
      </c>
      <c r="C139" s="5">
        <v>0</v>
      </c>
      <c r="D139" s="5">
        <v>130</v>
      </c>
      <c r="E139" s="5">
        <v>131</v>
      </c>
      <c r="F139" s="5">
        <v>0</v>
      </c>
      <c r="G139" s="5">
        <v>1</v>
      </c>
      <c r="H139" s="5">
        <v>115</v>
      </c>
      <c r="I139" s="5">
        <v>1</v>
      </c>
      <c r="J139" s="5">
        <v>1.2</v>
      </c>
      <c r="K139" s="5">
        <v>1</v>
      </c>
      <c r="L139" s="5">
        <v>3</v>
      </c>
    </row>
  </sheetData>
  <conditionalFormatting sqref="D1:D1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93"/>
  <sheetViews>
    <sheetView zoomScale="120" zoomScaleNormal="120" workbookViewId="0">
      <selection activeCell="M32" sqref="M32"/>
    </sheetView>
  </sheetViews>
  <sheetFormatPr defaultRowHeight="15" x14ac:dyDescent="0.25"/>
  <cols>
    <col min="3" max="3" width="9.7109375" customWidth="1"/>
    <col min="6" max="6" width="9.5703125" customWidth="1"/>
    <col min="9" max="9" width="10.28515625" customWidth="1"/>
    <col min="13" max="13" width="11.28515625" bestFit="1" customWidth="1"/>
  </cols>
  <sheetData>
    <row r="1" spans="1:11" x14ac:dyDescent="0.25">
      <c r="A1" s="9" t="s">
        <v>0</v>
      </c>
      <c r="B1" s="9" t="s">
        <v>11</v>
      </c>
      <c r="C1" s="9" t="s">
        <v>10</v>
      </c>
      <c r="D1" s="9" t="s">
        <v>2</v>
      </c>
      <c r="E1" s="9" t="s">
        <v>3</v>
      </c>
      <c r="F1" s="9" t="s">
        <v>4</v>
      </c>
      <c r="G1" s="9" t="s">
        <v>12</v>
      </c>
      <c r="H1" s="9" t="s">
        <v>5</v>
      </c>
      <c r="I1" s="9" t="s">
        <v>6</v>
      </c>
      <c r="J1" s="9" t="s">
        <v>7</v>
      </c>
      <c r="K1" s="9" t="s">
        <v>8</v>
      </c>
    </row>
    <row r="2" spans="1:11" x14ac:dyDescent="0.25">
      <c r="A2" s="5">
        <v>58</v>
      </c>
      <c r="B2" s="5">
        <v>2</v>
      </c>
      <c r="C2" s="5">
        <v>140</v>
      </c>
      <c r="D2" s="5">
        <v>211</v>
      </c>
      <c r="E2" s="5">
        <v>1</v>
      </c>
      <c r="F2" s="5">
        <v>0</v>
      </c>
      <c r="G2" s="5">
        <v>165</v>
      </c>
      <c r="H2" s="5">
        <v>0</v>
      </c>
      <c r="I2" s="5">
        <v>0</v>
      </c>
      <c r="J2" s="5">
        <v>2</v>
      </c>
      <c r="K2" s="5">
        <v>2</v>
      </c>
    </row>
    <row r="3" spans="1:11" x14ac:dyDescent="0.25">
      <c r="A3" s="5">
        <v>45</v>
      </c>
      <c r="B3" s="5">
        <v>0</v>
      </c>
      <c r="C3" s="5">
        <v>104</v>
      </c>
      <c r="D3" s="5">
        <v>208</v>
      </c>
      <c r="E3" s="5">
        <v>0</v>
      </c>
      <c r="F3" s="5">
        <v>0</v>
      </c>
      <c r="G3" s="5">
        <v>148</v>
      </c>
      <c r="H3" s="5">
        <v>1</v>
      </c>
      <c r="I3" s="5">
        <v>3</v>
      </c>
      <c r="J3" s="5">
        <v>1</v>
      </c>
      <c r="K3" s="5">
        <v>2</v>
      </c>
    </row>
    <row r="4" spans="1:11" x14ac:dyDescent="0.25">
      <c r="A4" s="6">
        <v>44</v>
      </c>
      <c r="B4" s="6">
        <v>2</v>
      </c>
      <c r="C4" s="6">
        <v>130</v>
      </c>
      <c r="D4" s="6">
        <v>233</v>
      </c>
      <c r="E4" s="6">
        <v>0</v>
      </c>
      <c r="F4" s="6">
        <v>1</v>
      </c>
      <c r="G4" s="6">
        <v>179</v>
      </c>
      <c r="H4" s="6">
        <v>1</v>
      </c>
      <c r="I4" s="6">
        <v>0.4</v>
      </c>
      <c r="J4" s="6">
        <v>2</v>
      </c>
      <c r="K4" s="6">
        <v>2</v>
      </c>
    </row>
    <row r="5" spans="1:11" x14ac:dyDescent="0.25">
      <c r="A5" s="6">
        <v>50</v>
      </c>
      <c r="B5" s="6">
        <v>2</v>
      </c>
      <c r="C5" s="6">
        <v>129</v>
      </c>
      <c r="D5" s="6">
        <v>196</v>
      </c>
      <c r="E5" s="6">
        <v>0</v>
      </c>
      <c r="F5" s="6">
        <v>1</v>
      </c>
      <c r="G5" s="6">
        <v>163</v>
      </c>
      <c r="H5" s="6">
        <v>0</v>
      </c>
      <c r="I5" s="6">
        <v>0</v>
      </c>
      <c r="J5" s="6">
        <v>2</v>
      </c>
      <c r="K5" s="6">
        <v>2</v>
      </c>
    </row>
    <row r="6" spans="1:11" x14ac:dyDescent="0.25">
      <c r="A6" s="5">
        <v>51</v>
      </c>
      <c r="B6" s="5">
        <v>3</v>
      </c>
      <c r="C6" s="5">
        <v>125</v>
      </c>
      <c r="D6" s="5">
        <v>213</v>
      </c>
      <c r="E6" s="5">
        <v>0</v>
      </c>
      <c r="F6" s="5">
        <v>0</v>
      </c>
      <c r="G6" s="5">
        <v>125</v>
      </c>
      <c r="H6" s="5">
        <v>1</v>
      </c>
      <c r="I6" s="5">
        <v>1.4</v>
      </c>
      <c r="J6" s="5">
        <v>2</v>
      </c>
      <c r="K6" s="5">
        <v>2</v>
      </c>
    </row>
    <row r="7" spans="1:11" x14ac:dyDescent="0.25">
      <c r="A7" s="6">
        <v>59</v>
      </c>
      <c r="B7" s="6">
        <v>0</v>
      </c>
      <c r="C7" s="6">
        <v>138</v>
      </c>
      <c r="D7" s="6">
        <v>271</v>
      </c>
      <c r="E7" s="6">
        <v>0</v>
      </c>
      <c r="F7" s="6">
        <v>0</v>
      </c>
      <c r="G7" s="6">
        <v>182</v>
      </c>
      <c r="H7" s="6">
        <v>0</v>
      </c>
      <c r="I7" s="6">
        <v>0</v>
      </c>
      <c r="J7" s="6">
        <v>2</v>
      </c>
      <c r="K7" s="6">
        <v>2</v>
      </c>
    </row>
    <row r="8" spans="1:11" x14ac:dyDescent="0.25">
      <c r="A8" s="5">
        <v>64</v>
      </c>
      <c r="B8" s="5">
        <v>0</v>
      </c>
      <c r="C8" s="5">
        <v>128</v>
      </c>
      <c r="D8" s="5">
        <v>263</v>
      </c>
      <c r="E8" s="5">
        <v>0</v>
      </c>
      <c r="F8" s="5">
        <v>1</v>
      </c>
      <c r="G8" s="5">
        <v>105</v>
      </c>
      <c r="H8" s="5">
        <v>1</v>
      </c>
      <c r="I8" s="5">
        <v>0.2</v>
      </c>
      <c r="J8" s="5">
        <v>1</v>
      </c>
      <c r="K8" s="5">
        <v>3</v>
      </c>
    </row>
    <row r="9" spans="1:11" x14ac:dyDescent="0.25">
      <c r="A9" s="5">
        <v>54</v>
      </c>
      <c r="B9" s="5">
        <v>2</v>
      </c>
      <c r="C9" s="5">
        <v>120</v>
      </c>
      <c r="D9" s="5">
        <v>258</v>
      </c>
      <c r="E9" s="5">
        <v>0</v>
      </c>
      <c r="F9" s="5">
        <v>0</v>
      </c>
      <c r="G9" s="5">
        <v>147</v>
      </c>
      <c r="H9" s="5">
        <v>0</v>
      </c>
      <c r="I9" s="5">
        <v>0.4</v>
      </c>
      <c r="J9" s="5">
        <v>1</v>
      </c>
      <c r="K9" s="5">
        <v>3</v>
      </c>
    </row>
    <row r="10" spans="1:11" x14ac:dyDescent="0.25">
      <c r="A10" s="5">
        <v>42</v>
      </c>
      <c r="B10" s="5">
        <v>0</v>
      </c>
      <c r="C10" s="5">
        <v>140</v>
      </c>
      <c r="D10" s="5">
        <v>226</v>
      </c>
      <c r="E10" s="5">
        <v>0</v>
      </c>
      <c r="F10" s="5">
        <v>1</v>
      </c>
      <c r="G10" s="5">
        <v>178</v>
      </c>
      <c r="H10" s="5">
        <v>0</v>
      </c>
      <c r="I10" s="5">
        <v>0</v>
      </c>
      <c r="J10" s="5">
        <v>2</v>
      </c>
      <c r="K10" s="5">
        <v>2</v>
      </c>
    </row>
    <row r="11" spans="1:11" x14ac:dyDescent="0.25">
      <c r="A11" s="6">
        <v>41</v>
      </c>
      <c r="B11" s="6">
        <v>1</v>
      </c>
      <c r="C11" s="6">
        <v>135</v>
      </c>
      <c r="D11" s="6">
        <v>203</v>
      </c>
      <c r="E11" s="6">
        <v>0</v>
      </c>
      <c r="F11" s="6">
        <v>1</v>
      </c>
      <c r="G11" s="6">
        <v>132</v>
      </c>
      <c r="H11" s="6">
        <v>0</v>
      </c>
      <c r="I11" s="6">
        <v>0</v>
      </c>
      <c r="J11" s="6">
        <v>1</v>
      </c>
      <c r="K11" s="6">
        <v>1</v>
      </c>
    </row>
    <row r="12" spans="1:11" x14ac:dyDescent="0.25">
      <c r="A12" s="5">
        <v>38</v>
      </c>
      <c r="B12" s="5">
        <v>2</v>
      </c>
      <c r="C12" s="5">
        <v>138</v>
      </c>
      <c r="D12" s="5">
        <v>175</v>
      </c>
      <c r="E12" s="5">
        <v>0</v>
      </c>
      <c r="F12" s="5">
        <v>1</v>
      </c>
      <c r="G12" s="5">
        <v>173</v>
      </c>
      <c r="H12" s="5">
        <v>0</v>
      </c>
      <c r="I12" s="5">
        <v>0</v>
      </c>
      <c r="J12" s="5">
        <v>2</v>
      </c>
      <c r="K12" s="5">
        <v>2</v>
      </c>
    </row>
    <row r="13" spans="1:11" x14ac:dyDescent="0.25">
      <c r="A13" s="6">
        <v>56</v>
      </c>
      <c r="B13" s="6">
        <v>3</v>
      </c>
      <c r="C13" s="6">
        <v>120</v>
      </c>
      <c r="D13" s="6">
        <v>193</v>
      </c>
      <c r="E13" s="6">
        <v>0</v>
      </c>
      <c r="F13" s="6">
        <v>0</v>
      </c>
      <c r="G13" s="6">
        <v>162</v>
      </c>
      <c r="H13" s="6">
        <v>0</v>
      </c>
      <c r="I13" s="6">
        <v>1.9</v>
      </c>
      <c r="J13" s="6">
        <v>1</v>
      </c>
      <c r="K13" s="6">
        <v>3</v>
      </c>
    </row>
    <row r="14" spans="1:11" x14ac:dyDescent="0.25">
      <c r="A14" s="5">
        <v>48</v>
      </c>
      <c r="B14" s="5">
        <v>1</v>
      </c>
      <c r="C14" s="5">
        <v>130</v>
      </c>
      <c r="D14" s="5">
        <v>245</v>
      </c>
      <c r="E14" s="5">
        <v>0</v>
      </c>
      <c r="F14" s="5">
        <v>0</v>
      </c>
      <c r="G14" s="5">
        <v>180</v>
      </c>
      <c r="H14" s="5">
        <v>0</v>
      </c>
      <c r="I14" s="5">
        <v>0.2</v>
      </c>
      <c r="J14" s="5">
        <v>1</v>
      </c>
      <c r="K14" s="5">
        <v>2</v>
      </c>
    </row>
    <row r="15" spans="1:11" x14ac:dyDescent="0.25">
      <c r="A15" s="6">
        <v>29</v>
      </c>
      <c r="B15" s="6">
        <v>1</v>
      </c>
      <c r="C15" s="6">
        <v>130</v>
      </c>
      <c r="D15" s="6">
        <v>204</v>
      </c>
      <c r="E15" s="6">
        <v>0</v>
      </c>
      <c r="F15" s="6">
        <v>0</v>
      </c>
      <c r="G15" s="6">
        <v>202</v>
      </c>
      <c r="H15" s="6">
        <v>0</v>
      </c>
      <c r="I15" s="6">
        <v>0</v>
      </c>
      <c r="J15" s="6">
        <v>2</v>
      </c>
      <c r="K15" s="6">
        <v>2</v>
      </c>
    </row>
    <row r="16" spans="1:11" x14ac:dyDescent="0.25">
      <c r="A16" s="6">
        <v>59</v>
      </c>
      <c r="B16" s="6">
        <v>2</v>
      </c>
      <c r="C16" s="6">
        <v>150</v>
      </c>
      <c r="D16" s="6">
        <v>212</v>
      </c>
      <c r="E16" s="6">
        <v>1</v>
      </c>
      <c r="F16" s="6">
        <v>1</v>
      </c>
      <c r="G16" s="6">
        <v>157</v>
      </c>
      <c r="H16" s="6">
        <v>0</v>
      </c>
      <c r="I16" s="6">
        <v>1.6</v>
      </c>
      <c r="J16" s="6">
        <v>2</v>
      </c>
      <c r="K16" s="6">
        <v>2</v>
      </c>
    </row>
    <row r="17" spans="1:17" x14ac:dyDescent="0.25">
      <c r="A17" s="6">
        <v>53</v>
      </c>
      <c r="B17" s="6">
        <v>2</v>
      </c>
      <c r="C17" s="6">
        <v>130</v>
      </c>
      <c r="D17" s="6">
        <v>197</v>
      </c>
      <c r="E17" s="6">
        <v>1</v>
      </c>
      <c r="F17" s="6">
        <v>0</v>
      </c>
      <c r="G17" s="6">
        <v>152</v>
      </c>
      <c r="H17" s="6">
        <v>0</v>
      </c>
      <c r="I17" s="6">
        <v>1.2</v>
      </c>
      <c r="J17" s="6">
        <v>0</v>
      </c>
      <c r="K17" s="6">
        <v>2</v>
      </c>
    </row>
    <row r="18" spans="1:17" x14ac:dyDescent="0.25">
      <c r="A18" s="6">
        <v>47</v>
      </c>
      <c r="B18" s="6">
        <v>2</v>
      </c>
      <c r="C18" s="6">
        <v>138</v>
      </c>
      <c r="D18" s="6">
        <v>257</v>
      </c>
      <c r="E18" s="6">
        <v>0</v>
      </c>
      <c r="F18" s="6">
        <v>0</v>
      </c>
      <c r="G18" s="6">
        <v>156</v>
      </c>
      <c r="H18" s="6">
        <v>0</v>
      </c>
      <c r="I18" s="6">
        <v>0</v>
      </c>
      <c r="J18" s="6">
        <v>2</v>
      </c>
      <c r="K18" s="6">
        <v>2</v>
      </c>
    </row>
    <row r="19" spans="1:17" x14ac:dyDescent="0.25">
      <c r="A19" s="5">
        <v>48</v>
      </c>
      <c r="B19" s="5">
        <v>2</v>
      </c>
      <c r="C19" s="5">
        <v>124</v>
      </c>
      <c r="D19" s="5">
        <v>255</v>
      </c>
      <c r="E19" s="5">
        <v>1</v>
      </c>
      <c r="F19" s="5">
        <v>1</v>
      </c>
      <c r="G19" s="5">
        <v>175</v>
      </c>
      <c r="H19" s="5">
        <v>0</v>
      </c>
      <c r="I19" s="5">
        <v>0</v>
      </c>
      <c r="J19" s="5">
        <v>2</v>
      </c>
      <c r="K19" s="5">
        <v>2</v>
      </c>
    </row>
    <row r="20" spans="1:17" x14ac:dyDescent="0.25">
      <c r="A20" s="6">
        <v>52</v>
      </c>
      <c r="B20" s="6">
        <v>1</v>
      </c>
      <c r="C20" s="6">
        <v>134</v>
      </c>
      <c r="D20" s="6">
        <v>201</v>
      </c>
      <c r="E20" s="6">
        <v>0</v>
      </c>
      <c r="F20" s="6">
        <v>1</v>
      </c>
      <c r="G20" s="6">
        <v>158</v>
      </c>
      <c r="H20" s="6">
        <v>0</v>
      </c>
      <c r="I20" s="6">
        <v>0.8</v>
      </c>
      <c r="J20" s="6">
        <v>2</v>
      </c>
      <c r="K20" s="6">
        <v>2</v>
      </c>
    </row>
    <row r="21" spans="1:17" x14ac:dyDescent="0.25">
      <c r="A21" s="6">
        <v>44</v>
      </c>
      <c r="B21" s="6">
        <v>1</v>
      </c>
      <c r="C21" s="6">
        <v>120</v>
      </c>
      <c r="D21" s="6">
        <v>220</v>
      </c>
      <c r="E21" s="6">
        <v>0</v>
      </c>
      <c r="F21" s="6">
        <v>1</v>
      </c>
      <c r="G21" s="6">
        <v>170</v>
      </c>
      <c r="H21" s="6">
        <v>0</v>
      </c>
      <c r="I21" s="6">
        <v>0</v>
      </c>
      <c r="J21" s="6">
        <v>2</v>
      </c>
      <c r="K21" s="6">
        <v>2</v>
      </c>
      <c r="M21" s="12" t="s">
        <v>24</v>
      </c>
      <c r="N21" s="12" t="s">
        <v>25</v>
      </c>
      <c r="O21" s="12" t="s">
        <v>26</v>
      </c>
      <c r="P21" s="12" t="s">
        <v>27</v>
      </c>
      <c r="Q21" s="12" t="s">
        <v>28</v>
      </c>
    </row>
    <row r="22" spans="1:17" x14ac:dyDescent="0.25">
      <c r="A22" s="6">
        <v>62</v>
      </c>
      <c r="B22" s="6">
        <v>1</v>
      </c>
      <c r="C22" s="6">
        <v>128</v>
      </c>
      <c r="D22" s="6">
        <v>208</v>
      </c>
      <c r="E22" s="6">
        <v>1</v>
      </c>
      <c r="F22" s="6">
        <v>0</v>
      </c>
      <c r="G22" s="6">
        <v>140</v>
      </c>
      <c r="H22" s="6">
        <v>0</v>
      </c>
      <c r="I22" s="6">
        <v>0</v>
      </c>
      <c r="J22" s="6">
        <v>2</v>
      </c>
      <c r="K22" s="6">
        <v>2</v>
      </c>
      <c r="M22" s="13" t="s">
        <v>29</v>
      </c>
      <c r="N22" s="14">
        <f>AVERAGE(A:A)</f>
        <v>51.043478260869563</v>
      </c>
      <c r="O22" s="14">
        <f>_xlfn.STDEV.P(A:A)</f>
        <v>8.5769066120680186</v>
      </c>
      <c r="P22" s="14">
        <f>MIN(A:A)</f>
        <v>29</v>
      </c>
      <c r="Q22" s="14">
        <f>MAX(A:A)</f>
        <v>70</v>
      </c>
    </row>
    <row r="23" spans="1:17" x14ac:dyDescent="0.25">
      <c r="A23" s="6">
        <v>62</v>
      </c>
      <c r="B23" s="6">
        <v>2</v>
      </c>
      <c r="C23" s="6">
        <v>130</v>
      </c>
      <c r="D23" s="6">
        <v>231</v>
      </c>
      <c r="E23" s="6">
        <v>0</v>
      </c>
      <c r="F23" s="6">
        <v>1</v>
      </c>
      <c r="G23" s="6">
        <v>146</v>
      </c>
      <c r="H23" s="6">
        <v>0</v>
      </c>
      <c r="I23" s="6">
        <v>1.8</v>
      </c>
      <c r="J23" s="6">
        <v>1</v>
      </c>
      <c r="K23" s="6">
        <v>3</v>
      </c>
      <c r="M23" s="13" t="s">
        <v>30</v>
      </c>
      <c r="N23" s="14">
        <f>AVERAGE(C:C)</f>
        <v>129.65217391304347</v>
      </c>
      <c r="O23" s="14">
        <f>_xlfn.STDEV.P(C:C)</f>
        <v>15.932217006818698</v>
      </c>
      <c r="P23" s="14">
        <f>MIN(C:C)</f>
        <v>94</v>
      </c>
      <c r="Q23" s="14">
        <f>MAX(C:C)</f>
        <v>178</v>
      </c>
    </row>
    <row r="24" spans="1:17" x14ac:dyDescent="0.25">
      <c r="A24" s="6">
        <v>56</v>
      </c>
      <c r="B24" s="6">
        <v>1</v>
      </c>
      <c r="C24" s="6">
        <v>120</v>
      </c>
      <c r="D24" s="6">
        <v>236</v>
      </c>
      <c r="E24" s="6">
        <v>0</v>
      </c>
      <c r="F24" s="6">
        <v>1</v>
      </c>
      <c r="G24" s="6">
        <v>178</v>
      </c>
      <c r="H24" s="6">
        <v>0</v>
      </c>
      <c r="I24" s="6">
        <v>0.8</v>
      </c>
      <c r="J24" s="6">
        <v>2</v>
      </c>
      <c r="K24" s="6">
        <v>2</v>
      </c>
      <c r="M24" s="13" t="s">
        <v>31</v>
      </c>
      <c r="N24" s="14">
        <f>AVERAGE(D:D)</f>
        <v>231.59782608695653</v>
      </c>
      <c r="O24" s="14">
        <f>_xlfn.STDEV.P(D:D)</f>
        <v>37.435759405021074</v>
      </c>
      <c r="P24" s="14">
        <f>MIN(D:D)</f>
        <v>126</v>
      </c>
      <c r="Q24" s="14">
        <f>MAX(D:D)</f>
        <v>325</v>
      </c>
    </row>
    <row r="25" spans="1:17" x14ac:dyDescent="0.25">
      <c r="A25" s="6">
        <v>44</v>
      </c>
      <c r="B25" s="6">
        <v>1</v>
      </c>
      <c r="C25" s="6">
        <v>120</v>
      </c>
      <c r="D25" s="6">
        <v>263</v>
      </c>
      <c r="E25" s="6">
        <v>0</v>
      </c>
      <c r="F25" s="6">
        <v>1</v>
      </c>
      <c r="G25" s="6">
        <v>173</v>
      </c>
      <c r="H25" s="6">
        <v>0</v>
      </c>
      <c r="I25" s="6">
        <v>0</v>
      </c>
      <c r="J25" s="6">
        <v>2</v>
      </c>
      <c r="K25" s="6">
        <v>3</v>
      </c>
      <c r="M25" s="13" t="s">
        <v>32</v>
      </c>
      <c r="N25" s="14">
        <f>AVERAGE(G:G)</f>
        <v>161.78260869565219</v>
      </c>
      <c r="O25" s="14">
        <f>_xlfn.STDEV.P(G:G)</f>
        <v>18.455484684338082</v>
      </c>
      <c r="P25" s="14">
        <f>MIN(G:G)</f>
        <v>105</v>
      </c>
      <c r="Q25" s="14">
        <f>MAX(G:G)</f>
        <v>202</v>
      </c>
    </row>
    <row r="26" spans="1:17" x14ac:dyDescent="0.25">
      <c r="A26" s="6">
        <v>52</v>
      </c>
      <c r="B26" s="6">
        <v>0</v>
      </c>
      <c r="C26" s="6">
        <v>108</v>
      </c>
      <c r="D26" s="6">
        <v>233</v>
      </c>
      <c r="E26" s="6">
        <v>1</v>
      </c>
      <c r="F26" s="6">
        <v>1</v>
      </c>
      <c r="G26" s="6">
        <v>147</v>
      </c>
      <c r="H26" s="6">
        <v>0</v>
      </c>
      <c r="I26" s="6">
        <v>0.1</v>
      </c>
      <c r="J26" s="6">
        <v>2</v>
      </c>
      <c r="K26" s="6">
        <v>3</v>
      </c>
    </row>
    <row r="27" spans="1:17" x14ac:dyDescent="0.25">
      <c r="A27" s="6">
        <v>42</v>
      </c>
      <c r="B27" s="6">
        <v>1</v>
      </c>
      <c r="C27" s="6">
        <v>120</v>
      </c>
      <c r="D27" s="6">
        <v>295</v>
      </c>
      <c r="E27" s="6">
        <v>0</v>
      </c>
      <c r="F27" s="6">
        <v>1</v>
      </c>
      <c r="G27" s="6">
        <v>162</v>
      </c>
      <c r="H27" s="6">
        <v>0</v>
      </c>
      <c r="I27" s="6">
        <v>0</v>
      </c>
      <c r="J27" s="6">
        <v>2</v>
      </c>
      <c r="K27" s="6">
        <v>2</v>
      </c>
    </row>
    <row r="28" spans="1:17" x14ac:dyDescent="0.25">
      <c r="A28" s="5">
        <v>45</v>
      </c>
      <c r="B28" s="5">
        <v>1</v>
      </c>
      <c r="C28" s="5">
        <v>128</v>
      </c>
      <c r="D28" s="5">
        <v>308</v>
      </c>
      <c r="E28" s="5">
        <v>0</v>
      </c>
      <c r="F28" s="5">
        <v>0</v>
      </c>
      <c r="G28" s="5">
        <v>170</v>
      </c>
      <c r="H28" s="5">
        <v>0</v>
      </c>
      <c r="I28" s="5">
        <v>0</v>
      </c>
      <c r="J28" s="5">
        <v>2</v>
      </c>
      <c r="K28" s="5">
        <v>2</v>
      </c>
    </row>
    <row r="29" spans="1:17" x14ac:dyDescent="0.25">
      <c r="A29" s="5">
        <v>57</v>
      </c>
      <c r="B29" s="5">
        <v>2</v>
      </c>
      <c r="C29" s="5">
        <v>150</v>
      </c>
      <c r="D29" s="5">
        <v>126</v>
      </c>
      <c r="E29" s="5">
        <v>1</v>
      </c>
      <c r="F29" s="5">
        <v>1</v>
      </c>
      <c r="G29" s="5">
        <v>173</v>
      </c>
      <c r="H29" s="5">
        <v>0</v>
      </c>
      <c r="I29" s="5">
        <v>0.2</v>
      </c>
      <c r="J29" s="5">
        <v>2</v>
      </c>
      <c r="K29" s="5">
        <v>3</v>
      </c>
    </row>
    <row r="30" spans="1:17" x14ac:dyDescent="0.25">
      <c r="A30" s="6">
        <v>47</v>
      </c>
      <c r="B30" s="6">
        <v>0</v>
      </c>
      <c r="C30" s="6">
        <v>112</v>
      </c>
      <c r="D30" s="6">
        <v>204</v>
      </c>
      <c r="E30" s="6">
        <v>0</v>
      </c>
      <c r="F30" s="6">
        <v>1</v>
      </c>
      <c r="G30" s="6">
        <v>143</v>
      </c>
      <c r="H30" s="6">
        <v>0</v>
      </c>
      <c r="I30" s="6">
        <v>0.1</v>
      </c>
      <c r="J30" s="6">
        <v>2</v>
      </c>
      <c r="K30" s="6">
        <v>2</v>
      </c>
    </row>
    <row r="31" spans="1:17" x14ac:dyDescent="0.25">
      <c r="A31" s="5">
        <v>59</v>
      </c>
      <c r="B31" s="5">
        <v>1</v>
      </c>
      <c r="C31" s="5">
        <v>140</v>
      </c>
      <c r="D31" s="5">
        <v>221</v>
      </c>
      <c r="E31" s="5">
        <v>0</v>
      </c>
      <c r="F31" s="5">
        <v>1</v>
      </c>
      <c r="G31" s="5">
        <v>164</v>
      </c>
      <c r="H31" s="5">
        <v>1</v>
      </c>
      <c r="I31" s="5">
        <v>0</v>
      </c>
      <c r="J31" s="5">
        <v>2</v>
      </c>
      <c r="K31" s="5">
        <v>2</v>
      </c>
    </row>
    <row r="32" spans="1:17" x14ac:dyDescent="0.25">
      <c r="A32" s="5">
        <v>54</v>
      </c>
      <c r="B32" s="5">
        <v>1</v>
      </c>
      <c r="C32" s="5">
        <v>108</v>
      </c>
      <c r="D32" s="5">
        <v>309</v>
      </c>
      <c r="E32" s="5">
        <v>0</v>
      </c>
      <c r="F32" s="5">
        <v>1</v>
      </c>
      <c r="G32" s="5">
        <v>156</v>
      </c>
      <c r="H32" s="5">
        <v>0</v>
      </c>
      <c r="I32" s="5">
        <v>0</v>
      </c>
      <c r="J32" s="5">
        <v>2</v>
      </c>
      <c r="K32" s="5">
        <v>3</v>
      </c>
    </row>
    <row r="33" spans="1:11" x14ac:dyDescent="0.25">
      <c r="A33" s="5">
        <v>52</v>
      </c>
      <c r="B33" s="5">
        <v>3</v>
      </c>
      <c r="C33" s="5">
        <v>118</v>
      </c>
      <c r="D33" s="5">
        <v>186</v>
      </c>
      <c r="E33" s="5">
        <v>0</v>
      </c>
      <c r="F33" s="5">
        <v>0</v>
      </c>
      <c r="G33" s="5">
        <v>190</v>
      </c>
      <c r="H33" s="5">
        <v>0</v>
      </c>
      <c r="I33" s="5">
        <v>0</v>
      </c>
      <c r="J33" s="5">
        <v>1</v>
      </c>
      <c r="K33" s="5">
        <v>1</v>
      </c>
    </row>
    <row r="34" spans="1:11" x14ac:dyDescent="0.25">
      <c r="A34" s="6">
        <v>53</v>
      </c>
      <c r="B34" s="6">
        <v>0</v>
      </c>
      <c r="C34" s="6">
        <v>142</v>
      </c>
      <c r="D34" s="6">
        <v>226</v>
      </c>
      <c r="E34" s="6">
        <v>0</v>
      </c>
      <c r="F34" s="6">
        <v>0</v>
      </c>
      <c r="G34" s="6">
        <v>111</v>
      </c>
      <c r="H34" s="6">
        <v>1</v>
      </c>
      <c r="I34" s="6">
        <v>0</v>
      </c>
      <c r="J34" s="6">
        <v>2</v>
      </c>
      <c r="K34" s="6">
        <v>3</v>
      </c>
    </row>
    <row r="35" spans="1:11" x14ac:dyDescent="0.25">
      <c r="A35" s="6">
        <v>66</v>
      </c>
      <c r="B35" s="6">
        <v>0</v>
      </c>
      <c r="C35" s="6">
        <v>120</v>
      </c>
      <c r="D35" s="6">
        <v>302</v>
      </c>
      <c r="E35" s="6">
        <v>0</v>
      </c>
      <c r="F35" s="6">
        <v>0</v>
      </c>
      <c r="G35" s="6">
        <v>151</v>
      </c>
      <c r="H35" s="6">
        <v>0</v>
      </c>
      <c r="I35" s="6">
        <v>0.4</v>
      </c>
      <c r="J35" s="6">
        <v>1</v>
      </c>
      <c r="K35" s="6">
        <v>2</v>
      </c>
    </row>
    <row r="36" spans="1:11" x14ac:dyDescent="0.25">
      <c r="A36" s="6">
        <v>52</v>
      </c>
      <c r="B36" s="6">
        <v>2</v>
      </c>
      <c r="C36" s="6">
        <v>138</v>
      </c>
      <c r="D36" s="6">
        <v>223</v>
      </c>
      <c r="E36" s="6">
        <v>0</v>
      </c>
      <c r="F36" s="6">
        <v>1</v>
      </c>
      <c r="G36" s="6">
        <v>169</v>
      </c>
      <c r="H36" s="6">
        <v>0</v>
      </c>
      <c r="I36" s="6">
        <v>0</v>
      </c>
      <c r="J36" s="6">
        <v>2</v>
      </c>
      <c r="K36" s="6">
        <v>2</v>
      </c>
    </row>
    <row r="37" spans="1:11" x14ac:dyDescent="0.25">
      <c r="A37" s="5">
        <v>57</v>
      </c>
      <c r="B37" s="5">
        <v>0</v>
      </c>
      <c r="C37" s="5">
        <v>140</v>
      </c>
      <c r="D37" s="5">
        <v>192</v>
      </c>
      <c r="E37" s="5">
        <v>0</v>
      </c>
      <c r="F37" s="5">
        <v>1</v>
      </c>
      <c r="G37" s="5">
        <v>148</v>
      </c>
      <c r="H37" s="5">
        <v>0</v>
      </c>
      <c r="I37" s="5">
        <v>0.4</v>
      </c>
      <c r="J37" s="5">
        <v>1</v>
      </c>
      <c r="K37" s="5">
        <v>1</v>
      </c>
    </row>
    <row r="38" spans="1:11" x14ac:dyDescent="0.25">
      <c r="A38" s="6">
        <v>41</v>
      </c>
      <c r="B38" s="6">
        <v>1</v>
      </c>
      <c r="C38" s="6">
        <v>110</v>
      </c>
      <c r="D38" s="6">
        <v>235</v>
      </c>
      <c r="E38" s="6">
        <v>0</v>
      </c>
      <c r="F38" s="6">
        <v>1</v>
      </c>
      <c r="G38" s="6">
        <v>153</v>
      </c>
      <c r="H38" s="6">
        <v>0</v>
      </c>
      <c r="I38" s="6">
        <v>0</v>
      </c>
      <c r="J38" s="6">
        <v>2</v>
      </c>
      <c r="K38" s="6">
        <v>2</v>
      </c>
    </row>
    <row r="39" spans="1:11" x14ac:dyDescent="0.25">
      <c r="A39" s="5">
        <v>34</v>
      </c>
      <c r="B39" s="5">
        <v>3</v>
      </c>
      <c r="C39" s="5">
        <v>118</v>
      </c>
      <c r="D39" s="5">
        <v>182</v>
      </c>
      <c r="E39" s="5">
        <v>0</v>
      </c>
      <c r="F39" s="5">
        <v>0</v>
      </c>
      <c r="G39" s="5">
        <v>174</v>
      </c>
      <c r="H39" s="5">
        <v>0</v>
      </c>
      <c r="I39" s="5">
        <v>0</v>
      </c>
      <c r="J39" s="5">
        <v>2</v>
      </c>
      <c r="K39" s="5">
        <v>2</v>
      </c>
    </row>
    <row r="40" spans="1:11" x14ac:dyDescent="0.25">
      <c r="A40" s="6">
        <v>52</v>
      </c>
      <c r="B40" s="6">
        <v>3</v>
      </c>
      <c r="C40" s="6">
        <v>152</v>
      </c>
      <c r="D40" s="6">
        <v>298</v>
      </c>
      <c r="E40" s="6">
        <v>1</v>
      </c>
      <c r="F40" s="6">
        <v>1</v>
      </c>
      <c r="G40" s="6">
        <v>178</v>
      </c>
      <c r="H40" s="6">
        <v>0</v>
      </c>
      <c r="I40" s="6">
        <v>1.2</v>
      </c>
      <c r="J40" s="6">
        <v>1</v>
      </c>
      <c r="K40" s="6">
        <v>3</v>
      </c>
    </row>
    <row r="41" spans="1:11" x14ac:dyDescent="0.25">
      <c r="A41" s="5">
        <v>39</v>
      </c>
      <c r="B41" s="5">
        <v>2</v>
      </c>
      <c r="C41" s="5">
        <v>140</v>
      </c>
      <c r="D41" s="5">
        <v>321</v>
      </c>
      <c r="E41" s="5">
        <v>0</v>
      </c>
      <c r="F41" s="5">
        <v>0</v>
      </c>
      <c r="G41" s="5">
        <v>182</v>
      </c>
      <c r="H41" s="5">
        <v>0</v>
      </c>
      <c r="I41" s="5">
        <v>0</v>
      </c>
      <c r="J41" s="5">
        <v>2</v>
      </c>
      <c r="K41" s="5">
        <v>2</v>
      </c>
    </row>
    <row r="42" spans="1:11" x14ac:dyDescent="0.25">
      <c r="A42" s="6">
        <v>40</v>
      </c>
      <c r="B42" s="6">
        <v>3</v>
      </c>
      <c r="C42" s="6">
        <v>140</v>
      </c>
      <c r="D42" s="6">
        <v>199</v>
      </c>
      <c r="E42" s="6">
        <v>0</v>
      </c>
      <c r="F42" s="6">
        <v>1</v>
      </c>
      <c r="G42" s="6">
        <v>178</v>
      </c>
      <c r="H42" s="6">
        <v>1</v>
      </c>
      <c r="I42" s="6">
        <v>1.4</v>
      </c>
      <c r="J42" s="6">
        <v>2</v>
      </c>
      <c r="K42" s="6">
        <v>3</v>
      </c>
    </row>
    <row r="43" spans="1:11" x14ac:dyDescent="0.25">
      <c r="A43" s="5">
        <v>41</v>
      </c>
      <c r="B43" s="5">
        <v>1</v>
      </c>
      <c r="C43" s="5">
        <v>120</v>
      </c>
      <c r="D43" s="5">
        <v>157</v>
      </c>
      <c r="E43" s="5">
        <v>0</v>
      </c>
      <c r="F43" s="5">
        <v>1</v>
      </c>
      <c r="G43" s="5">
        <v>182</v>
      </c>
      <c r="H43" s="5">
        <v>0</v>
      </c>
      <c r="I43" s="5">
        <v>0</v>
      </c>
      <c r="J43" s="5">
        <v>2</v>
      </c>
      <c r="K43" s="5">
        <v>2</v>
      </c>
    </row>
    <row r="44" spans="1:11" x14ac:dyDescent="0.25">
      <c r="A44" s="6">
        <v>51</v>
      </c>
      <c r="B44" s="6">
        <v>2</v>
      </c>
      <c r="C44" s="6">
        <v>100</v>
      </c>
      <c r="D44" s="6">
        <v>222</v>
      </c>
      <c r="E44" s="6">
        <v>0</v>
      </c>
      <c r="F44" s="6">
        <v>1</v>
      </c>
      <c r="G44" s="6">
        <v>143</v>
      </c>
      <c r="H44" s="6">
        <v>1</v>
      </c>
      <c r="I44" s="6">
        <v>1.2</v>
      </c>
      <c r="J44" s="6">
        <v>1</v>
      </c>
      <c r="K44" s="6">
        <v>2</v>
      </c>
    </row>
    <row r="45" spans="1:11" x14ac:dyDescent="0.25">
      <c r="A45" s="6">
        <v>43</v>
      </c>
      <c r="B45" s="6">
        <v>2</v>
      </c>
      <c r="C45" s="6">
        <v>130</v>
      </c>
      <c r="D45" s="6">
        <v>315</v>
      </c>
      <c r="E45" s="6">
        <v>0</v>
      </c>
      <c r="F45" s="6">
        <v>1</v>
      </c>
      <c r="G45" s="6">
        <v>162</v>
      </c>
      <c r="H45" s="6">
        <v>0</v>
      </c>
      <c r="I45" s="6">
        <v>1.9</v>
      </c>
      <c r="J45" s="6">
        <v>2</v>
      </c>
      <c r="K45" s="6">
        <v>2</v>
      </c>
    </row>
    <row r="46" spans="1:11" x14ac:dyDescent="0.25">
      <c r="A46" s="6">
        <v>43</v>
      </c>
      <c r="B46" s="6">
        <v>0</v>
      </c>
      <c r="C46" s="6">
        <v>150</v>
      </c>
      <c r="D46" s="6">
        <v>247</v>
      </c>
      <c r="E46" s="6">
        <v>0</v>
      </c>
      <c r="F46" s="6">
        <v>1</v>
      </c>
      <c r="G46" s="6">
        <v>171</v>
      </c>
      <c r="H46" s="6">
        <v>0</v>
      </c>
      <c r="I46" s="6">
        <v>1.5</v>
      </c>
      <c r="J46" s="6">
        <v>2</v>
      </c>
      <c r="K46" s="6">
        <v>2</v>
      </c>
    </row>
    <row r="47" spans="1:11" x14ac:dyDescent="0.25">
      <c r="A47" s="5">
        <v>56</v>
      </c>
      <c r="B47" s="5">
        <v>1</v>
      </c>
      <c r="C47" s="5">
        <v>120</v>
      </c>
      <c r="D47" s="5">
        <v>240</v>
      </c>
      <c r="E47" s="5">
        <v>0</v>
      </c>
      <c r="F47" s="5">
        <v>1</v>
      </c>
      <c r="G47" s="5">
        <v>169</v>
      </c>
      <c r="H47" s="5">
        <v>0</v>
      </c>
      <c r="I47" s="5">
        <v>0</v>
      </c>
      <c r="J47" s="5">
        <v>0</v>
      </c>
      <c r="K47" s="5">
        <v>2</v>
      </c>
    </row>
    <row r="48" spans="1:11" x14ac:dyDescent="0.25">
      <c r="A48" s="5">
        <v>64</v>
      </c>
      <c r="B48" s="5">
        <v>3</v>
      </c>
      <c r="C48" s="5">
        <v>110</v>
      </c>
      <c r="D48" s="5">
        <v>211</v>
      </c>
      <c r="E48" s="5">
        <v>0</v>
      </c>
      <c r="F48" s="5">
        <v>0</v>
      </c>
      <c r="G48" s="5">
        <v>144</v>
      </c>
      <c r="H48" s="5">
        <v>1</v>
      </c>
      <c r="I48" s="5">
        <v>1.8</v>
      </c>
      <c r="J48" s="5">
        <v>1</v>
      </c>
      <c r="K48" s="5">
        <v>2</v>
      </c>
    </row>
    <row r="49" spans="1:11" x14ac:dyDescent="0.25">
      <c r="A49" s="6">
        <v>42</v>
      </c>
      <c r="B49" s="6">
        <v>2</v>
      </c>
      <c r="C49" s="6">
        <v>130</v>
      </c>
      <c r="D49" s="6">
        <v>180</v>
      </c>
      <c r="E49" s="6">
        <v>0</v>
      </c>
      <c r="F49" s="6">
        <v>1</v>
      </c>
      <c r="G49" s="6">
        <v>150</v>
      </c>
      <c r="H49" s="6">
        <v>0</v>
      </c>
      <c r="I49" s="6">
        <v>0</v>
      </c>
      <c r="J49" s="6">
        <v>2</v>
      </c>
      <c r="K49" s="6">
        <v>2</v>
      </c>
    </row>
    <row r="50" spans="1:11" x14ac:dyDescent="0.25">
      <c r="A50" s="6">
        <v>41</v>
      </c>
      <c r="B50" s="6">
        <v>2</v>
      </c>
      <c r="C50" s="6">
        <v>112</v>
      </c>
      <c r="D50" s="6">
        <v>250</v>
      </c>
      <c r="E50" s="6">
        <v>0</v>
      </c>
      <c r="F50" s="6">
        <v>1</v>
      </c>
      <c r="G50" s="6">
        <v>179</v>
      </c>
      <c r="H50" s="6">
        <v>0</v>
      </c>
      <c r="I50" s="6">
        <v>0</v>
      </c>
      <c r="J50" s="6">
        <v>2</v>
      </c>
      <c r="K50" s="6">
        <v>2</v>
      </c>
    </row>
    <row r="51" spans="1:11" x14ac:dyDescent="0.25">
      <c r="A51" s="5">
        <v>56</v>
      </c>
      <c r="B51" s="5">
        <v>1</v>
      </c>
      <c r="C51" s="5">
        <v>130</v>
      </c>
      <c r="D51" s="5">
        <v>221</v>
      </c>
      <c r="E51" s="5">
        <v>0</v>
      </c>
      <c r="F51" s="5">
        <v>0</v>
      </c>
      <c r="G51" s="5">
        <v>163</v>
      </c>
      <c r="H51" s="5">
        <v>0</v>
      </c>
      <c r="I51" s="5">
        <v>0</v>
      </c>
      <c r="J51" s="5">
        <v>2</v>
      </c>
      <c r="K51" s="5">
        <v>3</v>
      </c>
    </row>
    <row r="52" spans="1:11" x14ac:dyDescent="0.25">
      <c r="A52" s="5">
        <v>69</v>
      </c>
      <c r="B52" s="5">
        <v>3</v>
      </c>
      <c r="C52" s="5">
        <v>160</v>
      </c>
      <c r="D52" s="5">
        <v>234</v>
      </c>
      <c r="E52" s="5">
        <v>1</v>
      </c>
      <c r="F52" s="5">
        <v>0</v>
      </c>
      <c r="G52" s="5">
        <v>131</v>
      </c>
      <c r="H52" s="5">
        <v>0</v>
      </c>
      <c r="I52" s="5">
        <v>0.1</v>
      </c>
      <c r="J52" s="5">
        <v>1</v>
      </c>
      <c r="K52" s="5">
        <v>2</v>
      </c>
    </row>
    <row r="53" spans="1:11" x14ac:dyDescent="0.25">
      <c r="A53" s="5">
        <v>45</v>
      </c>
      <c r="B53" s="5">
        <v>0</v>
      </c>
      <c r="C53" s="5">
        <v>115</v>
      </c>
      <c r="D53" s="5">
        <v>260</v>
      </c>
      <c r="E53" s="5">
        <v>0</v>
      </c>
      <c r="F53" s="5">
        <v>0</v>
      </c>
      <c r="G53" s="5">
        <v>185</v>
      </c>
      <c r="H53" s="5">
        <v>0</v>
      </c>
      <c r="I53" s="5">
        <v>0</v>
      </c>
      <c r="J53" s="5">
        <v>2</v>
      </c>
      <c r="K53" s="5">
        <v>2</v>
      </c>
    </row>
    <row r="54" spans="1:11" x14ac:dyDescent="0.25">
      <c r="A54" s="6">
        <v>64</v>
      </c>
      <c r="B54" s="6">
        <v>3</v>
      </c>
      <c r="C54" s="6">
        <v>170</v>
      </c>
      <c r="D54" s="6">
        <v>227</v>
      </c>
      <c r="E54" s="6">
        <v>0</v>
      </c>
      <c r="F54" s="6">
        <v>0</v>
      </c>
      <c r="G54" s="6">
        <v>155</v>
      </c>
      <c r="H54" s="6">
        <v>0</v>
      </c>
      <c r="I54" s="6">
        <v>0.6</v>
      </c>
      <c r="J54" s="6">
        <v>1</v>
      </c>
      <c r="K54" s="6">
        <v>3</v>
      </c>
    </row>
    <row r="55" spans="1:11" x14ac:dyDescent="0.25">
      <c r="A55" s="6">
        <v>42</v>
      </c>
      <c r="B55" s="6">
        <v>3</v>
      </c>
      <c r="C55" s="6">
        <v>148</v>
      </c>
      <c r="D55" s="6">
        <v>244</v>
      </c>
      <c r="E55" s="6">
        <v>0</v>
      </c>
      <c r="F55" s="6">
        <v>0</v>
      </c>
      <c r="G55" s="6">
        <v>178</v>
      </c>
      <c r="H55" s="6">
        <v>0</v>
      </c>
      <c r="I55" s="6">
        <v>0.8</v>
      </c>
      <c r="J55" s="6">
        <v>2</v>
      </c>
      <c r="K55" s="6">
        <v>2</v>
      </c>
    </row>
    <row r="56" spans="1:11" x14ac:dyDescent="0.25">
      <c r="A56" s="5">
        <v>42</v>
      </c>
      <c r="B56" s="5">
        <v>2</v>
      </c>
      <c r="C56" s="5">
        <v>120</v>
      </c>
      <c r="D56" s="5">
        <v>240</v>
      </c>
      <c r="E56" s="5">
        <v>1</v>
      </c>
      <c r="F56" s="5">
        <v>1</v>
      </c>
      <c r="G56" s="5">
        <v>194</v>
      </c>
      <c r="H56" s="5">
        <v>0</v>
      </c>
      <c r="I56" s="5">
        <v>0.8</v>
      </c>
      <c r="J56" s="5">
        <v>0</v>
      </c>
      <c r="K56" s="5">
        <v>3</v>
      </c>
    </row>
    <row r="57" spans="1:11" x14ac:dyDescent="0.25">
      <c r="A57" s="6">
        <v>49</v>
      </c>
      <c r="B57" s="6">
        <v>1</v>
      </c>
      <c r="C57" s="6">
        <v>130</v>
      </c>
      <c r="D57" s="6">
        <v>266</v>
      </c>
      <c r="E57" s="6">
        <v>0</v>
      </c>
      <c r="F57" s="6">
        <v>1</v>
      </c>
      <c r="G57" s="6">
        <v>171</v>
      </c>
      <c r="H57" s="6">
        <v>0</v>
      </c>
      <c r="I57" s="6">
        <v>0.6</v>
      </c>
      <c r="J57" s="6">
        <v>2</v>
      </c>
      <c r="K57" s="6">
        <v>2</v>
      </c>
    </row>
    <row r="58" spans="1:11" x14ac:dyDescent="0.25">
      <c r="A58" s="6">
        <v>51</v>
      </c>
      <c r="B58" s="6">
        <v>0</v>
      </c>
      <c r="C58" s="6">
        <v>140</v>
      </c>
      <c r="D58" s="6">
        <v>261</v>
      </c>
      <c r="E58" s="6">
        <v>0</v>
      </c>
      <c r="F58" s="6">
        <v>0</v>
      </c>
      <c r="G58" s="6">
        <v>186</v>
      </c>
      <c r="H58" s="6">
        <v>1</v>
      </c>
      <c r="I58" s="6">
        <v>0</v>
      </c>
      <c r="J58" s="6">
        <v>2</v>
      </c>
      <c r="K58" s="6">
        <v>2</v>
      </c>
    </row>
    <row r="59" spans="1:11" x14ac:dyDescent="0.25">
      <c r="A59" s="5">
        <v>54</v>
      </c>
      <c r="B59" s="5">
        <v>2</v>
      </c>
      <c r="C59" s="5">
        <v>150</v>
      </c>
      <c r="D59" s="5">
        <v>232</v>
      </c>
      <c r="E59" s="5">
        <v>0</v>
      </c>
      <c r="F59" s="5">
        <v>0</v>
      </c>
      <c r="G59" s="5">
        <v>165</v>
      </c>
      <c r="H59" s="5">
        <v>0</v>
      </c>
      <c r="I59" s="5">
        <v>1.6</v>
      </c>
      <c r="J59" s="5">
        <v>2</v>
      </c>
      <c r="K59" s="5">
        <v>3</v>
      </c>
    </row>
    <row r="60" spans="1:11" x14ac:dyDescent="0.25">
      <c r="A60" s="5">
        <v>52</v>
      </c>
      <c r="B60" s="5">
        <v>1</v>
      </c>
      <c r="C60" s="5">
        <v>128</v>
      </c>
      <c r="D60" s="5">
        <v>205</v>
      </c>
      <c r="E60" s="5">
        <v>1</v>
      </c>
      <c r="F60" s="5">
        <v>1</v>
      </c>
      <c r="G60" s="5">
        <v>184</v>
      </c>
      <c r="H60" s="5">
        <v>0</v>
      </c>
      <c r="I60" s="5">
        <v>0</v>
      </c>
      <c r="J60" s="5">
        <v>2</v>
      </c>
      <c r="K60" s="5">
        <v>2</v>
      </c>
    </row>
    <row r="61" spans="1:11" x14ac:dyDescent="0.25">
      <c r="A61" s="6">
        <v>51</v>
      </c>
      <c r="B61" s="6">
        <v>2</v>
      </c>
      <c r="C61" s="6">
        <v>125</v>
      </c>
      <c r="D61" s="6">
        <v>245</v>
      </c>
      <c r="E61" s="6">
        <v>1</v>
      </c>
      <c r="F61" s="6">
        <v>0</v>
      </c>
      <c r="G61" s="6">
        <v>166</v>
      </c>
      <c r="H61" s="6">
        <v>0</v>
      </c>
      <c r="I61" s="6">
        <v>2.4</v>
      </c>
      <c r="J61" s="6">
        <v>1</v>
      </c>
      <c r="K61" s="6">
        <v>2</v>
      </c>
    </row>
    <row r="62" spans="1:11" x14ac:dyDescent="0.25">
      <c r="A62" s="5">
        <v>44</v>
      </c>
      <c r="B62" s="5">
        <v>1</v>
      </c>
      <c r="C62" s="5">
        <v>130</v>
      </c>
      <c r="D62" s="5">
        <v>219</v>
      </c>
      <c r="E62" s="5">
        <v>0</v>
      </c>
      <c r="F62" s="5">
        <v>0</v>
      </c>
      <c r="G62" s="5">
        <v>188</v>
      </c>
      <c r="H62" s="5">
        <v>0</v>
      </c>
      <c r="I62" s="5">
        <v>0</v>
      </c>
      <c r="J62" s="5">
        <v>2</v>
      </c>
      <c r="K62" s="5">
        <v>2</v>
      </c>
    </row>
    <row r="63" spans="1:11" x14ac:dyDescent="0.25">
      <c r="A63" s="5">
        <v>44</v>
      </c>
      <c r="B63" s="5">
        <v>2</v>
      </c>
      <c r="C63" s="5">
        <v>120</v>
      </c>
      <c r="D63" s="5">
        <v>226</v>
      </c>
      <c r="E63" s="5">
        <v>0</v>
      </c>
      <c r="F63" s="5">
        <v>1</v>
      </c>
      <c r="G63" s="5">
        <v>169</v>
      </c>
      <c r="H63" s="5">
        <v>0</v>
      </c>
      <c r="I63" s="5">
        <v>0</v>
      </c>
      <c r="J63" s="5">
        <v>2</v>
      </c>
      <c r="K63" s="5">
        <v>2</v>
      </c>
    </row>
    <row r="64" spans="1:11" x14ac:dyDescent="0.25">
      <c r="A64" s="5">
        <v>48</v>
      </c>
      <c r="B64" s="5">
        <v>0</v>
      </c>
      <c r="C64" s="5">
        <v>122</v>
      </c>
      <c r="D64" s="5">
        <v>222</v>
      </c>
      <c r="E64" s="5">
        <v>0</v>
      </c>
      <c r="F64" s="5">
        <v>0</v>
      </c>
      <c r="G64" s="5">
        <v>186</v>
      </c>
      <c r="H64" s="5">
        <v>0</v>
      </c>
      <c r="I64" s="5">
        <v>0</v>
      </c>
      <c r="J64" s="5">
        <v>2</v>
      </c>
      <c r="K64" s="5">
        <v>2</v>
      </c>
    </row>
    <row r="65" spans="1:11" x14ac:dyDescent="0.25">
      <c r="A65" s="5">
        <v>43</v>
      </c>
      <c r="B65" s="5">
        <v>0</v>
      </c>
      <c r="C65" s="5">
        <v>110</v>
      </c>
      <c r="D65" s="5">
        <v>211</v>
      </c>
      <c r="E65" s="5">
        <v>0</v>
      </c>
      <c r="F65" s="5">
        <v>1</v>
      </c>
      <c r="G65" s="5">
        <v>161</v>
      </c>
      <c r="H65" s="5">
        <v>0</v>
      </c>
      <c r="I65" s="5">
        <v>0</v>
      </c>
      <c r="J65" s="5">
        <v>2</v>
      </c>
      <c r="K65" s="5">
        <v>3</v>
      </c>
    </row>
    <row r="66" spans="1:11" x14ac:dyDescent="0.25">
      <c r="A66" s="6">
        <v>66</v>
      </c>
      <c r="B66" s="6">
        <v>0</v>
      </c>
      <c r="C66" s="6">
        <v>160</v>
      </c>
      <c r="D66" s="6">
        <v>228</v>
      </c>
      <c r="E66" s="6">
        <v>0</v>
      </c>
      <c r="F66" s="6">
        <v>0</v>
      </c>
      <c r="G66" s="6">
        <v>138</v>
      </c>
      <c r="H66" s="6">
        <v>0</v>
      </c>
      <c r="I66" s="6">
        <v>2.2999999999999998</v>
      </c>
      <c r="J66" s="6">
        <v>2</v>
      </c>
      <c r="K66" s="6">
        <v>1</v>
      </c>
    </row>
    <row r="67" spans="1:11" x14ac:dyDescent="0.25">
      <c r="A67" s="5">
        <v>57</v>
      </c>
      <c r="B67" s="5">
        <v>0</v>
      </c>
      <c r="C67" s="5">
        <v>132</v>
      </c>
      <c r="D67" s="5">
        <v>207</v>
      </c>
      <c r="E67" s="5">
        <v>0</v>
      </c>
      <c r="F67" s="5">
        <v>1</v>
      </c>
      <c r="G67" s="5">
        <v>168</v>
      </c>
      <c r="H67" s="5">
        <v>1</v>
      </c>
      <c r="I67" s="5">
        <v>0</v>
      </c>
      <c r="J67" s="5">
        <v>2</v>
      </c>
      <c r="K67" s="5">
        <v>3</v>
      </c>
    </row>
    <row r="68" spans="1:11" x14ac:dyDescent="0.25">
      <c r="A68" s="5">
        <v>35</v>
      </c>
      <c r="B68" s="5">
        <v>1</v>
      </c>
      <c r="C68" s="5">
        <v>122</v>
      </c>
      <c r="D68" s="5">
        <v>192</v>
      </c>
      <c r="E68" s="5">
        <v>0</v>
      </c>
      <c r="F68" s="5">
        <v>1</v>
      </c>
      <c r="G68" s="5">
        <v>174</v>
      </c>
      <c r="H68" s="5">
        <v>0</v>
      </c>
      <c r="I68" s="5">
        <v>0</v>
      </c>
      <c r="J68" s="5">
        <v>2</v>
      </c>
      <c r="K68" s="5">
        <v>2</v>
      </c>
    </row>
    <row r="69" spans="1:11" x14ac:dyDescent="0.25">
      <c r="A69" s="5">
        <v>61</v>
      </c>
      <c r="B69" s="5">
        <v>2</v>
      </c>
      <c r="C69" s="5">
        <v>150</v>
      </c>
      <c r="D69" s="5">
        <v>243</v>
      </c>
      <c r="E69" s="5">
        <v>1</v>
      </c>
      <c r="F69" s="5">
        <v>1</v>
      </c>
      <c r="G69" s="5">
        <v>137</v>
      </c>
      <c r="H69" s="5">
        <v>1</v>
      </c>
      <c r="I69" s="5">
        <v>1</v>
      </c>
      <c r="J69" s="5">
        <v>1</v>
      </c>
      <c r="K69" s="5">
        <v>2</v>
      </c>
    </row>
    <row r="70" spans="1:11" x14ac:dyDescent="0.25">
      <c r="A70" s="6">
        <v>52</v>
      </c>
      <c r="B70" s="6">
        <v>1</v>
      </c>
      <c r="C70" s="6">
        <v>120</v>
      </c>
      <c r="D70" s="6">
        <v>325</v>
      </c>
      <c r="E70" s="6">
        <v>0</v>
      </c>
      <c r="F70" s="6">
        <v>1</v>
      </c>
      <c r="G70" s="6">
        <v>172</v>
      </c>
      <c r="H70" s="6">
        <v>0</v>
      </c>
      <c r="I70" s="6">
        <v>0.2</v>
      </c>
      <c r="J70" s="6">
        <v>2</v>
      </c>
      <c r="K70" s="6">
        <v>2</v>
      </c>
    </row>
    <row r="71" spans="1:11" x14ac:dyDescent="0.25">
      <c r="A71" s="6">
        <v>51</v>
      </c>
      <c r="B71" s="6">
        <v>2</v>
      </c>
      <c r="C71" s="6">
        <v>94</v>
      </c>
      <c r="D71" s="6">
        <v>227</v>
      </c>
      <c r="E71" s="6">
        <v>0</v>
      </c>
      <c r="F71" s="6">
        <v>1</v>
      </c>
      <c r="G71" s="6">
        <v>154</v>
      </c>
      <c r="H71" s="6">
        <v>1</v>
      </c>
      <c r="I71" s="6">
        <v>0</v>
      </c>
      <c r="J71" s="6">
        <v>2</v>
      </c>
      <c r="K71" s="6">
        <v>3</v>
      </c>
    </row>
    <row r="72" spans="1:11" x14ac:dyDescent="0.25">
      <c r="A72" s="6">
        <v>37</v>
      </c>
      <c r="B72" s="6">
        <v>2</v>
      </c>
      <c r="C72" s="6">
        <v>130</v>
      </c>
      <c r="D72" s="6">
        <v>250</v>
      </c>
      <c r="E72" s="6">
        <v>0</v>
      </c>
      <c r="F72" s="6">
        <v>1</v>
      </c>
      <c r="G72" s="6">
        <v>187</v>
      </c>
      <c r="H72" s="6">
        <v>0</v>
      </c>
      <c r="I72" s="6">
        <v>3.5</v>
      </c>
      <c r="J72" s="6">
        <v>0</v>
      </c>
      <c r="K72" s="6">
        <v>2</v>
      </c>
    </row>
    <row r="73" spans="1:11" x14ac:dyDescent="0.25">
      <c r="A73" s="5">
        <v>54</v>
      </c>
      <c r="B73" s="5">
        <v>2</v>
      </c>
      <c r="C73" s="5">
        <v>125</v>
      </c>
      <c r="D73" s="5">
        <v>273</v>
      </c>
      <c r="E73" s="5">
        <v>0</v>
      </c>
      <c r="F73" s="5">
        <v>0</v>
      </c>
      <c r="G73" s="5">
        <v>152</v>
      </c>
      <c r="H73" s="5">
        <v>0</v>
      </c>
      <c r="I73" s="5">
        <v>0.5</v>
      </c>
      <c r="J73" s="5">
        <v>0</v>
      </c>
      <c r="K73" s="5">
        <v>2</v>
      </c>
    </row>
    <row r="74" spans="1:11" x14ac:dyDescent="0.25">
      <c r="A74" s="5">
        <v>52</v>
      </c>
      <c r="B74" s="5">
        <v>2</v>
      </c>
      <c r="C74" s="5">
        <v>172</v>
      </c>
      <c r="D74" s="5">
        <v>199</v>
      </c>
      <c r="E74" s="5">
        <v>1</v>
      </c>
      <c r="F74" s="5">
        <v>1</v>
      </c>
      <c r="G74" s="5">
        <v>162</v>
      </c>
      <c r="H74" s="5">
        <v>0</v>
      </c>
      <c r="I74" s="5">
        <v>0.5</v>
      </c>
      <c r="J74" s="5">
        <v>2</v>
      </c>
      <c r="K74" s="5">
        <v>3</v>
      </c>
    </row>
    <row r="75" spans="1:11" x14ac:dyDescent="0.25">
      <c r="A75" s="5">
        <v>57</v>
      </c>
      <c r="B75" s="5">
        <v>0</v>
      </c>
      <c r="C75" s="5">
        <v>110</v>
      </c>
      <c r="D75" s="5">
        <v>201</v>
      </c>
      <c r="E75" s="5">
        <v>0</v>
      </c>
      <c r="F75" s="5">
        <v>1</v>
      </c>
      <c r="G75" s="5">
        <v>126</v>
      </c>
      <c r="H75" s="5">
        <v>1</v>
      </c>
      <c r="I75" s="5">
        <v>1.5</v>
      </c>
      <c r="J75" s="5">
        <v>1</v>
      </c>
      <c r="K75" s="5">
        <v>1</v>
      </c>
    </row>
    <row r="76" spans="1:11" x14ac:dyDescent="0.25">
      <c r="A76" s="5">
        <v>53</v>
      </c>
      <c r="B76" s="5">
        <v>2</v>
      </c>
      <c r="C76" s="5">
        <v>130</v>
      </c>
      <c r="D76" s="5">
        <v>246</v>
      </c>
      <c r="E76" s="5">
        <v>1</v>
      </c>
      <c r="F76" s="5">
        <v>0</v>
      </c>
      <c r="G76" s="5">
        <v>173</v>
      </c>
      <c r="H76" s="5">
        <v>0</v>
      </c>
      <c r="I76" s="5">
        <v>0</v>
      </c>
      <c r="J76" s="5">
        <v>2</v>
      </c>
      <c r="K76" s="5">
        <v>2</v>
      </c>
    </row>
    <row r="77" spans="1:11" x14ac:dyDescent="0.25">
      <c r="A77" s="5">
        <v>58</v>
      </c>
      <c r="B77" s="5">
        <v>2</v>
      </c>
      <c r="C77" s="5">
        <v>105</v>
      </c>
      <c r="D77" s="5">
        <v>240</v>
      </c>
      <c r="E77" s="5">
        <v>0</v>
      </c>
      <c r="F77" s="5">
        <v>0</v>
      </c>
      <c r="G77" s="5">
        <v>154</v>
      </c>
      <c r="H77" s="5">
        <v>1</v>
      </c>
      <c r="I77" s="5">
        <v>0.6</v>
      </c>
      <c r="J77" s="5">
        <v>1</v>
      </c>
      <c r="K77" s="5">
        <v>3</v>
      </c>
    </row>
    <row r="78" spans="1:11" x14ac:dyDescent="0.25">
      <c r="A78" s="6">
        <v>51</v>
      </c>
      <c r="B78" s="6">
        <v>2</v>
      </c>
      <c r="C78" s="6">
        <v>110</v>
      </c>
      <c r="D78" s="6">
        <v>175</v>
      </c>
      <c r="E78" s="6">
        <v>0</v>
      </c>
      <c r="F78" s="6">
        <v>1</v>
      </c>
      <c r="G78" s="6">
        <v>123</v>
      </c>
      <c r="H78" s="6">
        <v>0</v>
      </c>
      <c r="I78" s="6">
        <v>0.6</v>
      </c>
      <c r="J78" s="6">
        <v>2</v>
      </c>
      <c r="K78" s="6">
        <v>2</v>
      </c>
    </row>
    <row r="79" spans="1:11" x14ac:dyDescent="0.25">
      <c r="A79" s="5">
        <v>63</v>
      </c>
      <c r="B79" s="5">
        <v>3</v>
      </c>
      <c r="C79" s="5">
        <v>145</v>
      </c>
      <c r="D79" s="5">
        <v>233</v>
      </c>
      <c r="E79" s="5">
        <v>1</v>
      </c>
      <c r="F79" s="5">
        <v>0</v>
      </c>
      <c r="G79" s="5">
        <v>150</v>
      </c>
      <c r="H79" s="5">
        <v>0</v>
      </c>
      <c r="I79" s="5">
        <v>2.2999999999999998</v>
      </c>
      <c r="J79" s="5">
        <v>0</v>
      </c>
      <c r="K79" s="5">
        <v>1</v>
      </c>
    </row>
    <row r="80" spans="1:11" x14ac:dyDescent="0.25">
      <c r="A80" s="5">
        <v>70</v>
      </c>
      <c r="B80" s="5">
        <v>1</v>
      </c>
      <c r="C80" s="5">
        <v>156</v>
      </c>
      <c r="D80" s="5">
        <v>245</v>
      </c>
      <c r="E80" s="5">
        <v>0</v>
      </c>
      <c r="F80" s="5">
        <v>0</v>
      </c>
      <c r="G80" s="5">
        <v>143</v>
      </c>
      <c r="H80" s="5">
        <v>0</v>
      </c>
      <c r="I80" s="5">
        <v>0</v>
      </c>
      <c r="J80" s="5">
        <v>2</v>
      </c>
      <c r="K80" s="5">
        <v>2</v>
      </c>
    </row>
    <row r="81" spans="1:11" x14ac:dyDescent="0.25">
      <c r="A81" s="5">
        <v>57</v>
      </c>
      <c r="B81" s="5">
        <v>2</v>
      </c>
      <c r="C81" s="5">
        <v>150</v>
      </c>
      <c r="D81" s="5">
        <v>168</v>
      </c>
      <c r="E81" s="5">
        <v>0</v>
      </c>
      <c r="F81" s="5">
        <v>1</v>
      </c>
      <c r="G81" s="5">
        <v>174</v>
      </c>
      <c r="H81" s="5">
        <v>0</v>
      </c>
      <c r="I81" s="5">
        <v>1.6</v>
      </c>
      <c r="J81" s="5">
        <v>2</v>
      </c>
      <c r="K81" s="5">
        <v>2</v>
      </c>
    </row>
    <row r="82" spans="1:11" x14ac:dyDescent="0.25">
      <c r="A82" s="6">
        <v>47</v>
      </c>
      <c r="B82" s="6">
        <v>2</v>
      </c>
      <c r="C82" s="6">
        <v>130</v>
      </c>
      <c r="D82" s="6">
        <v>253</v>
      </c>
      <c r="E82" s="6">
        <v>0</v>
      </c>
      <c r="F82" s="6">
        <v>1</v>
      </c>
      <c r="G82" s="6">
        <v>179</v>
      </c>
      <c r="H82" s="6">
        <v>0</v>
      </c>
      <c r="I82" s="6">
        <v>0</v>
      </c>
      <c r="J82" s="6">
        <v>2</v>
      </c>
      <c r="K82" s="6">
        <v>2</v>
      </c>
    </row>
    <row r="83" spans="1:11" x14ac:dyDescent="0.25">
      <c r="A83" s="5">
        <v>41</v>
      </c>
      <c r="B83" s="5">
        <v>2</v>
      </c>
      <c r="C83" s="5">
        <v>130</v>
      </c>
      <c r="D83" s="5">
        <v>214</v>
      </c>
      <c r="E83" s="5">
        <v>0</v>
      </c>
      <c r="F83" s="5">
        <v>0</v>
      </c>
      <c r="G83" s="5">
        <v>168</v>
      </c>
      <c r="H83" s="5">
        <v>0</v>
      </c>
      <c r="I83" s="5">
        <v>2</v>
      </c>
      <c r="J83" s="5">
        <v>1</v>
      </c>
      <c r="K83" s="5">
        <v>2</v>
      </c>
    </row>
    <row r="84" spans="1:11" x14ac:dyDescent="0.25">
      <c r="A84" s="6">
        <v>59</v>
      </c>
      <c r="B84" s="6">
        <v>0</v>
      </c>
      <c r="C84" s="6">
        <v>135</v>
      </c>
      <c r="D84" s="6">
        <v>234</v>
      </c>
      <c r="E84" s="6">
        <v>0</v>
      </c>
      <c r="F84" s="6">
        <v>1</v>
      </c>
      <c r="G84" s="6">
        <v>161</v>
      </c>
      <c r="H84" s="6">
        <v>0</v>
      </c>
      <c r="I84" s="6">
        <v>0.5</v>
      </c>
      <c r="J84" s="6">
        <v>1</v>
      </c>
      <c r="K84" s="6">
        <v>3</v>
      </c>
    </row>
    <row r="85" spans="1:11" x14ac:dyDescent="0.25">
      <c r="A85" s="5">
        <v>54</v>
      </c>
      <c r="B85" s="5">
        <v>0</v>
      </c>
      <c r="C85" s="5">
        <v>140</v>
      </c>
      <c r="D85" s="5">
        <v>239</v>
      </c>
      <c r="E85" s="5">
        <v>0</v>
      </c>
      <c r="F85" s="5">
        <v>1</v>
      </c>
      <c r="G85" s="5">
        <v>160</v>
      </c>
      <c r="H85" s="5">
        <v>0</v>
      </c>
      <c r="I85" s="5">
        <v>1.2</v>
      </c>
      <c r="J85" s="5">
        <v>2</v>
      </c>
      <c r="K85" s="5">
        <v>2</v>
      </c>
    </row>
    <row r="86" spans="1:11" x14ac:dyDescent="0.25">
      <c r="A86" s="6">
        <v>58</v>
      </c>
      <c r="B86" s="6">
        <v>1</v>
      </c>
      <c r="C86" s="6">
        <v>125</v>
      </c>
      <c r="D86" s="6">
        <v>220</v>
      </c>
      <c r="E86" s="6">
        <v>0</v>
      </c>
      <c r="F86" s="6">
        <v>1</v>
      </c>
      <c r="G86" s="6">
        <v>144</v>
      </c>
      <c r="H86" s="6">
        <v>0</v>
      </c>
      <c r="I86" s="6">
        <v>0.4</v>
      </c>
      <c r="J86" s="6">
        <v>1</v>
      </c>
      <c r="K86" s="6">
        <v>3</v>
      </c>
    </row>
    <row r="87" spans="1:11" x14ac:dyDescent="0.25">
      <c r="A87" s="6">
        <v>59</v>
      </c>
      <c r="B87" s="6">
        <v>3</v>
      </c>
      <c r="C87" s="6">
        <v>178</v>
      </c>
      <c r="D87" s="6">
        <v>270</v>
      </c>
      <c r="E87" s="6">
        <v>0</v>
      </c>
      <c r="F87" s="6">
        <v>0</v>
      </c>
      <c r="G87" s="6">
        <v>145</v>
      </c>
      <c r="H87" s="6">
        <v>0</v>
      </c>
      <c r="I87" s="6">
        <v>4.2</v>
      </c>
      <c r="J87" s="6">
        <v>0</v>
      </c>
      <c r="K87" s="6">
        <v>3</v>
      </c>
    </row>
    <row r="88" spans="1:11" x14ac:dyDescent="0.25">
      <c r="A88" s="5">
        <v>44</v>
      </c>
      <c r="B88" s="5">
        <v>2</v>
      </c>
      <c r="C88" s="5">
        <v>140</v>
      </c>
      <c r="D88" s="5">
        <v>235</v>
      </c>
      <c r="E88" s="5">
        <v>0</v>
      </c>
      <c r="F88" s="5">
        <v>0</v>
      </c>
      <c r="G88" s="5">
        <v>180</v>
      </c>
      <c r="H88" s="5">
        <v>0</v>
      </c>
      <c r="I88" s="5">
        <v>0</v>
      </c>
      <c r="J88" s="5">
        <v>2</v>
      </c>
      <c r="K88" s="5">
        <v>2</v>
      </c>
    </row>
    <row r="89" spans="1:11" x14ac:dyDescent="0.25">
      <c r="A89" s="6">
        <v>68</v>
      </c>
      <c r="B89" s="6">
        <v>2</v>
      </c>
      <c r="C89" s="6">
        <v>118</v>
      </c>
      <c r="D89" s="6">
        <v>277</v>
      </c>
      <c r="E89" s="6">
        <v>0</v>
      </c>
      <c r="F89" s="6">
        <v>1</v>
      </c>
      <c r="G89" s="6">
        <v>151</v>
      </c>
      <c r="H89" s="6">
        <v>0</v>
      </c>
      <c r="I89" s="6">
        <v>1</v>
      </c>
      <c r="J89" s="6">
        <v>2</v>
      </c>
      <c r="K89" s="6">
        <v>3</v>
      </c>
    </row>
    <row r="90" spans="1:11" x14ac:dyDescent="0.25">
      <c r="A90" s="5">
        <v>46</v>
      </c>
      <c r="B90" s="5">
        <v>1</v>
      </c>
      <c r="C90" s="5">
        <v>101</v>
      </c>
      <c r="D90" s="5">
        <v>197</v>
      </c>
      <c r="E90" s="5">
        <v>1</v>
      </c>
      <c r="F90" s="5">
        <v>1</v>
      </c>
      <c r="G90" s="5">
        <v>156</v>
      </c>
      <c r="H90" s="5">
        <v>0</v>
      </c>
      <c r="I90" s="5">
        <v>0</v>
      </c>
      <c r="J90" s="5">
        <v>2</v>
      </c>
      <c r="K90" s="5">
        <v>3</v>
      </c>
    </row>
    <row r="91" spans="1:11" x14ac:dyDescent="0.25">
      <c r="A91" s="5">
        <v>55</v>
      </c>
      <c r="B91" s="5">
        <v>1</v>
      </c>
      <c r="C91" s="5">
        <v>130</v>
      </c>
      <c r="D91" s="5">
        <v>262</v>
      </c>
      <c r="E91" s="5">
        <v>0</v>
      </c>
      <c r="F91" s="5">
        <v>1</v>
      </c>
      <c r="G91" s="5">
        <v>155</v>
      </c>
      <c r="H91" s="5">
        <v>0</v>
      </c>
      <c r="I91" s="5">
        <v>0</v>
      </c>
      <c r="J91" s="5">
        <v>2</v>
      </c>
      <c r="K91" s="5">
        <v>2</v>
      </c>
    </row>
    <row r="92" spans="1:11" x14ac:dyDescent="0.25">
      <c r="A92" s="6">
        <v>43</v>
      </c>
      <c r="B92" s="6">
        <v>0</v>
      </c>
      <c r="C92" s="6">
        <v>115</v>
      </c>
      <c r="D92" s="6">
        <v>303</v>
      </c>
      <c r="E92" s="6">
        <v>0</v>
      </c>
      <c r="F92" s="6">
        <v>1</v>
      </c>
      <c r="G92" s="6">
        <v>181</v>
      </c>
      <c r="H92" s="6">
        <v>0</v>
      </c>
      <c r="I92" s="6">
        <v>1.2</v>
      </c>
      <c r="J92" s="6">
        <v>1</v>
      </c>
      <c r="K92" s="6">
        <v>2</v>
      </c>
    </row>
    <row r="93" spans="1:11" x14ac:dyDescent="0.25">
      <c r="A93" s="6">
        <v>65</v>
      </c>
      <c r="B93" s="6">
        <v>0</v>
      </c>
      <c r="C93" s="6">
        <v>120</v>
      </c>
      <c r="D93" s="6">
        <v>177</v>
      </c>
      <c r="E93" s="6">
        <v>0</v>
      </c>
      <c r="F93" s="6">
        <v>1</v>
      </c>
      <c r="G93" s="6">
        <v>140</v>
      </c>
      <c r="H93" s="6">
        <v>0</v>
      </c>
      <c r="I93" s="6">
        <v>0.4</v>
      </c>
      <c r="J93" s="6">
        <v>2</v>
      </c>
      <c r="K93" s="6">
        <v>3</v>
      </c>
    </row>
  </sheetData>
  <conditionalFormatting sqref="C1:C9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9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3"/>
  <sheetViews>
    <sheetView zoomScale="120" zoomScaleNormal="120" workbookViewId="0">
      <selection activeCell="B2" sqref="A2:K227"/>
    </sheetView>
  </sheetViews>
  <sheetFormatPr defaultRowHeight="15" x14ac:dyDescent="0.25"/>
  <cols>
    <col min="3" max="3" width="9.7109375" customWidth="1"/>
    <col min="6" max="6" width="9.5703125" customWidth="1"/>
    <col min="9" max="9" width="10.28515625" customWidth="1"/>
    <col min="13" max="13" width="11.28515625" bestFit="1" customWidth="1"/>
  </cols>
  <sheetData>
    <row r="1" spans="1:11" x14ac:dyDescent="0.25">
      <c r="A1" s="9" t="s">
        <v>0</v>
      </c>
      <c r="B1" s="9" t="s">
        <v>11</v>
      </c>
      <c r="C1" s="9" t="s">
        <v>10</v>
      </c>
      <c r="D1" s="9" t="s">
        <v>2</v>
      </c>
      <c r="E1" s="9" t="s">
        <v>3</v>
      </c>
      <c r="F1" s="9" t="s">
        <v>4</v>
      </c>
      <c r="G1" s="9" t="s">
        <v>12</v>
      </c>
      <c r="H1" s="9" t="s">
        <v>5</v>
      </c>
      <c r="I1" s="9" t="s">
        <v>6</v>
      </c>
      <c r="J1" s="9" t="s">
        <v>7</v>
      </c>
      <c r="K1" s="9" t="s">
        <v>8</v>
      </c>
    </row>
    <row r="2" spans="1:11" x14ac:dyDescent="0.25">
      <c r="A2" s="5">
        <v>58</v>
      </c>
      <c r="B2" s="5">
        <v>0</v>
      </c>
      <c r="C2" s="5">
        <v>100</v>
      </c>
      <c r="D2" s="5">
        <v>248</v>
      </c>
      <c r="E2" s="5">
        <v>0</v>
      </c>
      <c r="F2" s="5">
        <v>0</v>
      </c>
      <c r="G2" s="5">
        <v>122</v>
      </c>
      <c r="H2" s="5">
        <v>0</v>
      </c>
      <c r="I2" s="5">
        <v>1</v>
      </c>
      <c r="J2" s="5">
        <v>1</v>
      </c>
      <c r="K2" s="5">
        <v>2</v>
      </c>
    </row>
    <row r="3" spans="1:11" x14ac:dyDescent="0.25">
      <c r="A3" s="6">
        <v>71</v>
      </c>
      <c r="B3" s="6">
        <v>0</v>
      </c>
      <c r="C3" s="6">
        <v>112</v>
      </c>
      <c r="D3" s="6">
        <v>149</v>
      </c>
      <c r="E3" s="6">
        <v>0</v>
      </c>
      <c r="F3" s="6">
        <v>1</v>
      </c>
      <c r="G3" s="6">
        <v>125</v>
      </c>
      <c r="H3" s="6">
        <v>0</v>
      </c>
      <c r="I3" s="6">
        <v>1.6</v>
      </c>
      <c r="J3" s="6">
        <v>1</v>
      </c>
      <c r="K3" s="6">
        <v>2</v>
      </c>
    </row>
    <row r="4" spans="1:11" x14ac:dyDescent="0.25">
      <c r="A4" s="5">
        <v>34</v>
      </c>
      <c r="B4" s="5">
        <v>1</v>
      </c>
      <c r="C4" s="5">
        <v>118</v>
      </c>
      <c r="D4" s="5">
        <v>210</v>
      </c>
      <c r="E4" s="5">
        <v>0</v>
      </c>
      <c r="F4" s="5">
        <v>1</v>
      </c>
      <c r="G4" s="5">
        <v>192</v>
      </c>
      <c r="H4" s="5">
        <v>0</v>
      </c>
      <c r="I4" s="5">
        <v>0.7</v>
      </c>
      <c r="J4" s="5">
        <v>2</v>
      </c>
      <c r="K4" s="5">
        <v>2</v>
      </c>
    </row>
    <row r="5" spans="1:11" x14ac:dyDescent="0.25">
      <c r="A5" s="5">
        <v>51</v>
      </c>
      <c r="B5" s="5">
        <v>2</v>
      </c>
      <c r="C5" s="5">
        <v>140</v>
      </c>
      <c r="D5" s="5">
        <v>308</v>
      </c>
      <c r="E5" s="5">
        <v>0</v>
      </c>
      <c r="F5" s="5">
        <v>0</v>
      </c>
      <c r="G5" s="5">
        <v>142</v>
      </c>
      <c r="H5" s="5">
        <v>0</v>
      </c>
      <c r="I5" s="5">
        <v>1.5</v>
      </c>
      <c r="J5" s="5">
        <v>2</v>
      </c>
      <c r="K5" s="5">
        <v>2</v>
      </c>
    </row>
    <row r="6" spans="1:11" x14ac:dyDescent="0.25">
      <c r="A6" s="6">
        <v>50</v>
      </c>
      <c r="B6" s="6">
        <v>1</v>
      </c>
      <c r="C6" s="6">
        <v>120</v>
      </c>
      <c r="D6" s="6">
        <v>244</v>
      </c>
      <c r="E6" s="6">
        <v>0</v>
      </c>
      <c r="F6" s="6">
        <v>1</v>
      </c>
      <c r="G6" s="6">
        <v>162</v>
      </c>
      <c r="H6" s="6">
        <v>0</v>
      </c>
      <c r="I6" s="6">
        <v>1.1000000000000001</v>
      </c>
      <c r="J6" s="6">
        <v>2</v>
      </c>
      <c r="K6" s="6">
        <v>2</v>
      </c>
    </row>
    <row r="7" spans="1:11" x14ac:dyDescent="0.25">
      <c r="A7" s="6">
        <v>67</v>
      </c>
      <c r="B7" s="6">
        <v>0</v>
      </c>
      <c r="C7" s="6">
        <v>106</v>
      </c>
      <c r="D7" s="6">
        <v>223</v>
      </c>
      <c r="E7" s="6">
        <v>0</v>
      </c>
      <c r="F7" s="6">
        <v>1</v>
      </c>
      <c r="G7" s="6">
        <v>142</v>
      </c>
      <c r="H7" s="6">
        <v>0</v>
      </c>
      <c r="I7" s="6">
        <v>0.3</v>
      </c>
      <c r="J7" s="6">
        <v>2</v>
      </c>
      <c r="K7" s="6">
        <v>2</v>
      </c>
    </row>
    <row r="8" spans="1:11" x14ac:dyDescent="0.25">
      <c r="A8" s="6">
        <v>63</v>
      </c>
      <c r="B8" s="6">
        <v>2</v>
      </c>
      <c r="C8" s="6">
        <v>135</v>
      </c>
      <c r="D8" s="6">
        <v>252</v>
      </c>
      <c r="E8" s="6">
        <v>0</v>
      </c>
      <c r="F8" s="6">
        <v>0</v>
      </c>
      <c r="G8" s="6">
        <v>172</v>
      </c>
      <c r="H8" s="6">
        <v>0</v>
      </c>
      <c r="I8" s="6">
        <v>0</v>
      </c>
      <c r="J8" s="6">
        <v>2</v>
      </c>
      <c r="K8" s="6">
        <v>2</v>
      </c>
    </row>
    <row r="9" spans="1:11" x14ac:dyDescent="0.25">
      <c r="A9" s="5">
        <v>42</v>
      </c>
      <c r="B9" s="5">
        <v>2</v>
      </c>
      <c r="C9" s="5">
        <v>120</v>
      </c>
      <c r="D9" s="5">
        <v>209</v>
      </c>
      <c r="E9" s="5">
        <v>0</v>
      </c>
      <c r="F9" s="5">
        <v>1</v>
      </c>
      <c r="G9" s="5">
        <v>173</v>
      </c>
      <c r="H9" s="5">
        <v>0</v>
      </c>
      <c r="I9" s="5">
        <v>0</v>
      </c>
      <c r="J9" s="5">
        <v>1</v>
      </c>
      <c r="K9" s="5">
        <v>2</v>
      </c>
    </row>
    <row r="10" spans="1:11" x14ac:dyDescent="0.25">
      <c r="A10" s="6">
        <v>65</v>
      </c>
      <c r="B10" s="6">
        <v>2</v>
      </c>
      <c r="C10" s="6">
        <v>160</v>
      </c>
      <c r="D10" s="6">
        <v>360</v>
      </c>
      <c r="E10" s="6">
        <v>0</v>
      </c>
      <c r="F10" s="6">
        <v>0</v>
      </c>
      <c r="G10" s="6">
        <v>151</v>
      </c>
      <c r="H10" s="6">
        <v>0</v>
      </c>
      <c r="I10" s="6">
        <v>0.8</v>
      </c>
      <c r="J10" s="6">
        <v>2</v>
      </c>
      <c r="K10" s="6">
        <v>2</v>
      </c>
    </row>
    <row r="11" spans="1:11" x14ac:dyDescent="0.25">
      <c r="A11" s="6">
        <v>55</v>
      </c>
      <c r="B11" s="6">
        <v>1</v>
      </c>
      <c r="C11" s="6">
        <v>132</v>
      </c>
      <c r="D11" s="6">
        <v>342</v>
      </c>
      <c r="E11" s="6">
        <v>0</v>
      </c>
      <c r="F11" s="6">
        <v>1</v>
      </c>
      <c r="G11" s="6">
        <v>166</v>
      </c>
      <c r="H11" s="6">
        <v>0</v>
      </c>
      <c r="I11" s="6">
        <v>1.2</v>
      </c>
      <c r="J11" s="6">
        <v>2</v>
      </c>
      <c r="K11" s="6">
        <v>2</v>
      </c>
    </row>
    <row r="12" spans="1:11" x14ac:dyDescent="0.25">
      <c r="A12" s="5">
        <v>66</v>
      </c>
      <c r="B12" s="5">
        <v>2</v>
      </c>
      <c r="C12" s="5">
        <v>146</v>
      </c>
      <c r="D12" s="5">
        <v>278</v>
      </c>
      <c r="E12" s="5">
        <v>0</v>
      </c>
      <c r="F12" s="5">
        <v>0</v>
      </c>
      <c r="G12" s="5">
        <v>152</v>
      </c>
      <c r="H12" s="5">
        <v>0</v>
      </c>
      <c r="I12" s="5">
        <v>0</v>
      </c>
      <c r="J12" s="5">
        <v>1</v>
      </c>
      <c r="K12" s="5">
        <v>2</v>
      </c>
    </row>
    <row r="13" spans="1:11" x14ac:dyDescent="0.25">
      <c r="A13" s="6">
        <v>58</v>
      </c>
      <c r="B13" s="6">
        <v>3</v>
      </c>
      <c r="C13" s="6">
        <v>150</v>
      </c>
      <c r="D13" s="6">
        <v>283</v>
      </c>
      <c r="E13" s="6">
        <v>1</v>
      </c>
      <c r="F13" s="6">
        <v>0</v>
      </c>
      <c r="G13" s="6">
        <v>162</v>
      </c>
      <c r="H13" s="6">
        <v>0</v>
      </c>
      <c r="I13" s="6">
        <v>1</v>
      </c>
      <c r="J13" s="6">
        <v>2</v>
      </c>
      <c r="K13" s="6">
        <v>2</v>
      </c>
    </row>
    <row r="14" spans="1:11" x14ac:dyDescent="0.25">
      <c r="A14" s="5">
        <v>37</v>
      </c>
      <c r="B14" s="5">
        <v>2</v>
      </c>
      <c r="C14" s="5">
        <v>120</v>
      </c>
      <c r="D14" s="5">
        <v>215</v>
      </c>
      <c r="E14" s="5">
        <v>0</v>
      </c>
      <c r="F14" s="5">
        <v>1</v>
      </c>
      <c r="G14" s="5">
        <v>170</v>
      </c>
      <c r="H14" s="5">
        <v>0</v>
      </c>
      <c r="I14" s="5">
        <v>0</v>
      </c>
      <c r="J14" s="5">
        <v>2</v>
      </c>
      <c r="K14" s="5">
        <v>2</v>
      </c>
    </row>
    <row r="15" spans="1:11" x14ac:dyDescent="0.25">
      <c r="A15" s="6">
        <v>54</v>
      </c>
      <c r="B15" s="6">
        <v>2</v>
      </c>
      <c r="C15" s="6">
        <v>108</v>
      </c>
      <c r="D15" s="6">
        <v>267</v>
      </c>
      <c r="E15" s="6">
        <v>0</v>
      </c>
      <c r="F15" s="6">
        <v>0</v>
      </c>
      <c r="G15" s="6">
        <v>167</v>
      </c>
      <c r="H15" s="6">
        <v>0</v>
      </c>
      <c r="I15" s="6">
        <v>0</v>
      </c>
      <c r="J15" s="6">
        <v>2</v>
      </c>
      <c r="K15" s="6">
        <v>2</v>
      </c>
    </row>
    <row r="16" spans="1:11" x14ac:dyDescent="0.25">
      <c r="A16" s="5">
        <v>62</v>
      </c>
      <c r="B16" s="5">
        <v>0</v>
      </c>
      <c r="C16" s="5">
        <v>124</v>
      </c>
      <c r="D16" s="5">
        <v>209</v>
      </c>
      <c r="E16" s="5">
        <v>0</v>
      </c>
      <c r="F16" s="5">
        <v>1</v>
      </c>
      <c r="G16" s="5">
        <v>163</v>
      </c>
      <c r="H16" s="5">
        <v>0</v>
      </c>
      <c r="I16" s="5">
        <v>0</v>
      </c>
      <c r="J16" s="5">
        <v>2</v>
      </c>
      <c r="K16" s="5">
        <v>2</v>
      </c>
    </row>
    <row r="17" spans="1:17" x14ac:dyDescent="0.25">
      <c r="A17" s="5">
        <v>45</v>
      </c>
      <c r="B17" s="5">
        <v>0</v>
      </c>
      <c r="C17" s="5">
        <v>138</v>
      </c>
      <c r="D17" s="5">
        <v>236</v>
      </c>
      <c r="E17" s="5">
        <v>0</v>
      </c>
      <c r="F17" s="5">
        <v>0</v>
      </c>
      <c r="G17" s="5">
        <v>152</v>
      </c>
      <c r="H17" s="5">
        <v>1</v>
      </c>
      <c r="I17" s="5">
        <v>0.2</v>
      </c>
      <c r="J17" s="5">
        <v>1</v>
      </c>
      <c r="K17" s="5">
        <v>2</v>
      </c>
    </row>
    <row r="18" spans="1:17" x14ac:dyDescent="0.25">
      <c r="A18" s="6">
        <v>57</v>
      </c>
      <c r="B18" s="6">
        <v>0</v>
      </c>
      <c r="C18" s="6">
        <v>128</v>
      </c>
      <c r="D18" s="6">
        <v>303</v>
      </c>
      <c r="E18" s="6">
        <v>0</v>
      </c>
      <c r="F18" s="6">
        <v>0</v>
      </c>
      <c r="G18" s="6">
        <v>159</v>
      </c>
      <c r="H18" s="6">
        <v>0</v>
      </c>
      <c r="I18" s="6">
        <v>0</v>
      </c>
      <c r="J18" s="6">
        <v>2</v>
      </c>
      <c r="K18" s="6">
        <v>2</v>
      </c>
    </row>
    <row r="19" spans="1:17" x14ac:dyDescent="0.25">
      <c r="A19" s="5">
        <v>76</v>
      </c>
      <c r="B19" s="5">
        <v>2</v>
      </c>
      <c r="C19" s="5">
        <v>140</v>
      </c>
      <c r="D19" s="5">
        <v>197</v>
      </c>
      <c r="E19" s="5">
        <v>0</v>
      </c>
      <c r="F19" s="5">
        <v>2</v>
      </c>
      <c r="G19" s="5">
        <v>116</v>
      </c>
      <c r="H19" s="5">
        <v>0</v>
      </c>
      <c r="I19" s="5">
        <v>1.1000000000000001</v>
      </c>
      <c r="J19" s="5">
        <v>1</v>
      </c>
      <c r="K19" s="5">
        <v>2</v>
      </c>
    </row>
    <row r="20" spans="1:17" x14ac:dyDescent="0.25">
      <c r="A20" s="6">
        <v>43</v>
      </c>
      <c r="B20" s="6">
        <v>2</v>
      </c>
      <c r="C20" s="6">
        <v>122</v>
      </c>
      <c r="D20" s="6">
        <v>213</v>
      </c>
      <c r="E20" s="6">
        <v>0</v>
      </c>
      <c r="F20" s="6">
        <v>1</v>
      </c>
      <c r="G20" s="6">
        <v>165</v>
      </c>
      <c r="H20" s="6">
        <v>0</v>
      </c>
      <c r="I20" s="6">
        <v>0.2</v>
      </c>
      <c r="J20" s="6">
        <v>1</v>
      </c>
      <c r="K20" s="6">
        <v>2</v>
      </c>
    </row>
    <row r="21" spans="1:17" x14ac:dyDescent="0.25">
      <c r="A21" s="5">
        <v>67</v>
      </c>
      <c r="B21" s="5">
        <v>2</v>
      </c>
      <c r="C21" s="5">
        <v>115</v>
      </c>
      <c r="D21" s="5">
        <v>564</v>
      </c>
      <c r="E21" s="5">
        <v>0</v>
      </c>
      <c r="F21" s="5">
        <v>0</v>
      </c>
      <c r="G21" s="5">
        <v>160</v>
      </c>
      <c r="H21" s="5">
        <v>0</v>
      </c>
      <c r="I21" s="5">
        <v>1.6</v>
      </c>
      <c r="J21" s="5">
        <v>1</v>
      </c>
      <c r="K21" s="5">
        <v>3</v>
      </c>
      <c r="M21" s="12" t="s">
        <v>24</v>
      </c>
      <c r="N21" s="12" t="s">
        <v>25</v>
      </c>
      <c r="O21" s="12" t="s">
        <v>26</v>
      </c>
      <c r="P21" s="12" t="s">
        <v>27</v>
      </c>
      <c r="Q21" s="12" t="s">
        <v>28</v>
      </c>
    </row>
    <row r="22" spans="1:17" x14ac:dyDescent="0.25">
      <c r="A22" s="5">
        <v>71</v>
      </c>
      <c r="B22" s="5">
        <v>1</v>
      </c>
      <c r="C22" s="5">
        <v>160</v>
      </c>
      <c r="D22" s="5">
        <v>302</v>
      </c>
      <c r="E22" s="5">
        <v>0</v>
      </c>
      <c r="F22" s="5">
        <v>1</v>
      </c>
      <c r="G22" s="5">
        <v>162</v>
      </c>
      <c r="H22" s="5">
        <v>0</v>
      </c>
      <c r="I22" s="5">
        <v>0.4</v>
      </c>
      <c r="J22" s="5">
        <v>2</v>
      </c>
      <c r="K22" s="5">
        <v>2</v>
      </c>
      <c r="M22" s="13" t="s">
        <v>29</v>
      </c>
      <c r="N22" s="14">
        <f>AVERAGE(A:A)</f>
        <v>54.555555555555557</v>
      </c>
      <c r="O22" s="14">
        <f>_xlfn.STDEV.P(A:A)</f>
        <v>10.193801069616455</v>
      </c>
      <c r="P22" s="14">
        <f>MIN(A:A)</f>
        <v>34</v>
      </c>
      <c r="Q22" s="14">
        <f>MAX(A:A)</f>
        <v>76</v>
      </c>
    </row>
    <row r="23" spans="1:17" x14ac:dyDescent="0.25">
      <c r="A23" s="5">
        <v>50</v>
      </c>
      <c r="B23" s="5">
        <v>0</v>
      </c>
      <c r="C23" s="5">
        <v>110</v>
      </c>
      <c r="D23" s="5">
        <v>254</v>
      </c>
      <c r="E23" s="5">
        <v>0</v>
      </c>
      <c r="F23" s="5">
        <v>0</v>
      </c>
      <c r="G23" s="5">
        <v>159</v>
      </c>
      <c r="H23" s="5">
        <v>0</v>
      </c>
      <c r="I23" s="5">
        <v>0</v>
      </c>
      <c r="J23" s="5">
        <v>2</v>
      </c>
      <c r="K23" s="5">
        <v>2</v>
      </c>
      <c r="M23" s="13" t="s">
        <v>30</v>
      </c>
      <c r="N23" s="14">
        <f>AVERAGE(C:C)</f>
        <v>128.73611111111111</v>
      </c>
      <c r="O23" s="14">
        <f>_xlfn.STDEV.P(C:C)</f>
        <v>16.421524708912752</v>
      </c>
      <c r="P23" s="14">
        <f>MIN(C:C)</f>
        <v>94</v>
      </c>
      <c r="Q23" s="14">
        <f>MAX(C:C)</f>
        <v>180</v>
      </c>
    </row>
    <row r="24" spans="1:17" x14ac:dyDescent="0.25">
      <c r="A24" s="6">
        <v>44</v>
      </c>
      <c r="B24" s="6">
        <v>2</v>
      </c>
      <c r="C24" s="6">
        <v>108</v>
      </c>
      <c r="D24" s="6">
        <v>141</v>
      </c>
      <c r="E24" s="6">
        <v>0</v>
      </c>
      <c r="F24" s="6">
        <v>1</v>
      </c>
      <c r="G24" s="6">
        <v>175</v>
      </c>
      <c r="H24" s="6">
        <v>0</v>
      </c>
      <c r="I24" s="6">
        <v>0.6</v>
      </c>
      <c r="J24" s="6">
        <v>1</v>
      </c>
      <c r="K24" s="6">
        <v>2</v>
      </c>
      <c r="M24" s="13" t="s">
        <v>31</v>
      </c>
      <c r="N24" s="14">
        <f>AVERAGE(D:D)</f>
        <v>256.75</v>
      </c>
      <c r="O24" s="14">
        <f>_xlfn.STDEV.P(D:D)</f>
        <v>65.754752679939415</v>
      </c>
      <c r="P24" s="14">
        <f>MIN(D:D)</f>
        <v>141</v>
      </c>
      <c r="Q24" s="14">
        <f>MAX(D:D)</f>
        <v>564</v>
      </c>
    </row>
    <row r="25" spans="1:17" x14ac:dyDescent="0.25">
      <c r="A25" s="6">
        <v>65</v>
      </c>
      <c r="B25" s="6">
        <v>2</v>
      </c>
      <c r="C25" s="6">
        <v>140</v>
      </c>
      <c r="D25" s="6">
        <v>417</v>
      </c>
      <c r="E25" s="6">
        <v>1</v>
      </c>
      <c r="F25" s="6">
        <v>0</v>
      </c>
      <c r="G25" s="6">
        <v>157</v>
      </c>
      <c r="H25" s="6">
        <v>0</v>
      </c>
      <c r="I25" s="6">
        <v>0.8</v>
      </c>
      <c r="J25" s="6">
        <v>2</v>
      </c>
      <c r="K25" s="6">
        <v>2</v>
      </c>
      <c r="M25" s="13" t="s">
        <v>32</v>
      </c>
      <c r="N25" s="14">
        <f>AVERAGE(G:G)</f>
        <v>154.02777777777777</v>
      </c>
      <c r="O25" s="14">
        <f>_xlfn.STDEV.P(G:G)</f>
        <v>19.118760581503171</v>
      </c>
      <c r="P25" s="14">
        <f>MIN(G:G)</f>
        <v>96</v>
      </c>
      <c r="Q25" s="14">
        <f>MAX(G:G)</f>
        <v>192</v>
      </c>
    </row>
    <row r="26" spans="1:17" x14ac:dyDescent="0.25">
      <c r="A26" s="5">
        <v>60</v>
      </c>
      <c r="B26" s="5">
        <v>3</v>
      </c>
      <c r="C26" s="5">
        <v>150</v>
      </c>
      <c r="D26" s="5">
        <v>240</v>
      </c>
      <c r="E26" s="5">
        <v>0</v>
      </c>
      <c r="F26" s="5">
        <v>1</v>
      </c>
      <c r="G26" s="5">
        <v>171</v>
      </c>
      <c r="H26" s="5">
        <v>0</v>
      </c>
      <c r="I26" s="5">
        <v>0.9</v>
      </c>
      <c r="J26" s="5">
        <v>2</v>
      </c>
      <c r="K26" s="5">
        <v>2</v>
      </c>
    </row>
    <row r="27" spans="1:17" x14ac:dyDescent="0.25">
      <c r="A27" s="5">
        <v>51</v>
      </c>
      <c r="B27" s="5">
        <v>2</v>
      </c>
      <c r="C27" s="5">
        <v>130</v>
      </c>
      <c r="D27" s="5">
        <v>256</v>
      </c>
      <c r="E27" s="5">
        <v>0</v>
      </c>
      <c r="F27" s="5">
        <v>0</v>
      </c>
      <c r="G27" s="5">
        <v>149</v>
      </c>
      <c r="H27" s="5">
        <v>0</v>
      </c>
      <c r="I27" s="5">
        <v>0.5</v>
      </c>
      <c r="J27" s="5">
        <v>2</v>
      </c>
      <c r="K27" s="5">
        <v>2</v>
      </c>
    </row>
    <row r="28" spans="1:17" x14ac:dyDescent="0.25">
      <c r="A28" s="6">
        <v>64</v>
      </c>
      <c r="B28" s="6">
        <v>0</v>
      </c>
      <c r="C28" s="6">
        <v>180</v>
      </c>
      <c r="D28" s="6">
        <v>325</v>
      </c>
      <c r="E28" s="6">
        <v>0</v>
      </c>
      <c r="F28" s="6">
        <v>1</v>
      </c>
      <c r="G28" s="6">
        <v>154</v>
      </c>
      <c r="H28" s="6">
        <v>1</v>
      </c>
      <c r="I28" s="6">
        <v>0</v>
      </c>
      <c r="J28" s="6">
        <v>2</v>
      </c>
      <c r="K28" s="6">
        <v>2</v>
      </c>
    </row>
    <row r="29" spans="1:17" x14ac:dyDescent="0.25">
      <c r="A29" s="5">
        <v>51</v>
      </c>
      <c r="B29" s="5">
        <v>2</v>
      </c>
      <c r="C29" s="5">
        <v>120</v>
      </c>
      <c r="D29" s="5">
        <v>295</v>
      </c>
      <c r="E29" s="5">
        <v>0</v>
      </c>
      <c r="F29" s="5">
        <v>0</v>
      </c>
      <c r="G29" s="5">
        <v>157</v>
      </c>
      <c r="H29" s="5">
        <v>0</v>
      </c>
      <c r="I29" s="5">
        <v>0.6</v>
      </c>
      <c r="J29" s="5">
        <v>2</v>
      </c>
      <c r="K29" s="5">
        <v>2</v>
      </c>
    </row>
    <row r="30" spans="1:17" x14ac:dyDescent="0.25">
      <c r="A30" s="5">
        <v>57</v>
      </c>
      <c r="B30" s="5">
        <v>0</v>
      </c>
      <c r="C30" s="5">
        <v>120</v>
      </c>
      <c r="D30" s="5">
        <v>354</v>
      </c>
      <c r="E30" s="5">
        <v>0</v>
      </c>
      <c r="F30" s="5">
        <v>1</v>
      </c>
      <c r="G30" s="5">
        <v>163</v>
      </c>
      <c r="H30" s="5">
        <v>1</v>
      </c>
      <c r="I30" s="5">
        <v>0.6</v>
      </c>
      <c r="J30" s="5">
        <v>2</v>
      </c>
      <c r="K30" s="5">
        <v>2</v>
      </c>
    </row>
    <row r="31" spans="1:17" x14ac:dyDescent="0.25">
      <c r="A31" s="5">
        <v>45</v>
      </c>
      <c r="B31" s="5">
        <v>1</v>
      </c>
      <c r="C31" s="5">
        <v>112</v>
      </c>
      <c r="D31" s="5">
        <v>160</v>
      </c>
      <c r="E31" s="5">
        <v>0</v>
      </c>
      <c r="F31" s="5">
        <v>1</v>
      </c>
      <c r="G31" s="5">
        <v>138</v>
      </c>
      <c r="H31" s="5">
        <v>0</v>
      </c>
      <c r="I31" s="5">
        <v>0</v>
      </c>
      <c r="J31" s="5">
        <v>1</v>
      </c>
      <c r="K31" s="5">
        <v>2</v>
      </c>
    </row>
    <row r="32" spans="1:17" x14ac:dyDescent="0.25">
      <c r="A32" s="6">
        <v>39</v>
      </c>
      <c r="B32" s="6">
        <v>2</v>
      </c>
      <c r="C32" s="6">
        <v>94</v>
      </c>
      <c r="D32" s="6">
        <v>199</v>
      </c>
      <c r="E32" s="6">
        <v>0</v>
      </c>
      <c r="F32" s="6">
        <v>1</v>
      </c>
      <c r="G32" s="6">
        <v>179</v>
      </c>
      <c r="H32" s="6">
        <v>0</v>
      </c>
      <c r="I32" s="6">
        <v>0</v>
      </c>
      <c r="J32" s="6">
        <v>2</v>
      </c>
      <c r="K32" s="6">
        <v>2</v>
      </c>
    </row>
    <row r="33" spans="1:11" x14ac:dyDescent="0.25">
      <c r="A33" s="6">
        <v>60</v>
      </c>
      <c r="B33" s="6">
        <v>2</v>
      </c>
      <c r="C33" s="6">
        <v>102</v>
      </c>
      <c r="D33" s="6">
        <v>318</v>
      </c>
      <c r="E33" s="6">
        <v>0</v>
      </c>
      <c r="F33" s="6">
        <v>1</v>
      </c>
      <c r="G33" s="6">
        <v>160</v>
      </c>
      <c r="H33" s="6">
        <v>0</v>
      </c>
      <c r="I33" s="6">
        <v>0</v>
      </c>
      <c r="J33" s="6">
        <v>2</v>
      </c>
      <c r="K33" s="6">
        <v>2</v>
      </c>
    </row>
    <row r="34" spans="1:11" x14ac:dyDescent="0.25">
      <c r="A34" s="6">
        <v>44</v>
      </c>
      <c r="B34" s="6">
        <v>2</v>
      </c>
      <c r="C34" s="6">
        <v>118</v>
      </c>
      <c r="D34" s="6">
        <v>242</v>
      </c>
      <c r="E34" s="6">
        <v>0</v>
      </c>
      <c r="F34" s="6">
        <v>1</v>
      </c>
      <c r="G34" s="6">
        <v>149</v>
      </c>
      <c r="H34" s="6">
        <v>0</v>
      </c>
      <c r="I34" s="6">
        <v>0.3</v>
      </c>
      <c r="J34" s="6">
        <v>1</v>
      </c>
      <c r="K34" s="6">
        <v>2</v>
      </c>
    </row>
    <row r="35" spans="1:11" x14ac:dyDescent="0.25">
      <c r="A35" s="5">
        <v>41</v>
      </c>
      <c r="B35" s="5">
        <v>1</v>
      </c>
      <c r="C35" s="5">
        <v>126</v>
      </c>
      <c r="D35" s="5">
        <v>306</v>
      </c>
      <c r="E35" s="5">
        <v>0</v>
      </c>
      <c r="F35" s="5">
        <v>1</v>
      </c>
      <c r="G35" s="5">
        <v>163</v>
      </c>
      <c r="H35" s="5">
        <v>0</v>
      </c>
      <c r="I35" s="5">
        <v>0</v>
      </c>
      <c r="J35" s="5">
        <v>2</v>
      </c>
      <c r="K35" s="5">
        <v>2</v>
      </c>
    </row>
    <row r="36" spans="1:11" x14ac:dyDescent="0.25">
      <c r="A36" s="6">
        <v>49</v>
      </c>
      <c r="B36" s="6">
        <v>0</v>
      </c>
      <c r="C36" s="6">
        <v>130</v>
      </c>
      <c r="D36" s="6">
        <v>269</v>
      </c>
      <c r="E36" s="6">
        <v>0</v>
      </c>
      <c r="F36" s="6">
        <v>1</v>
      </c>
      <c r="G36" s="6">
        <v>163</v>
      </c>
      <c r="H36" s="6">
        <v>0</v>
      </c>
      <c r="I36" s="6">
        <v>0</v>
      </c>
      <c r="J36" s="6">
        <v>2</v>
      </c>
      <c r="K36" s="6">
        <v>2</v>
      </c>
    </row>
    <row r="37" spans="1:11" x14ac:dyDescent="0.25">
      <c r="A37" s="6">
        <v>54</v>
      </c>
      <c r="B37" s="6">
        <v>1</v>
      </c>
      <c r="C37" s="6">
        <v>132</v>
      </c>
      <c r="D37" s="6">
        <v>288</v>
      </c>
      <c r="E37" s="6">
        <v>1</v>
      </c>
      <c r="F37" s="6">
        <v>0</v>
      </c>
      <c r="G37" s="6">
        <v>159</v>
      </c>
      <c r="H37" s="6">
        <v>1</v>
      </c>
      <c r="I37" s="6">
        <v>0</v>
      </c>
      <c r="J37" s="6">
        <v>2</v>
      </c>
      <c r="K37" s="6">
        <v>2</v>
      </c>
    </row>
    <row r="38" spans="1:11" x14ac:dyDescent="0.25">
      <c r="A38" s="6">
        <v>39</v>
      </c>
      <c r="B38" s="6">
        <v>2</v>
      </c>
      <c r="C38" s="6">
        <v>138</v>
      </c>
      <c r="D38" s="6">
        <v>220</v>
      </c>
      <c r="E38" s="6">
        <v>0</v>
      </c>
      <c r="F38" s="6">
        <v>1</v>
      </c>
      <c r="G38" s="6">
        <v>152</v>
      </c>
      <c r="H38" s="6">
        <v>0</v>
      </c>
      <c r="I38" s="6">
        <v>0</v>
      </c>
      <c r="J38" s="6">
        <v>1</v>
      </c>
      <c r="K38" s="6">
        <v>2</v>
      </c>
    </row>
    <row r="39" spans="1:11" x14ac:dyDescent="0.25">
      <c r="A39" s="5">
        <v>62</v>
      </c>
      <c r="B39" s="5">
        <v>0</v>
      </c>
      <c r="C39" s="5">
        <v>140</v>
      </c>
      <c r="D39" s="5">
        <v>394</v>
      </c>
      <c r="E39" s="5">
        <v>0</v>
      </c>
      <c r="F39" s="5">
        <v>0</v>
      </c>
      <c r="G39" s="5">
        <v>157</v>
      </c>
      <c r="H39" s="5">
        <v>0</v>
      </c>
      <c r="I39" s="5">
        <v>1.2</v>
      </c>
      <c r="J39" s="5">
        <v>1</v>
      </c>
      <c r="K39" s="5">
        <v>2</v>
      </c>
    </row>
    <row r="40" spans="1:11" x14ac:dyDescent="0.25">
      <c r="A40" s="6">
        <v>35</v>
      </c>
      <c r="B40" s="6">
        <v>0</v>
      </c>
      <c r="C40" s="6">
        <v>138</v>
      </c>
      <c r="D40" s="6">
        <v>183</v>
      </c>
      <c r="E40" s="6">
        <v>0</v>
      </c>
      <c r="F40" s="6">
        <v>1</v>
      </c>
      <c r="G40" s="6">
        <v>182</v>
      </c>
      <c r="H40" s="6">
        <v>0</v>
      </c>
      <c r="I40" s="6">
        <v>1.4</v>
      </c>
      <c r="J40" s="6">
        <v>2</v>
      </c>
      <c r="K40" s="6">
        <v>2</v>
      </c>
    </row>
    <row r="41" spans="1:11" x14ac:dyDescent="0.25">
      <c r="A41" s="6">
        <v>71</v>
      </c>
      <c r="B41" s="6">
        <v>2</v>
      </c>
      <c r="C41" s="6">
        <v>110</v>
      </c>
      <c r="D41" s="6">
        <v>265</v>
      </c>
      <c r="E41" s="6">
        <v>1</v>
      </c>
      <c r="F41" s="6">
        <v>0</v>
      </c>
      <c r="G41" s="6">
        <v>130</v>
      </c>
      <c r="H41" s="6">
        <v>0</v>
      </c>
      <c r="I41" s="6">
        <v>0</v>
      </c>
      <c r="J41" s="6">
        <v>2</v>
      </c>
      <c r="K41" s="6">
        <v>2</v>
      </c>
    </row>
    <row r="42" spans="1:11" x14ac:dyDescent="0.25">
      <c r="A42" s="5">
        <v>41</v>
      </c>
      <c r="B42" s="5">
        <v>1</v>
      </c>
      <c r="C42" s="5">
        <v>105</v>
      </c>
      <c r="D42" s="5">
        <v>198</v>
      </c>
      <c r="E42" s="5">
        <v>0</v>
      </c>
      <c r="F42" s="5">
        <v>1</v>
      </c>
      <c r="G42" s="5">
        <v>168</v>
      </c>
      <c r="H42" s="5">
        <v>0</v>
      </c>
      <c r="I42" s="5">
        <v>0</v>
      </c>
      <c r="J42" s="5">
        <v>2</v>
      </c>
      <c r="K42" s="5">
        <v>2</v>
      </c>
    </row>
    <row r="43" spans="1:11" x14ac:dyDescent="0.25">
      <c r="A43" s="6">
        <v>45</v>
      </c>
      <c r="B43" s="6">
        <v>1</v>
      </c>
      <c r="C43" s="6">
        <v>130</v>
      </c>
      <c r="D43" s="6">
        <v>234</v>
      </c>
      <c r="E43" s="6">
        <v>0</v>
      </c>
      <c r="F43" s="6">
        <v>0</v>
      </c>
      <c r="G43" s="6">
        <v>175</v>
      </c>
      <c r="H43" s="6">
        <v>0</v>
      </c>
      <c r="I43" s="6">
        <v>0.6</v>
      </c>
      <c r="J43" s="6">
        <v>1</v>
      </c>
      <c r="K43" s="6">
        <v>2</v>
      </c>
    </row>
    <row r="44" spans="1:11" x14ac:dyDescent="0.25">
      <c r="A44" s="6">
        <v>41</v>
      </c>
      <c r="B44" s="6">
        <v>1</v>
      </c>
      <c r="C44" s="6">
        <v>130</v>
      </c>
      <c r="D44" s="6">
        <v>204</v>
      </c>
      <c r="E44" s="6">
        <v>0</v>
      </c>
      <c r="F44" s="6">
        <v>0</v>
      </c>
      <c r="G44" s="6">
        <v>172</v>
      </c>
      <c r="H44" s="6">
        <v>0</v>
      </c>
      <c r="I44" s="6">
        <v>1.4</v>
      </c>
      <c r="J44" s="6">
        <v>2</v>
      </c>
      <c r="K44" s="6">
        <v>2</v>
      </c>
    </row>
    <row r="45" spans="1:11" x14ac:dyDescent="0.25">
      <c r="A45" s="5">
        <v>64</v>
      </c>
      <c r="B45" s="5">
        <v>2</v>
      </c>
      <c r="C45" s="5">
        <v>140</v>
      </c>
      <c r="D45" s="5">
        <v>313</v>
      </c>
      <c r="E45" s="5">
        <v>0</v>
      </c>
      <c r="F45" s="5">
        <v>1</v>
      </c>
      <c r="G45" s="5">
        <v>133</v>
      </c>
      <c r="H45" s="5">
        <v>0</v>
      </c>
      <c r="I45" s="5">
        <v>0.2</v>
      </c>
      <c r="J45" s="5">
        <v>2</v>
      </c>
      <c r="K45" s="5">
        <v>3</v>
      </c>
    </row>
    <row r="46" spans="1:11" x14ac:dyDescent="0.25">
      <c r="A46" s="5">
        <v>58</v>
      </c>
      <c r="B46" s="5">
        <v>2</v>
      </c>
      <c r="C46" s="5">
        <v>120</v>
      </c>
      <c r="D46" s="5">
        <v>340</v>
      </c>
      <c r="E46" s="5">
        <v>0</v>
      </c>
      <c r="F46" s="5">
        <v>1</v>
      </c>
      <c r="G46" s="5">
        <v>172</v>
      </c>
      <c r="H46" s="5">
        <v>0</v>
      </c>
      <c r="I46" s="5">
        <v>0</v>
      </c>
      <c r="J46" s="5">
        <v>2</v>
      </c>
      <c r="K46" s="5">
        <v>2</v>
      </c>
    </row>
    <row r="47" spans="1:11" x14ac:dyDescent="0.25">
      <c r="A47" s="5">
        <v>46</v>
      </c>
      <c r="B47" s="5">
        <v>1</v>
      </c>
      <c r="C47" s="5">
        <v>105</v>
      </c>
      <c r="D47" s="5">
        <v>204</v>
      </c>
      <c r="E47" s="5">
        <v>0</v>
      </c>
      <c r="F47" s="5">
        <v>1</v>
      </c>
      <c r="G47" s="5">
        <v>172</v>
      </c>
      <c r="H47" s="5">
        <v>0</v>
      </c>
      <c r="I47" s="5">
        <v>0</v>
      </c>
      <c r="J47" s="5">
        <v>2</v>
      </c>
      <c r="K47" s="5">
        <v>2</v>
      </c>
    </row>
    <row r="48" spans="1:11" x14ac:dyDescent="0.25">
      <c r="A48" s="6">
        <v>52</v>
      </c>
      <c r="B48" s="6">
        <v>2</v>
      </c>
      <c r="C48" s="6">
        <v>136</v>
      </c>
      <c r="D48" s="6">
        <v>196</v>
      </c>
      <c r="E48" s="6">
        <v>0</v>
      </c>
      <c r="F48" s="6">
        <v>0</v>
      </c>
      <c r="G48" s="6">
        <v>169</v>
      </c>
      <c r="H48" s="6">
        <v>0</v>
      </c>
      <c r="I48" s="6">
        <v>0.1</v>
      </c>
      <c r="J48" s="6">
        <v>1</v>
      </c>
      <c r="K48" s="6">
        <v>2</v>
      </c>
    </row>
    <row r="49" spans="1:11" x14ac:dyDescent="0.25">
      <c r="A49" s="5">
        <v>56</v>
      </c>
      <c r="B49" s="5">
        <v>1</v>
      </c>
      <c r="C49" s="5">
        <v>140</v>
      </c>
      <c r="D49" s="5">
        <v>294</v>
      </c>
      <c r="E49" s="5">
        <v>0</v>
      </c>
      <c r="F49" s="5">
        <v>0</v>
      </c>
      <c r="G49" s="5">
        <v>153</v>
      </c>
      <c r="H49" s="5">
        <v>0</v>
      </c>
      <c r="I49" s="5">
        <v>1.3</v>
      </c>
      <c r="J49" s="5">
        <v>1</v>
      </c>
      <c r="K49" s="5">
        <v>2</v>
      </c>
    </row>
    <row r="50" spans="1:11" x14ac:dyDescent="0.25">
      <c r="A50" s="6">
        <v>74</v>
      </c>
      <c r="B50" s="6">
        <v>1</v>
      </c>
      <c r="C50" s="6">
        <v>120</v>
      </c>
      <c r="D50" s="6">
        <v>269</v>
      </c>
      <c r="E50" s="6">
        <v>0</v>
      </c>
      <c r="F50" s="6">
        <v>0</v>
      </c>
      <c r="G50" s="6">
        <v>121</v>
      </c>
      <c r="H50" s="6">
        <v>1</v>
      </c>
      <c r="I50" s="6">
        <v>0.2</v>
      </c>
      <c r="J50" s="6">
        <v>2</v>
      </c>
      <c r="K50" s="6">
        <v>2</v>
      </c>
    </row>
    <row r="51" spans="1:11" x14ac:dyDescent="0.25">
      <c r="A51" s="5">
        <v>53</v>
      </c>
      <c r="B51" s="5">
        <v>2</v>
      </c>
      <c r="C51" s="5">
        <v>128</v>
      </c>
      <c r="D51" s="5">
        <v>216</v>
      </c>
      <c r="E51" s="5">
        <v>0</v>
      </c>
      <c r="F51" s="5">
        <v>0</v>
      </c>
      <c r="G51" s="5">
        <v>115</v>
      </c>
      <c r="H51" s="5">
        <v>0</v>
      </c>
      <c r="I51" s="5">
        <v>0</v>
      </c>
      <c r="J51" s="5">
        <v>2</v>
      </c>
      <c r="K51" s="5">
        <v>0</v>
      </c>
    </row>
    <row r="52" spans="1:11" x14ac:dyDescent="0.25">
      <c r="A52" s="6">
        <v>53</v>
      </c>
      <c r="B52" s="6">
        <v>0</v>
      </c>
      <c r="C52" s="6">
        <v>130</v>
      </c>
      <c r="D52" s="6">
        <v>264</v>
      </c>
      <c r="E52" s="6">
        <v>0</v>
      </c>
      <c r="F52" s="6">
        <v>0</v>
      </c>
      <c r="G52" s="6">
        <v>143</v>
      </c>
      <c r="H52" s="6">
        <v>0</v>
      </c>
      <c r="I52" s="6">
        <v>0.4</v>
      </c>
      <c r="J52" s="6">
        <v>1</v>
      </c>
      <c r="K52" s="6">
        <v>2</v>
      </c>
    </row>
    <row r="53" spans="1:11" x14ac:dyDescent="0.25">
      <c r="A53" s="5">
        <v>48</v>
      </c>
      <c r="B53" s="5">
        <v>2</v>
      </c>
      <c r="C53" s="5">
        <v>130</v>
      </c>
      <c r="D53" s="5">
        <v>275</v>
      </c>
      <c r="E53" s="5">
        <v>0</v>
      </c>
      <c r="F53" s="5">
        <v>1</v>
      </c>
      <c r="G53" s="5">
        <v>139</v>
      </c>
      <c r="H53" s="5">
        <v>0</v>
      </c>
      <c r="I53" s="5">
        <v>0.2</v>
      </c>
      <c r="J53" s="5">
        <v>2</v>
      </c>
      <c r="K53" s="5">
        <v>2</v>
      </c>
    </row>
    <row r="54" spans="1:11" x14ac:dyDescent="0.25">
      <c r="A54" s="5">
        <v>54</v>
      </c>
      <c r="B54" s="5">
        <v>2</v>
      </c>
      <c r="C54" s="5">
        <v>110</v>
      </c>
      <c r="D54" s="5">
        <v>214</v>
      </c>
      <c r="E54" s="5">
        <v>0</v>
      </c>
      <c r="F54" s="5">
        <v>1</v>
      </c>
      <c r="G54" s="5">
        <v>158</v>
      </c>
      <c r="H54" s="5">
        <v>0</v>
      </c>
      <c r="I54" s="5">
        <v>1.6</v>
      </c>
      <c r="J54" s="5">
        <v>1</v>
      </c>
      <c r="K54" s="5">
        <v>2</v>
      </c>
    </row>
    <row r="55" spans="1:11" x14ac:dyDescent="0.25">
      <c r="A55" s="6">
        <v>65</v>
      </c>
      <c r="B55" s="6">
        <v>2</v>
      </c>
      <c r="C55" s="6">
        <v>155</v>
      </c>
      <c r="D55" s="6">
        <v>269</v>
      </c>
      <c r="E55" s="6">
        <v>0</v>
      </c>
      <c r="F55" s="6">
        <v>1</v>
      </c>
      <c r="G55" s="6">
        <v>148</v>
      </c>
      <c r="H55" s="6">
        <v>0</v>
      </c>
      <c r="I55" s="6">
        <v>0.8</v>
      </c>
      <c r="J55" s="6">
        <v>2</v>
      </c>
      <c r="K55" s="6">
        <v>2</v>
      </c>
    </row>
    <row r="56" spans="1:11" x14ac:dyDescent="0.25">
      <c r="A56" s="6">
        <v>46</v>
      </c>
      <c r="B56" s="6">
        <v>0</v>
      </c>
      <c r="C56" s="6">
        <v>138</v>
      </c>
      <c r="D56" s="6">
        <v>243</v>
      </c>
      <c r="E56" s="6">
        <v>0</v>
      </c>
      <c r="F56" s="6">
        <v>0</v>
      </c>
      <c r="G56" s="6">
        <v>152</v>
      </c>
      <c r="H56" s="6">
        <v>1</v>
      </c>
      <c r="I56" s="6">
        <v>0</v>
      </c>
      <c r="J56" s="6">
        <v>1</v>
      </c>
      <c r="K56" s="6">
        <v>2</v>
      </c>
    </row>
    <row r="57" spans="1:11" x14ac:dyDescent="0.25">
      <c r="A57" s="6">
        <v>46</v>
      </c>
      <c r="B57" s="6">
        <v>2</v>
      </c>
      <c r="C57" s="6">
        <v>142</v>
      </c>
      <c r="D57" s="6">
        <v>177</v>
      </c>
      <c r="E57" s="6">
        <v>0</v>
      </c>
      <c r="F57" s="6">
        <v>0</v>
      </c>
      <c r="G57" s="6">
        <v>160</v>
      </c>
      <c r="H57" s="6">
        <v>1</v>
      </c>
      <c r="I57" s="6">
        <v>1.4</v>
      </c>
      <c r="J57" s="6">
        <v>0</v>
      </c>
      <c r="K57" s="6">
        <v>2</v>
      </c>
    </row>
    <row r="58" spans="1:11" x14ac:dyDescent="0.25">
      <c r="A58" s="5">
        <v>64</v>
      </c>
      <c r="B58" s="5">
        <v>0</v>
      </c>
      <c r="C58" s="5">
        <v>130</v>
      </c>
      <c r="D58" s="5">
        <v>303</v>
      </c>
      <c r="E58" s="5">
        <v>0</v>
      </c>
      <c r="F58" s="5">
        <v>1</v>
      </c>
      <c r="G58" s="5">
        <v>122</v>
      </c>
      <c r="H58" s="5">
        <v>0</v>
      </c>
      <c r="I58" s="5">
        <v>2</v>
      </c>
      <c r="J58" s="5">
        <v>1</v>
      </c>
      <c r="K58" s="5">
        <v>2</v>
      </c>
    </row>
    <row r="59" spans="1:11" x14ac:dyDescent="0.25">
      <c r="A59" s="6">
        <v>42</v>
      </c>
      <c r="B59" s="6">
        <v>0</v>
      </c>
      <c r="C59" s="6">
        <v>102</v>
      </c>
      <c r="D59" s="6">
        <v>265</v>
      </c>
      <c r="E59" s="6">
        <v>0</v>
      </c>
      <c r="F59" s="6">
        <v>0</v>
      </c>
      <c r="G59" s="6">
        <v>122</v>
      </c>
      <c r="H59" s="6">
        <v>0</v>
      </c>
      <c r="I59" s="6">
        <v>0.6</v>
      </c>
      <c r="J59" s="6">
        <v>1</v>
      </c>
      <c r="K59" s="6">
        <v>2</v>
      </c>
    </row>
    <row r="60" spans="1:11" x14ac:dyDescent="0.25">
      <c r="A60" s="6">
        <v>54</v>
      </c>
      <c r="B60" s="6">
        <v>2</v>
      </c>
      <c r="C60" s="6">
        <v>160</v>
      </c>
      <c r="D60" s="6">
        <v>201</v>
      </c>
      <c r="E60" s="6">
        <v>0</v>
      </c>
      <c r="F60" s="6">
        <v>1</v>
      </c>
      <c r="G60" s="6">
        <v>163</v>
      </c>
      <c r="H60" s="6">
        <v>0</v>
      </c>
      <c r="I60" s="6">
        <v>0</v>
      </c>
      <c r="J60" s="6">
        <v>2</v>
      </c>
      <c r="K60" s="6">
        <v>2</v>
      </c>
    </row>
    <row r="61" spans="1:11" x14ac:dyDescent="0.25">
      <c r="A61" s="6">
        <v>41</v>
      </c>
      <c r="B61" s="6">
        <v>2</v>
      </c>
      <c r="C61" s="6">
        <v>112</v>
      </c>
      <c r="D61" s="6">
        <v>268</v>
      </c>
      <c r="E61" s="6">
        <v>0</v>
      </c>
      <c r="F61" s="6">
        <v>0</v>
      </c>
      <c r="G61" s="6">
        <v>172</v>
      </c>
      <c r="H61" s="6">
        <v>1</v>
      </c>
      <c r="I61" s="6">
        <v>0</v>
      </c>
      <c r="J61" s="6">
        <v>2</v>
      </c>
      <c r="K61" s="6">
        <v>2</v>
      </c>
    </row>
    <row r="62" spans="1:11" x14ac:dyDescent="0.25">
      <c r="A62" s="6">
        <v>49</v>
      </c>
      <c r="B62" s="6">
        <v>1</v>
      </c>
      <c r="C62" s="6">
        <v>134</v>
      </c>
      <c r="D62" s="6">
        <v>271</v>
      </c>
      <c r="E62" s="6">
        <v>0</v>
      </c>
      <c r="F62" s="6">
        <v>1</v>
      </c>
      <c r="G62" s="6">
        <v>162</v>
      </c>
      <c r="H62" s="6">
        <v>0</v>
      </c>
      <c r="I62" s="6">
        <v>0</v>
      </c>
      <c r="J62" s="6">
        <v>1</v>
      </c>
      <c r="K62" s="6">
        <v>2</v>
      </c>
    </row>
    <row r="63" spans="1:11" x14ac:dyDescent="0.25">
      <c r="A63" s="6">
        <v>58</v>
      </c>
      <c r="B63" s="6">
        <v>0</v>
      </c>
      <c r="C63" s="6">
        <v>130</v>
      </c>
      <c r="D63" s="6">
        <v>197</v>
      </c>
      <c r="E63" s="6">
        <v>0</v>
      </c>
      <c r="F63" s="6">
        <v>1</v>
      </c>
      <c r="G63" s="6">
        <v>131</v>
      </c>
      <c r="H63" s="6">
        <v>0</v>
      </c>
      <c r="I63" s="6">
        <v>0.6</v>
      </c>
      <c r="J63" s="6">
        <v>1</v>
      </c>
      <c r="K63" s="6">
        <v>2</v>
      </c>
    </row>
    <row r="64" spans="1:11" x14ac:dyDescent="0.25">
      <c r="A64" s="5">
        <v>67</v>
      </c>
      <c r="B64" s="5">
        <v>2</v>
      </c>
      <c r="C64" s="5">
        <v>152</v>
      </c>
      <c r="D64" s="5">
        <v>277</v>
      </c>
      <c r="E64" s="5">
        <v>0</v>
      </c>
      <c r="F64" s="5">
        <v>1</v>
      </c>
      <c r="G64" s="5">
        <v>172</v>
      </c>
      <c r="H64" s="5">
        <v>0</v>
      </c>
      <c r="I64" s="5">
        <v>0</v>
      </c>
      <c r="J64" s="5">
        <v>2</v>
      </c>
      <c r="K64" s="5">
        <v>2</v>
      </c>
    </row>
    <row r="65" spans="1:11" x14ac:dyDescent="0.25">
      <c r="A65" s="5">
        <v>53</v>
      </c>
      <c r="B65" s="5">
        <v>0</v>
      </c>
      <c r="C65" s="5">
        <v>138</v>
      </c>
      <c r="D65" s="5">
        <v>234</v>
      </c>
      <c r="E65" s="5">
        <v>0</v>
      </c>
      <c r="F65" s="5">
        <v>0</v>
      </c>
      <c r="G65" s="5">
        <v>160</v>
      </c>
      <c r="H65" s="5">
        <v>0</v>
      </c>
      <c r="I65" s="5">
        <v>0</v>
      </c>
      <c r="J65" s="5">
        <v>2</v>
      </c>
      <c r="K65" s="5">
        <v>2</v>
      </c>
    </row>
    <row r="66" spans="1:11" x14ac:dyDescent="0.25">
      <c r="A66" s="6">
        <v>50</v>
      </c>
      <c r="B66" s="6">
        <v>2</v>
      </c>
      <c r="C66" s="6">
        <v>120</v>
      </c>
      <c r="D66" s="6">
        <v>219</v>
      </c>
      <c r="E66" s="6">
        <v>0</v>
      </c>
      <c r="F66" s="6">
        <v>1</v>
      </c>
      <c r="G66" s="6">
        <v>158</v>
      </c>
      <c r="H66" s="6">
        <v>0</v>
      </c>
      <c r="I66" s="6">
        <v>1.6</v>
      </c>
      <c r="J66" s="6">
        <v>1</v>
      </c>
      <c r="K66" s="6">
        <v>2</v>
      </c>
    </row>
    <row r="67" spans="1:11" x14ac:dyDescent="0.25">
      <c r="A67" s="6">
        <v>54</v>
      </c>
      <c r="B67" s="6">
        <v>2</v>
      </c>
      <c r="C67" s="6">
        <v>135</v>
      </c>
      <c r="D67" s="6">
        <v>304</v>
      </c>
      <c r="E67" s="6">
        <v>1</v>
      </c>
      <c r="F67" s="6">
        <v>1</v>
      </c>
      <c r="G67" s="6">
        <v>170</v>
      </c>
      <c r="H67" s="6">
        <v>0</v>
      </c>
      <c r="I67" s="6">
        <v>0</v>
      </c>
      <c r="J67" s="6">
        <v>2</v>
      </c>
      <c r="K67" s="6">
        <v>2</v>
      </c>
    </row>
    <row r="68" spans="1:11" x14ac:dyDescent="0.25">
      <c r="A68" s="6">
        <v>63</v>
      </c>
      <c r="B68" s="6">
        <v>1</v>
      </c>
      <c r="C68" s="6">
        <v>140</v>
      </c>
      <c r="D68" s="6">
        <v>195</v>
      </c>
      <c r="E68" s="6">
        <v>0</v>
      </c>
      <c r="F68" s="6">
        <v>1</v>
      </c>
      <c r="G68" s="6">
        <v>179</v>
      </c>
      <c r="H68" s="6">
        <v>0</v>
      </c>
      <c r="I68" s="6">
        <v>0</v>
      </c>
      <c r="J68" s="6">
        <v>2</v>
      </c>
      <c r="K68" s="6">
        <v>2</v>
      </c>
    </row>
    <row r="69" spans="1:11" x14ac:dyDescent="0.25">
      <c r="A69" s="6">
        <v>69</v>
      </c>
      <c r="B69" s="6">
        <v>3</v>
      </c>
      <c r="C69" s="6">
        <v>140</v>
      </c>
      <c r="D69" s="6">
        <v>239</v>
      </c>
      <c r="E69" s="6">
        <v>0</v>
      </c>
      <c r="F69" s="6">
        <v>1</v>
      </c>
      <c r="G69" s="6">
        <v>151</v>
      </c>
      <c r="H69" s="6">
        <v>0</v>
      </c>
      <c r="I69" s="6">
        <v>1.8</v>
      </c>
      <c r="J69" s="6">
        <v>2</v>
      </c>
      <c r="K69" s="6">
        <v>2</v>
      </c>
    </row>
    <row r="70" spans="1:11" x14ac:dyDescent="0.25">
      <c r="A70" s="6">
        <v>66</v>
      </c>
      <c r="B70" s="6">
        <v>3</v>
      </c>
      <c r="C70" s="6">
        <v>150</v>
      </c>
      <c r="D70" s="6">
        <v>226</v>
      </c>
      <c r="E70" s="6">
        <v>0</v>
      </c>
      <c r="F70" s="6">
        <v>1</v>
      </c>
      <c r="G70" s="6">
        <v>114</v>
      </c>
      <c r="H70" s="6">
        <v>0</v>
      </c>
      <c r="I70" s="6">
        <v>2.6</v>
      </c>
      <c r="J70" s="6">
        <v>0</v>
      </c>
      <c r="K70" s="6">
        <v>2</v>
      </c>
    </row>
    <row r="71" spans="1:11" x14ac:dyDescent="0.25">
      <c r="A71" s="5">
        <v>55</v>
      </c>
      <c r="B71" s="5">
        <v>1</v>
      </c>
      <c r="C71" s="5">
        <v>135</v>
      </c>
      <c r="D71" s="5">
        <v>250</v>
      </c>
      <c r="E71" s="5">
        <v>0</v>
      </c>
      <c r="F71" s="5">
        <v>0</v>
      </c>
      <c r="G71" s="5">
        <v>161</v>
      </c>
      <c r="H71" s="5">
        <v>0</v>
      </c>
      <c r="I71" s="5">
        <v>1.4</v>
      </c>
      <c r="J71" s="5">
        <v>1</v>
      </c>
      <c r="K71" s="5">
        <v>2</v>
      </c>
    </row>
    <row r="72" spans="1:11" x14ac:dyDescent="0.25">
      <c r="A72" s="5">
        <v>60</v>
      </c>
      <c r="B72" s="5">
        <v>2</v>
      </c>
      <c r="C72" s="5">
        <v>120</v>
      </c>
      <c r="D72" s="5">
        <v>178</v>
      </c>
      <c r="E72" s="5">
        <v>1</v>
      </c>
      <c r="F72" s="5">
        <v>1</v>
      </c>
      <c r="G72" s="5">
        <v>96</v>
      </c>
      <c r="H72" s="5">
        <v>0</v>
      </c>
      <c r="I72" s="5">
        <v>0</v>
      </c>
      <c r="J72" s="5">
        <v>2</v>
      </c>
      <c r="K72" s="5">
        <v>2</v>
      </c>
    </row>
    <row r="73" spans="1:11" x14ac:dyDescent="0.25">
      <c r="A73" s="5">
        <v>68</v>
      </c>
      <c r="B73" s="5">
        <v>2</v>
      </c>
      <c r="C73" s="5">
        <v>120</v>
      </c>
      <c r="D73" s="5">
        <v>211</v>
      </c>
      <c r="E73" s="5">
        <v>0</v>
      </c>
      <c r="F73" s="5">
        <v>0</v>
      </c>
      <c r="G73" s="5">
        <v>115</v>
      </c>
      <c r="H73" s="5">
        <v>0</v>
      </c>
      <c r="I73" s="5">
        <v>1.5</v>
      </c>
      <c r="J73" s="5">
        <v>1</v>
      </c>
      <c r="K73" s="5">
        <v>2</v>
      </c>
    </row>
  </sheetData>
  <conditionalFormatting sqref="C1:C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5"/>
  <sheetViews>
    <sheetView zoomScale="150" zoomScaleNormal="150" workbookViewId="0">
      <selection sqref="A1:K414"/>
    </sheetView>
  </sheetViews>
  <sheetFormatPr defaultRowHeight="15" x14ac:dyDescent="0.25"/>
  <cols>
    <col min="13" max="13" width="11.28515625" bestFit="1" customWidth="1"/>
  </cols>
  <sheetData>
    <row r="1" spans="1:17" x14ac:dyDescent="0.25">
      <c r="A1" s="15" t="s">
        <v>0</v>
      </c>
      <c r="B1" s="15" t="s">
        <v>11</v>
      </c>
      <c r="C1" s="15" t="s">
        <v>10</v>
      </c>
      <c r="D1" s="15" t="s">
        <v>2</v>
      </c>
      <c r="E1" s="15" t="s">
        <v>3</v>
      </c>
      <c r="F1" s="15" t="s">
        <v>4</v>
      </c>
      <c r="G1" s="15" t="s">
        <v>12</v>
      </c>
      <c r="H1" s="15" t="s">
        <v>5</v>
      </c>
      <c r="I1" s="15" t="s">
        <v>6</v>
      </c>
      <c r="J1" s="15" t="s">
        <v>7</v>
      </c>
      <c r="K1" s="15" t="s">
        <v>8</v>
      </c>
    </row>
    <row r="2" spans="1:17" x14ac:dyDescent="0.25">
      <c r="A2" s="10">
        <v>55</v>
      </c>
      <c r="B2" s="6">
        <v>0</v>
      </c>
      <c r="C2" s="6">
        <v>132</v>
      </c>
      <c r="D2" s="6">
        <v>353</v>
      </c>
      <c r="E2" s="6">
        <v>0</v>
      </c>
      <c r="F2" s="6">
        <v>1</v>
      </c>
      <c r="G2" s="6">
        <v>132</v>
      </c>
      <c r="H2" s="6">
        <v>1</v>
      </c>
      <c r="I2" s="6">
        <v>1.2</v>
      </c>
      <c r="J2" s="6">
        <v>1</v>
      </c>
      <c r="K2" s="6">
        <v>3</v>
      </c>
      <c r="M2" s="12" t="s">
        <v>24</v>
      </c>
      <c r="N2" s="12" t="s">
        <v>25</v>
      </c>
      <c r="O2" s="12" t="s">
        <v>26</v>
      </c>
      <c r="P2" s="12" t="s">
        <v>27</v>
      </c>
      <c r="Q2" s="12" t="s">
        <v>28</v>
      </c>
    </row>
    <row r="3" spans="1:17" x14ac:dyDescent="0.25">
      <c r="A3" s="10">
        <v>57</v>
      </c>
      <c r="B3" s="6">
        <v>0</v>
      </c>
      <c r="C3" s="6">
        <v>110</v>
      </c>
      <c r="D3" s="6">
        <v>335</v>
      </c>
      <c r="E3" s="6">
        <v>0</v>
      </c>
      <c r="F3" s="6">
        <v>1</v>
      </c>
      <c r="G3" s="6">
        <v>143</v>
      </c>
      <c r="H3" s="6">
        <v>1</v>
      </c>
      <c r="I3" s="6">
        <v>3</v>
      </c>
      <c r="J3" s="6">
        <v>1</v>
      </c>
      <c r="K3" s="6">
        <v>3</v>
      </c>
      <c r="M3" s="13" t="s">
        <v>29</v>
      </c>
      <c r="N3" s="14">
        <f>AVERAGE(A:A)</f>
        <v>56.087719298245617</v>
      </c>
      <c r="O3" s="14">
        <f>_xlfn.STDEV.P(A:A)</f>
        <v>8.3482968149605341</v>
      </c>
      <c r="P3" s="14">
        <f>MIN(A:A)</f>
        <v>35</v>
      </c>
      <c r="Q3" s="14">
        <f>MAX(A:A)</f>
        <v>77</v>
      </c>
    </row>
    <row r="4" spans="1:17" x14ac:dyDescent="0.25">
      <c r="A4" s="10">
        <v>64</v>
      </c>
      <c r="B4" s="6">
        <v>2</v>
      </c>
      <c r="C4" s="6">
        <v>140</v>
      </c>
      <c r="D4" s="6">
        <v>335</v>
      </c>
      <c r="E4" s="6">
        <v>0</v>
      </c>
      <c r="F4" s="6">
        <v>1</v>
      </c>
      <c r="G4" s="6">
        <v>158</v>
      </c>
      <c r="H4" s="6">
        <v>0</v>
      </c>
      <c r="I4" s="6">
        <v>0</v>
      </c>
      <c r="J4" s="6">
        <v>2</v>
      </c>
      <c r="K4" s="6">
        <v>2</v>
      </c>
      <c r="M4" s="13" t="s">
        <v>30</v>
      </c>
      <c r="N4" s="14">
        <f>AVERAGE(C:C)</f>
        <v>131.92982456140351</v>
      </c>
      <c r="O4" s="14">
        <f>_xlfn.STDEV.P(C:C)</f>
        <v>17.141679633891648</v>
      </c>
      <c r="P4" s="14">
        <f>MIN(C:C)</f>
        <v>100</v>
      </c>
      <c r="Q4" s="14">
        <f>MAX(C:C)</f>
        <v>192</v>
      </c>
    </row>
    <row r="5" spans="1:17" x14ac:dyDescent="0.25">
      <c r="A5" s="11">
        <v>63</v>
      </c>
      <c r="B5" s="5">
        <v>0</v>
      </c>
      <c r="C5" s="5">
        <v>130</v>
      </c>
      <c r="D5" s="5">
        <v>330</v>
      </c>
      <c r="E5" s="5">
        <v>1</v>
      </c>
      <c r="F5" s="5">
        <v>0</v>
      </c>
      <c r="G5" s="5">
        <v>132</v>
      </c>
      <c r="H5" s="5">
        <v>1</v>
      </c>
      <c r="I5" s="5">
        <v>1.8</v>
      </c>
      <c r="J5" s="5">
        <v>2</v>
      </c>
      <c r="K5" s="5">
        <v>3</v>
      </c>
      <c r="M5" s="13" t="s">
        <v>31</v>
      </c>
      <c r="N5" s="14">
        <f>AVERAGE(D:D)</f>
        <v>246.06140350877192</v>
      </c>
      <c r="O5" s="14">
        <f>_xlfn.STDEV.P(D:D)</f>
        <v>45.239379889284571</v>
      </c>
      <c r="P5" s="14">
        <f>MIN(D:D)</f>
        <v>131</v>
      </c>
      <c r="Q5" s="14">
        <f>MAX(D:D)</f>
        <v>353</v>
      </c>
    </row>
    <row r="6" spans="1:17" x14ac:dyDescent="0.25">
      <c r="A6" s="10">
        <v>59</v>
      </c>
      <c r="B6" s="6">
        <v>0</v>
      </c>
      <c r="C6" s="6">
        <v>170</v>
      </c>
      <c r="D6" s="6">
        <v>326</v>
      </c>
      <c r="E6" s="6">
        <v>0</v>
      </c>
      <c r="F6" s="6">
        <v>0</v>
      </c>
      <c r="G6" s="6">
        <v>140</v>
      </c>
      <c r="H6" s="6">
        <v>1</v>
      </c>
      <c r="I6" s="6">
        <v>3.4</v>
      </c>
      <c r="J6" s="6">
        <v>0</v>
      </c>
      <c r="K6" s="6">
        <v>3</v>
      </c>
      <c r="M6" s="13" t="s">
        <v>32</v>
      </c>
      <c r="N6" s="14">
        <f>AVERAGE(G:G)</f>
        <v>138.40350877192984</v>
      </c>
      <c r="O6" s="14">
        <f>_xlfn.STDEV.P(G:G)</f>
        <v>22.981578930627457</v>
      </c>
      <c r="P6" s="14">
        <f>MIN(G:G)</f>
        <v>71</v>
      </c>
      <c r="Q6" s="14">
        <f>MAX(G:G)</f>
        <v>195</v>
      </c>
    </row>
    <row r="7" spans="1:17" x14ac:dyDescent="0.25">
      <c r="A7" s="11">
        <v>70</v>
      </c>
      <c r="B7" s="5">
        <v>0</v>
      </c>
      <c r="C7" s="5">
        <v>130</v>
      </c>
      <c r="D7" s="5">
        <v>322</v>
      </c>
      <c r="E7" s="5">
        <v>0</v>
      </c>
      <c r="F7" s="5">
        <v>0</v>
      </c>
      <c r="G7" s="5">
        <v>109</v>
      </c>
      <c r="H7" s="5">
        <v>0</v>
      </c>
      <c r="I7" s="5">
        <v>2.4</v>
      </c>
      <c r="J7" s="5">
        <v>1</v>
      </c>
      <c r="K7" s="5">
        <v>2</v>
      </c>
    </row>
    <row r="8" spans="1:17" x14ac:dyDescent="0.25">
      <c r="A8" s="11">
        <v>58</v>
      </c>
      <c r="B8" s="5">
        <v>0</v>
      </c>
      <c r="C8" s="5">
        <v>114</v>
      </c>
      <c r="D8" s="5">
        <v>318</v>
      </c>
      <c r="E8" s="5">
        <v>0</v>
      </c>
      <c r="F8" s="5">
        <v>2</v>
      </c>
      <c r="G8" s="5">
        <v>140</v>
      </c>
      <c r="H8" s="5">
        <v>0</v>
      </c>
      <c r="I8" s="5">
        <v>4.4000000000000004</v>
      </c>
      <c r="J8" s="5">
        <v>0</v>
      </c>
      <c r="K8" s="5">
        <v>1</v>
      </c>
    </row>
    <row r="9" spans="1:17" x14ac:dyDescent="0.25">
      <c r="A9" s="11">
        <v>42</v>
      </c>
      <c r="B9" s="5">
        <v>0</v>
      </c>
      <c r="C9" s="5">
        <v>136</v>
      </c>
      <c r="D9" s="5">
        <v>315</v>
      </c>
      <c r="E9" s="5">
        <v>0</v>
      </c>
      <c r="F9" s="5">
        <v>1</v>
      </c>
      <c r="G9" s="5">
        <v>125</v>
      </c>
      <c r="H9" s="5">
        <v>1</v>
      </c>
      <c r="I9" s="5">
        <v>1.8</v>
      </c>
      <c r="J9" s="5">
        <v>1</v>
      </c>
      <c r="K9" s="5">
        <v>1</v>
      </c>
    </row>
    <row r="10" spans="1:17" x14ac:dyDescent="0.25">
      <c r="A10" s="11">
        <v>46</v>
      </c>
      <c r="B10" s="5">
        <v>0</v>
      </c>
      <c r="C10" s="5">
        <v>140</v>
      </c>
      <c r="D10" s="5">
        <v>311</v>
      </c>
      <c r="E10" s="5">
        <v>0</v>
      </c>
      <c r="F10" s="5">
        <v>1</v>
      </c>
      <c r="G10" s="5">
        <v>120</v>
      </c>
      <c r="H10" s="5">
        <v>1</v>
      </c>
      <c r="I10" s="5">
        <v>1.8</v>
      </c>
      <c r="J10" s="5">
        <v>1</v>
      </c>
      <c r="K10" s="5">
        <v>3</v>
      </c>
    </row>
    <row r="11" spans="1:17" x14ac:dyDescent="0.25">
      <c r="A11" s="11">
        <v>64</v>
      </c>
      <c r="B11" s="5">
        <v>2</v>
      </c>
      <c r="C11" s="5">
        <v>125</v>
      </c>
      <c r="D11" s="5">
        <v>309</v>
      </c>
      <c r="E11" s="5">
        <v>0</v>
      </c>
      <c r="F11" s="5">
        <v>1</v>
      </c>
      <c r="G11" s="5">
        <v>131</v>
      </c>
      <c r="H11" s="5">
        <v>1</v>
      </c>
      <c r="I11" s="5">
        <v>1.8</v>
      </c>
      <c r="J11" s="5">
        <v>1</v>
      </c>
      <c r="K11" s="5">
        <v>3</v>
      </c>
    </row>
    <row r="12" spans="1:17" x14ac:dyDescent="0.25">
      <c r="A12" s="10">
        <v>45</v>
      </c>
      <c r="B12" s="6">
        <v>0</v>
      </c>
      <c r="C12" s="6">
        <v>142</v>
      </c>
      <c r="D12" s="6">
        <v>309</v>
      </c>
      <c r="E12" s="6">
        <v>0</v>
      </c>
      <c r="F12" s="6">
        <v>0</v>
      </c>
      <c r="G12" s="6">
        <v>147</v>
      </c>
      <c r="H12" s="6">
        <v>1</v>
      </c>
      <c r="I12" s="6">
        <v>0</v>
      </c>
      <c r="J12" s="6">
        <v>1</v>
      </c>
      <c r="K12" s="6">
        <v>3</v>
      </c>
    </row>
    <row r="13" spans="1:17" x14ac:dyDescent="0.25">
      <c r="A13" s="11">
        <v>77</v>
      </c>
      <c r="B13" s="5">
        <v>0</v>
      </c>
      <c r="C13" s="5">
        <v>125</v>
      </c>
      <c r="D13" s="5">
        <v>304</v>
      </c>
      <c r="E13" s="5">
        <v>0</v>
      </c>
      <c r="F13" s="5">
        <v>0</v>
      </c>
      <c r="G13" s="5">
        <v>162</v>
      </c>
      <c r="H13" s="5">
        <v>1</v>
      </c>
      <c r="I13" s="5">
        <v>0</v>
      </c>
      <c r="J13" s="5">
        <v>2</v>
      </c>
      <c r="K13" s="5">
        <v>2</v>
      </c>
    </row>
    <row r="14" spans="1:17" x14ac:dyDescent="0.25">
      <c r="A14" s="10">
        <v>58</v>
      </c>
      <c r="B14" s="6">
        <v>0</v>
      </c>
      <c r="C14" s="6">
        <v>125</v>
      </c>
      <c r="D14" s="6">
        <v>300</v>
      </c>
      <c r="E14" s="6">
        <v>0</v>
      </c>
      <c r="F14" s="6">
        <v>0</v>
      </c>
      <c r="G14" s="6">
        <v>171</v>
      </c>
      <c r="H14" s="6">
        <v>0</v>
      </c>
      <c r="I14" s="6">
        <v>0</v>
      </c>
      <c r="J14" s="6">
        <v>2</v>
      </c>
      <c r="K14" s="6">
        <v>3</v>
      </c>
    </row>
    <row r="15" spans="1:17" x14ac:dyDescent="0.25">
      <c r="A15" s="10">
        <v>67</v>
      </c>
      <c r="B15" s="6">
        <v>0</v>
      </c>
      <c r="C15" s="6">
        <v>100</v>
      </c>
      <c r="D15" s="6">
        <v>299</v>
      </c>
      <c r="E15" s="6">
        <v>0</v>
      </c>
      <c r="F15" s="6">
        <v>0</v>
      </c>
      <c r="G15" s="6">
        <v>125</v>
      </c>
      <c r="H15" s="6">
        <v>1</v>
      </c>
      <c r="I15" s="6">
        <v>0.9</v>
      </c>
      <c r="J15" s="6">
        <v>1</v>
      </c>
      <c r="K15" s="6">
        <v>2</v>
      </c>
    </row>
    <row r="16" spans="1:17" x14ac:dyDescent="0.25">
      <c r="A16" s="11">
        <v>51</v>
      </c>
      <c r="B16" s="5">
        <v>0</v>
      </c>
      <c r="C16" s="5">
        <v>140</v>
      </c>
      <c r="D16" s="5">
        <v>299</v>
      </c>
      <c r="E16" s="5">
        <v>0</v>
      </c>
      <c r="F16" s="5">
        <v>1</v>
      </c>
      <c r="G16" s="5">
        <v>173</v>
      </c>
      <c r="H16" s="5">
        <v>1</v>
      </c>
      <c r="I16" s="5">
        <v>1.6</v>
      </c>
      <c r="J16" s="5">
        <v>2</v>
      </c>
      <c r="K16" s="5">
        <v>3</v>
      </c>
    </row>
    <row r="17" spans="1:11" x14ac:dyDescent="0.25">
      <c r="A17" s="11">
        <v>51</v>
      </c>
      <c r="B17" s="5">
        <v>0</v>
      </c>
      <c r="C17" s="5">
        <v>140</v>
      </c>
      <c r="D17" s="5">
        <v>298</v>
      </c>
      <c r="E17" s="5">
        <v>0</v>
      </c>
      <c r="F17" s="5">
        <v>1</v>
      </c>
      <c r="G17" s="5">
        <v>122</v>
      </c>
      <c r="H17" s="5">
        <v>1</v>
      </c>
      <c r="I17" s="5">
        <v>4.2</v>
      </c>
      <c r="J17" s="5">
        <v>1</v>
      </c>
      <c r="K17" s="5">
        <v>3</v>
      </c>
    </row>
    <row r="18" spans="1:11" x14ac:dyDescent="0.25">
      <c r="A18" s="11">
        <v>60</v>
      </c>
      <c r="B18" s="5">
        <v>0</v>
      </c>
      <c r="C18" s="5">
        <v>140</v>
      </c>
      <c r="D18" s="5">
        <v>293</v>
      </c>
      <c r="E18" s="5">
        <v>0</v>
      </c>
      <c r="F18" s="5">
        <v>0</v>
      </c>
      <c r="G18" s="5">
        <v>170</v>
      </c>
      <c r="H18" s="5">
        <v>0</v>
      </c>
      <c r="I18" s="5">
        <v>1.2</v>
      </c>
      <c r="J18" s="5">
        <v>1</v>
      </c>
      <c r="K18" s="5">
        <v>3</v>
      </c>
    </row>
    <row r="19" spans="1:11" x14ac:dyDescent="0.25">
      <c r="A19" s="11">
        <v>44</v>
      </c>
      <c r="B19" s="5">
        <v>0</v>
      </c>
      <c r="C19" s="5">
        <v>112</v>
      </c>
      <c r="D19" s="5">
        <v>290</v>
      </c>
      <c r="E19" s="5">
        <v>0</v>
      </c>
      <c r="F19" s="5">
        <v>0</v>
      </c>
      <c r="G19" s="5">
        <v>153</v>
      </c>
      <c r="H19" s="5">
        <v>0</v>
      </c>
      <c r="I19" s="5">
        <v>0</v>
      </c>
      <c r="J19" s="5">
        <v>2</v>
      </c>
      <c r="K19" s="5">
        <v>2</v>
      </c>
    </row>
    <row r="20" spans="1:11" x14ac:dyDescent="0.25">
      <c r="A20" s="10">
        <v>55</v>
      </c>
      <c r="B20" s="6">
        <v>0</v>
      </c>
      <c r="C20" s="6">
        <v>160</v>
      </c>
      <c r="D20" s="6">
        <v>289</v>
      </c>
      <c r="E20" s="6">
        <v>0</v>
      </c>
      <c r="F20" s="6">
        <v>0</v>
      </c>
      <c r="G20" s="6">
        <v>145</v>
      </c>
      <c r="H20" s="6">
        <v>1</v>
      </c>
      <c r="I20" s="6">
        <v>0.8</v>
      </c>
      <c r="J20" s="6">
        <v>1</v>
      </c>
      <c r="K20" s="6">
        <v>3</v>
      </c>
    </row>
    <row r="21" spans="1:11" x14ac:dyDescent="0.25">
      <c r="A21" s="11">
        <v>57</v>
      </c>
      <c r="B21" s="5">
        <v>0</v>
      </c>
      <c r="C21" s="5">
        <v>165</v>
      </c>
      <c r="D21" s="5">
        <v>289</v>
      </c>
      <c r="E21" s="5">
        <v>1</v>
      </c>
      <c r="F21" s="5">
        <v>0</v>
      </c>
      <c r="G21" s="5">
        <v>124</v>
      </c>
      <c r="H21" s="5">
        <v>0</v>
      </c>
      <c r="I21" s="5">
        <v>1</v>
      </c>
      <c r="J21" s="5">
        <v>1</v>
      </c>
      <c r="K21" s="5">
        <v>3</v>
      </c>
    </row>
    <row r="22" spans="1:11" x14ac:dyDescent="0.25">
      <c r="A22" s="10">
        <v>59</v>
      </c>
      <c r="B22" s="6">
        <v>3</v>
      </c>
      <c r="C22" s="6">
        <v>170</v>
      </c>
      <c r="D22" s="6">
        <v>288</v>
      </c>
      <c r="E22" s="6">
        <v>0</v>
      </c>
      <c r="F22" s="6">
        <v>0</v>
      </c>
      <c r="G22" s="6">
        <v>159</v>
      </c>
      <c r="H22" s="6">
        <v>0</v>
      </c>
      <c r="I22" s="6">
        <v>0.2</v>
      </c>
      <c r="J22" s="6">
        <v>1</v>
      </c>
      <c r="K22" s="6">
        <v>3</v>
      </c>
    </row>
    <row r="23" spans="1:11" x14ac:dyDescent="0.25">
      <c r="A23" s="10">
        <v>54</v>
      </c>
      <c r="B23" s="6">
        <v>0</v>
      </c>
      <c r="C23" s="6">
        <v>122</v>
      </c>
      <c r="D23" s="6">
        <v>286</v>
      </c>
      <c r="E23" s="6">
        <v>0</v>
      </c>
      <c r="F23" s="6">
        <v>0</v>
      </c>
      <c r="G23" s="6">
        <v>116</v>
      </c>
      <c r="H23" s="6">
        <v>1</v>
      </c>
      <c r="I23" s="6">
        <v>3.2</v>
      </c>
      <c r="J23" s="6">
        <v>1</v>
      </c>
      <c r="K23" s="6">
        <v>2</v>
      </c>
    </row>
    <row r="24" spans="1:11" x14ac:dyDescent="0.25">
      <c r="A24" s="11">
        <v>67</v>
      </c>
      <c r="B24" s="5">
        <v>0</v>
      </c>
      <c r="C24" s="5">
        <v>160</v>
      </c>
      <c r="D24" s="5">
        <v>286</v>
      </c>
      <c r="E24" s="5">
        <v>0</v>
      </c>
      <c r="F24" s="5">
        <v>0</v>
      </c>
      <c r="G24" s="5">
        <v>108</v>
      </c>
      <c r="H24" s="5">
        <v>1</v>
      </c>
      <c r="I24" s="5">
        <v>1.5</v>
      </c>
      <c r="J24" s="5">
        <v>1</v>
      </c>
      <c r="K24" s="5">
        <v>2</v>
      </c>
    </row>
    <row r="25" spans="1:11" x14ac:dyDescent="0.25">
      <c r="A25" s="10">
        <v>58</v>
      </c>
      <c r="B25" s="6">
        <v>1</v>
      </c>
      <c r="C25" s="6">
        <v>120</v>
      </c>
      <c r="D25" s="6">
        <v>284</v>
      </c>
      <c r="E25" s="6">
        <v>0</v>
      </c>
      <c r="F25" s="6">
        <v>0</v>
      </c>
      <c r="G25" s="6">
        <v>160</v>
      </c>
      <c r="H25" s="6">
        <v>0</v>
      </c>
      <c r="I25" s="6">
        <v>1.8</v>
      </c>
      <c r="J25" s="6">
        <v>1</v>
      </c>
      <c r="K25" s="6">
        <v>2</v>
      </c>
    </row>
    <row r="26" spans="1:11" x14ac:dyDescent="0.25">
      <c r="A26" s="10">
        <v>54</v>
      </c>
      <c r="B26" s="6">
        <v>1</v>
      </c>
      <c r="C26" s="6">
        <v>192</v>
      </c>
      <c r="D26" s="6">
        <v>283</v>
      </c>
      <c r="E26" s="6">
        <v>0</v>
      </c>
      <c r="F26" s="6">
        <v>0</v>
      </c>
      <c r="G26" s="6">
        <v>195</v>
      </c>
      <c r="H26" s="6">
        <v>0</v>
      </c>
      <c r="I26" s="6">
        <v>0</v>
      </c>
      <c r="J26" s="6">
        <v>2</v>
      </c>
      <c r="K26" s="6">
        <v>3</v>
      </c>
    </row>
    <row r="27" spans="1:11" x14ac:dyDescent="0.25">
      <c r="A27" s="11">
        <v>56</v>
      </c>
      <c r="B27" s="5">
        <v>0</v>
      </c>
      <c r="C27" s="5">
        <v>130</v>
      </c>
      <c r="D27" s="5">
        <v>283</v>
      </c>
      <c r="E27" s="5">
        <v>1</v>
      </c>
      <c r="F27" s="5">
        <v>0</v>
      </c>
      <c r="G27" s="5">
        <v>103</v>
      </c>
      <c r="H27" s="5">
        <v>1</v>
      </c>
      <c r="I27" s="5">
        <v>1.6</v>
      </c>
      <c r="J27" s="5">
        <v>0</v>
      </c>
      <c r="K27" s="5">
        <v>3</v>
      </c>
    </row>
    <row r="28" spans="1:11" x14ac:dyDescent="0.25">
      <c r="A28" s="11">
        <v>53</v>
      </c>
      <c r="B28" s="5">
        <v>0</v>
      </c>
      <c r="C28" s="5">
        <v>123</v>
      </c>
      <c r="D28" s="5">
        <v>282</v>
      </c>
      <c r="E28" s="5">
        <v>0</v>
      </c>
      <c r="F28" s="5">
        <v>1</v>
      </c>
      <c r="G28" s="5">
        <v>95</v>
      </c>
      <c r="H28" s="5">
        <v>1</v>
      </c>
      <c r="I28" s="5">
        <v>2</v>
      </c>
      <c r="J28" s="5">
        <v>1</v>
      </c>
      <c r="K28" s="5">
        <v>3</v>
      </c>
    </row>
    <row r="29" spans="1:11" x14ac:dyDescent="0.25">
      <c r="A29" s="10">
        <v>65</v>
      </c>
      <c r="B29" s="6">
        <v>3</v>
      </c>
      <c r="C29" s="6">
        <v>138</v>
      </c>
      <c r="D29" s="6">
        <v>282</v>
      </c>
      <c r="E29" s="6">
        <v>1</v>
      </c>
      <c r="F29" s="6">
        <v>0</v>
      </c>
      <c r="G29" s="6">
        <v>174</v>
      </c>
      <c r="H29" s="6">
        <v>0</v>
      </c>
      <c r="I29" s="6">
        <v>1.4</v>
      </c>
      <c r="J29" s="6">
        <v>1</v>
      </c>
      <c r="K29" s="6">
        <v>2</v>
      </c>
    </row>
    <row r="30" spans="1:11" x14ac:dyDescent="0.25">
      <c r="A30" s="10">
        <v>60</v>
      </c>
      <c r="B30" s="6">
        <v>0</v>
      </c>
      <c r="C30" s="6">
        <v>145</v>
      </c>
      <c r="D30" s="6">
        <v>282</v>
      </c>
      <c r="E30" s="6">
        <v>0</v>
      </c>
      <c r="F30" s="6">
        <v>0</v>
      </c>
      <c r="G30" s="6">
        <v>142</v>
      </c>
      <c r="H30" s="6">
        <v>1</v>
      </c>
      <c r="I30" s="6">
        <v>2.8</v>
      </c>
      <c r="J30" s="6">
        <v>1</v>
      </c>
      <c r="K30" s="6">
        <v>3</v>
      </c>
    </row>
    <row r="31" spans="1:11" x14ac:dyDescent="0.25">
      <c r="A31" s="11">
        <v>35</v>
      </c>
      <c r="B31" s="5">
        <v>0</v>
      </c>
      <c r="C31" s="5">
        <v>126</v>
      </c>
      <c r="D31" s="5">
        <v>282</v>
      </c>
      <c r="E31" s="5">
        <v>0</v>
      </c>
      <c r="F31" s="5">
        <v>0</v>
      </c>
      <c r="G31" s="5">
        <v>156</v>
      </c>
      <c r="H31" s="5">
        <v>1</v>
      </c>
      <c r="I31" s="5">
        <v>0</v>
      </c>
      <c r="J31" s="5">
        <v>2</v>
      </c>
      <c r="K31" s="5">
        <v>3</v>
      </c>
    </row>
    <row r="32" spans="1:11" x14ac:dyDescent="0.25">
      <c r="A32" s="11">
        <v>62</v>
      </c>
      <c r="B32" s="5">
        <v>1</v>
      </c>
      <c r="C32" s="5">
        <v>120</v>
      </c>
      <c r="D32" s="5">
        <v>281</v>
      </c>
      <c r="E32" s="5">
        <v>0</v>
      </c>
      <c r="F32" s="5">
        <v>0</v>
      </c>
      <c r="G32" s="5">
        <v>103</v>
      </c>
      <c r="H32" s="5">
        <v>0</v>
      </c>
      <c r="I32" s="5">
        <v>1.4</v>
      </c>
      <c r="J32" s="5">
        <v>1</v>
      </c>
      <c r="K32" s="5">
        <v>3</v>
      </c>
    </row>
    <row r="33" spans="1:11" x14ac:dyDescent="0.25">
      <c r="A33" s="11">
        <v>57</v>
      </c>
      <c r="B33" s="5">
        <v>0</v>
      </c>
      <c r="C33" s="5">
        <v>150</v>
      </c>
      <c r="D33" s="5">
        <v>276</v>
      </c>
      <c r="E33" s="5">
        <v>0</v>
      </c>
      <c r="F33" s="5">
        <v>0</v>
      </c>
      <c r="G33" s="5">
        <v>112</v>
      </c>
      <c r="H33" s="5">
        <v>1</v>
      </c>
      <c r="I33" s="5">
        <v>0.6</v>
      </c>
      <c r="J33" s="5">
        <v>1</v>
      </c>
      <c r="K33" s="5">
        <v>1</v>
      </c>
    </row>
    <row r="34" spans="1:11" x14ac:dyDescent="0.25">
      <c r="A34" s="11">
        <v>47</v>
      </c>
      <c r="B34" s="5">
        <v>0</v>
      </c>
      <c r="C34" s="5">
        <v>110</v>
      </c>
      <c r="D34" s="5">
        <v>275</v>
      </c>
      <c r="E34" s="5">
        <v>0</v>
      </c>
      <c r="F34" s="5">
        <v>0</v>
      </c>
      <c r="G34" s="5">
        <v>118</v>
      </c>
      <c r="H34" s="5">
        <v>1</v>
      </c>
      <c r="I34" s="5">
        <v>1</v>
      </c>
      <c r="J34" s="5">
        <v>1</v>
      </c>
      <c r="K34" s="5">
        <v>2</v>
      </c>
    </row>
    <row r="35" spans="1:11" x14ac:dyDescent="0.25">
      <c r="A35" s="11">
        <v>57</v>
      </c>
      <c r="B35" s="5">
        <v>0</v>
      </c>
      <c r="C35" s="5">
        <v>152</v>
      </c>
      <c r="D35" s="5">
        <v>274</v>
      </c>
      <c r="E35" s="5">
        <v>0</v>
      </c>
      <c r="F35" s="5">
        <v>1</v>
      </c>
      <c r="G35" s="5">
        <v>88</v>
      </c>
      <c r="H35" s="5">
        <v>1</v>
      </c>
      <c r="I35" s="5">
        <v>1.2</v>
      </c>
      <c r="J35" s="5">
        <v>1</v>
      </c>
      <c r="K35" s="5">
        <v>3</v>
      </c>
    </row>
    <row r="36" spans="1:11" x14ac:dyDescent="0.25">
      <c r="A36" s="10">
        <v>48</v>
      </c>
      <c r="B36" s="6">
        <v>0</v>
      </c>
      <c r="C36" s="6">
        <v>124</v>
      </c>
      <c r="D36" s="6">
        <v>274</v>
      </c>
      <c r="E36" s="6">
        <v>0</v>
      </c>
      <c r="F36" s="6">
        <v>0</v>
      </c>
      <c r="G36" s="6">
        <v>166</v>
      </c>
      <c r="H36" s="6">
        <v>0</v>
      </c>
      <c r="I36" s="6">
        <v>0.5</v>
      </c>
      <c r="J36" s="6">
        <v>1</v>
      </c>
      <c r="K36" s="6">
        <v>3</v>
      </c>
    </row>
    <row r="37" spans="1:11" x14ac:dyDescent="0.25">
      <c r="A37" s="11">
        <v>68</v>
      </c>
      <c r="B37" s="5">
        <v>2</v>
      </c>
      <c r="C37" s="5">
        <v>180</v>
      </c>
      <c r="D37" s="5">
        <v>274</v>
      </c>
      <c r="E37" s="5">
        <v>1</v>
      </c>
      <c r="F37" s="5">
        <v>0</v>
      </c>
      <c r="G37" s="5">
        <v>150</v>
      </c>
      <c r="H37" s="5">
        <v>1</v>
      </c>
      <c r="I37" s="5">
        <v>1.6</v>
      </c>
      <c r="J37" s="5">
        <v>1</v>
      </c>
      <c r="K37" s="5">
        <v>3</v>
      </c>
    </row>
    <row r="38" spans="1:11" x14ac:dyDescent="0.25">
      <c r="A38" s="10">
        <v>59</v>
      </c>
      <c r="B38" s="6">
        <v>3</v>
      </c>
      <c r="C38" s="6">
        <v>160</v>
      </c>
      <c r="D38" s="6">
        <v>273</v>
      </c>
      <c r="E38" s="6">
        <v>0</v>
      </c>
      <c r="F38" s="6">
        <v>0</v>
      </c>
      <c r="G38" s="6">
        <v>125</v>
      </c>
      <c r="H38" s="6">
        <v>0</v>
      </c>
      <c r="I38" s="6">
        <v>0</v>
      </c>
      <c r="J38" s="6">
        <v>2</v>
      </c>
      <c r="K38" s="6">
        <v>2</v>
      </c>
    </row>
    <row r="39" spans="1:11" x14ac:dyDescent="0.25">
      <c r="A39" s="11">
        <v>58</v>
      </c>
      <c r="B39" s="5">
        <v>0</v>
      </c>
      <c r="C39" s="5">
        <v>150</v>
      </c>
      <c r="D39" s="5">
        <v>270</v>
      </c>
      <c r="E39" s="5">
        <v>0</v>
      </c>
      <c r="F39" s="5">
        <v>0</v>
      </c>
      <c r="G39" s="5">
        <v>111</v>
      </c>
      <c r="H39" s="5">
        <v>1</v>
      </c>
      <c r="I39" s="5">
        <v>0.8</v>
      </c>
      <c r="J39" s="5">
        <v>2</v>
      </c>
      <c r="K39" s="5">
        <v>3</v>
      </c>
    </row>
    <row r="40" spans="1:11" x14ac:dyDescent="0.25">
      <c r="A40" s="10">
        <v>70</v>
      </c>
      <c r="B40" s="6">
        <v>2</v>
      </c>
      <c r="C40" s="6">
        <v>160</v>
      </c>
      <c r="D40" s="6">
        <v>269</v>
      </c>
      <c r="E40" s="6">
        <v>0</v>
      </c>
      <c r="F40" s="6">
        <v>1</v>
      </c>
      <c r="G40" s="6">
        <v>112</v>
      </c>
      <c r="H40" s="6">
        <v>1</v>
      </c>
      <c r="I40" s="6">
        <v>2.9</v>
      </c>
      <c r="J40" s="6">
        <v>1</v>
      </c>
      <c r="K40" s="6">
        <v>3</v>
      </c>
    </row>
    <row r="41" spans="1:11" x14ac:dyDescent="0.25">
      <c r="A41" s="11">
        <v>62</v>
      </c>
      <c r="B41" s="5">
        <v>0</v>
      </c>
      <c r="C41" s="5">
        <v>120</v>
      </c>
      <c r="D41" s="5">
        <v>267</v>
      </c>
      <c r="E41" s="5">
        <v>0</v>
      </c>
      <c r="F41" s="5">
        <v>1</v>
      </c>
      <c r="G41" s="5">
        <v>99</v>
      </c>
      <c r="H41" s="5">
        <v>1</v>
      </c>
      <c r="I41" s="5">
        <v>1.8</v>
      </c>
      <c r="J41" s="5">
        <v>1</v>
      </c>
      <c r="K41" s="5">
        <v>3</v>
      </c>
    </row>
    <row r="42" spans="1:11" x14ac:dyDescent="0.25">
      <c r="A42" s="10">
        <v>54</v>
      </c>
      <c r="B42" s="6">
        <v>0</v>
      </c>
      <c r="C42" s="6">
        <v>124</v>
      </c>
      <c r="D42" s="6">
        <v>266</v>
      </c>
      <c r="E42" s="6">
        <v>0</v>
      </c>
      <c r="F42" s="6">
        <v>0</v>
      </c>
      <c r="G42" s="6">
        <v>109</v>
      </c>
      <c r="H42" s="6">
        <v>1</v>
      </c>
      <c r="I42" s="6">
        <v>2.2000000000000002</v>
      </c>
      <c r="J42" s="6">
        <v>1</v>
      </c>
      <c r="K42" s="6">
        <v>3</v>
      </c>
    </row>
    <row r="43" spans="1:11" x14ac:dyDescent="0.25">
      <c r="A43" s="11">
        <v>45</v>
      </c>
      <c r="B43" s="5">
        <v>3</v>
      </c>
      <c r="C43" s="5">
        <v>110</v>
      </c>
      <c r="D43" s="5">
        <v>264</v>
      </c>
      <c r="E43" s="5">
        <v>0</v>
      </c>
      <c r="F43" s="5">
        <v>1</v>
      </c>
      <c r="G43" s="5">
        <v>132</v>
      </c>
      <c r="H43" s="5">
        <v>0</v>
      </c>
      <c r="I43" s="5">
        <v>1.2</v>
      </c>
      <c r="J43" s="5">
        <v>1</v>
      </c>
      <c r="K43" s="5">
        <v>3</v>
      </c>
    </row>
    <row r="44" spans="1:11" x14ac:dyDescent="0.25">
      <c r="A44" s="10">
        <v>57</v>
      </c>
      <c r="B44" s="6">
        <v>1</v>
      </c>
      <c r="C44" s="6">
        <v>124</v>
      </c>
      <c r="D44" s="6">
        <v>261</v>
      </c>
      <c r="E44" s="6">
        <v>0</v>
      </c>
      <c r="F44" s="6">
        <v>1</v>
      </c>
      <c r="G44" s="6">
        <v>141</v>
      </c>
      <c r="H44" s="6">
        <v>0</v>
      </c>
      <c r="I44" s="6">
        <v>0.3</v>
      </c>
      <c r="J44" s="6">
        <v>2</v>
      </c>
      <c r="K44" s="6">
        <v>3</v>
      </c>
    </row>
    <row r="45" spans="1:11" x14ac:dyDescent="0.25">
      <c r="A45" s="10">
        <v>61</v>
      </c>
      <c r="B45" s="6">
        <v>0</v>
      </c>
      <c r="C45" s="6">
        <v>120</v>
      </c>
      <c r="D45" s="6">
        <v>260</v>
      </c>
      <c r="E45" s="6">
        <v>0</v>
      </c>
      <c r="F45" s="6">
        <v>1</v>
      </c>
      <c r="G45" s="6">
        <v>140</v>
      </c>
      <c r="H45" s="6">
        <v>1</v>
      </c>
      <c r="I45" s="6">
        <v>3.6</v>
      </c>
      <c r="J45" s="6">
        <v>1</v>
      </c>
      <c r="K45" s="6">
        <v>3</v>
      </c>
    </row>
    <row r="46" spans="1:11" x14ac:dyDescent="0.25">
      <c r="A46" s="10">
        <v>58</v>
      </c>
      <c r="B46" s="6">
        <v>0</v>
      </c>
      <c r="C46" s="6">
        <v>128</v>
      </c>
      <c r="D46" s="6">
        <v>259</v>
      </c>
      <c r="E46" s="6">
        <v>0</v>
      </c>
      <c r="F46" s="6">
        <v>0</v>
      </c>
      <c r="G46" s="6">
        <v>130</v>
      </c>
      <c r="H46" s="6">
        <v>1</v>
      </c>
      <c r="I46" s="6">
        <v>3</v>
      </c>
      <c r="J46" s="6">
        <v>1</v>
      </c>
      <c r="K46" s="6">
        <v>3</v>
      </c>
    </row>
    <row r="47" spans="1:11" x14ac:dyDescent="0.25">
      <c r="A47" s="11">
        <v>60</v>
      </c>
      <c r="B47" s="5">
        <v>0</v>
      </c>
      <c r="C47" s="5">
        <v>125</v>
      </c>
      <c r="D47" s="5">
        <v>258</v>
      </c>
      <c r="E47" s="5">
        <v>0</v>
      </c>
      <c r="F47" s="5">
        <v>0</v>
      </c>
      <c r="G47" s="5">
        <v>141</v>
      </c>
      <c r="H47" s="5">
        <v>1</v>
      </c>
      <c r="I47" s="5">
        <v>2.8</v>
      </c>
      <c r="J47" s="5">
        <v>1</v>
      </c>
      <c r="K47" s="5">
        <v>3</v>
      </c>
    </row>
    <row r="48" spans="1:11" x14ac:dyDescent="0.25">
      <c r="A48" s="11">
        <v>56</v>
      </c>
      <c r="B48" s="5">
        <v>2</v>
      </c>
      <c r="C48" s="5">
        <v>130</v>
      </c>
      <c r="D48" s="5">
        <v>256</v>
      </c>
      <c r="E48" s="5">
        <v>1</v>
      </c>
      <c r="F48" s="5">
        <v>0</v>
      </c>
      <c r="G48" s="5">
        <v>142</v>
      </c>
      <c r="H48" s="5">
        <v>1</v>
      </c>
      <c r="I48" s="5">
        <v>0.6</v>
      </c>
      <c r="J48" s="5">
        <v>1</v>
      </c>
      <c r="K48" s="5">
        <v>1</v>
      </c>
    </row>
    <row r="49" spans="1:11" x14ac:dyDescent="0.25">
      <c r="A49" s="10">
        <v>48</v>
      </c>
      <c r="B49" s="6">
        <v>0</v>
      </c>
      <c r="C49" s="6">
        <v>130</v>
      </c>
      <c r="D49" s="6">
        <v>256</v>
      </c>
      <c r="E49" s="6">
        <v>1</v>
      </c>
      <c r="F49" s="6">
        <v>0</v>
      </c>
      <c r="G49" s="6">
        <v>150</v>
      </c>
      <c r="H49" s="6">
        <v>1</v>
      </c>
      <c r="I49" s="6">
        <v>0</v>
      </c>
      <c r="J49" s="6">
        <v>2</v>
      </c>
      <c r="K49" s="6">
        <v>3</v>
      </c>
    </row>
    <row r="50" spans="1:11" x14ac:dyDescent="0.25">
      <c r="A50" s="11">
        <v>52</v>
      </c>
      <c r="B50" s="5">
        <v>0</v>
      </c>
      <c r="C50" s="5">
        <v>128</v>
      </c>
      <c r="D50" s="5">
        <v>255</v>
      </c>
      <c r="E50" s="5">
        <v>0</v>
      </c>
      <c r="F50" s="5">
        <v>1</v>
      </c>
      <c r="G50" s="5">
        <v>161</v>
      </c>
      <c r="H50" s="5">
        <v>1</v>
      </c>
      <c r="I50" s="5">
        <v>0</v>
      </c>
      <c r="J50" s="5">
        <v>2</v>
      </c>
      <c r="K50" s="5">
        <v>3</v>
      </c>
    </row>
    <row r="51" spans="1:11" x14ac:dyDescent="0.25">
      <c r="A51" s="10">
        <v>67</v>
      </c>
      <c r="B51" s="6">
        <v>0</v>
      </c>
      <c r="C51" s="6">
        <v>125</v>
      </c>
      <c r="D51" s="6">
        <v>254</v>
      </c>
      <c r="E51" s="6">
        <v>1</v>
      </c>
      <c r="F51" s="6">
        <v>1</v>
      </c>
      <c r="G51" s="6">
        <v>163</v>
      </c>
      <c r="H51" s="6">
        <v>0</v>
      </c>
      <c r="I51" s="6">
        <v>0.2</v>
      </c>
      <c r="J51" s="6">
        <v>1</v>
      </c>
      <c r="K51" s="6">
        <v>3</v>
      </c>
    </row>
    <row r="52" spans="1:11" x14ac:dyDescent="0.25">
      <c r="A52" s="11">
        <v>63</v>
      </c>
      <c r="B52" s="5">
        <v>0</v>
      </c>
      <c r="C52" s="5">
        <v>130</v>
      </c>
      <c r="D52" s="5">
        <v>254</v>
      </c>
      <c r="E52" s="5">
        <v>0</v>
      </c>
      <c r="F52" s="5">
        <v>0</v>
      </c>
      <c r="G52" s="5">
        <v>147</v>
      </c>
      <c r="H52" s="5">
        <v>0</v>
      </c>
      <c r="I52" s="5">
        <v>1.4</v>
      </c>
      <c r="J52" s="5">
        <v>1</v>
      </c>
      <c r="K52" s="5">
        <v>3</v>
      </c>
    </row>
    <row r="53" spans="1:11" x14ac:dyDescent="0.25">
      <c r="A53" s="11">
        <v>65</v>
      </c>
      <c r="B53" s="5">
        <v>0</v>
      </c>
      <c r="C53" s="5">
        <v>135</v>
      </c>
      <c r="D53" s="5">
        <v>254</v>
      </c>
      <c r="E53" s="5">
        <v>0</v>
      </c>
      <c r="F53" s="5">
        <v>0</v>
      </c>
      <c r="G53" s="5">
        <v>127</v>
      </c>
      <c r="H53" s="5">
        <v>0</v>
      </c>
      <c r="I53" s="5">
        <v>2.8</v>
      </c>
      <c r="J53" s="5">
        <v>1</v>
      </c>
      <c r="K53" s="5">
        <v>3</v>
      </c>
    </row>
    <row r="54" spans="1:11" x14ac:dyDescent="0.25">
      <c r="A54" s="11">
        <v>69</v>
      </c>
      <c r="B54" s="5">
        <v>2</v>
      </c>
      <c r="C54" s="5">
        <v>140</v>
      </c>
      <c r="D54" s="5">
        <v>254</v>
      </c>
      <c r="E54" s="5">
        <v>0</v>
      </c>
      <c r="F54" s="5">
        <v>0</v>
      </c>
      <c r="G54" s="5">
        <v>146</v>
      </c>
      <c r="H54" s="5">
        <v>0</v>
      </c>
      <c r="I54" s="5">
        <v>2</v>
      </c>
      <c r="J54" s="5">
        <v>1</v>
      </c>
      <c r="K54" s="5">
        <v>3</v>
      </c>
    </row>
    <row r="55" spans="1:11" x14ac:dyDescent="0.25">
      <c r="A55" s="10">
        <v>60</v>
      </c>
      <c r="B55" s="6">
        <v>0</v>
      </c>
      <c r="C55" s="6">
        <v>130</v>
      </c>
      <c r="D55" s="6">
        <v>253</v>
      </c>
      <c r="E55" s="6">
        <v>0</v>
      </c>
      <c r="F55" s="6">
        <v>1</v>
      </c>
      <c r="G55" s="6">
        <v>144</v>
      </c>
      <c r="H55" s="6">
        <v>1</v>
      </c>
      <c r="I55" s="6">
        <v>1.4</v>
      </c>
      <c r="J55" s="6">
        <v>2</v>
      </c>
      <c r="K55" s="6">
        <v>3</v>
      </c>
    </row>
    <row r="56" spans="1:11" x14ac:dyDescent="0.25">
      <c r="A56" s="11">
        <v>46</v>
      </c>
      <c r="B56" s="5">
        <v>0</v>
      </c>
      <c r="C56" s="5">
        <v>120</v>
      </c>
      <c r="D56" s="5">
        <v>249</v>
      </c>
      <c r="E56" s="5">
        <v>0</v>
      </c>
      <c r="F56" s="5">
        <v>0</v>
      </c>
      <c r="G56" s="5">
        <v>144</v>
      </c>
      <c r="H56" s="5">
        <v>0</v>
      </c>
      <c r="I56" s="5">
        <v>0.8</v>
      </c>
      <c r="J56" s="5">
        <v>2</v>
      </c>
      <c r="K56" s="5">
        <v>3</v>
      </c>
    </row>
    <row r="57" spans="1:11" x14ac:dyDescent="0.25">
      <c r="A57" s="11">
        <v>56</v>
      </c>
      <c r="B57" s="5">
        <v>0</v>
      </c>
      <c r="C57" s="5">
        <v>125</v>
      </c>
      <c r="D57" s="5">
        <v>249</v>
      </c>
      <c r="E57" s="5">
        <v>1</v>
      </c>
      <c r="F57" s="5">
        <v>0</v>
      </c>
      <c r="G57" s="5">
        <v>144</v>
      </c>
      <c r="H57" s="5">
        <v>1</v>
      </c>
      <c r="I57" s="5">
        <v>1.2</v>
      </c>
      <c r="J57" s="5">
        <v>1</v>
      </c>
      <c r="K57" s="5">
        <v>2</v>
      </c>
    </row>
    <row r="58" spans="1:11" x14ac:dyDescent="0.25">
      <c r="A58" s="10">
        <v>65</v>
      </c>
      <c r="B58" s="6">
        <v>0</v>
      </c>
      <c r="C58" s="6">
        <v>110</v>
      </c>
      <c r="D58" s="6">
        <v>248</v>
      </c>
      <c r="E58" s="6">
        <v>0</v>
      </c>
      <c r="F58" s="6">
        <v>0</v>
      </c>
      <c r="G58" s="6">
        <v>158</v>
      </c>
      <c r="H58" s="6">
        <v>0</v>
      </c>
      <c r="I58" s="6">
        <v>0.6</v>
      </c>
      <c r="J58" s="6">
        <v>2</v>
      </c>
      <c r="K58" s="6">
        <v>1</v>
      </c>
    </row>
    <row r="59" spans="1:11" x14ac:dyDescent="0.25">
      <c r="A59" s="11">
        <v>43</v>
      </c>
      <c r="B59" s="5">
        <v>0</v>
      </c>
      <c r="C59" s="5">
        <v>132</v>
      </c>
      <c r="D59" s="5">
        <v>247</v>
      </c>
      <c r="E59" s="5">
        <v>1</v>
      </c>
      <c r="F59" s="5">
        <v>0</v>
      </c>
      <c r="G59" s="5">
        <v>143</v>
      </c>
      <c r="H59" s="5">
        <v>1</v>
      </c>
      <c r="I59" s="5">
        <v>0.1</v>
      </c>
      <c r="J59" s="5">
        <v>1</v>
      </c>
      <c r="K59" s="5">
        <v>3</v>
      </c>
    </row>
    <row r="60" spans="1:11" x14ac:dyDescent="0.25">
      <c r="A60" s="10">
        <v>64</v>
      </c>
      <c r="B60" s="6">
        <v>0</v>
      </c>
      <c r="C60" s="6">
        <v>120</v>
      </c>
      <c r="D60" s="6">
        <v>246</v>
      </c>
      <c r="E60" s="6">
        <v>0</v>
      </c>
      <c r="F60" s="6">
        <v>0</v>
      </c>
      <c r="G60" s="6">
        <v>96</v>
      </c>
      <c r="H60" s="6">
        <v>1</v>
      </c>
      <c r="I60" s="6">
        <v>2.2000000000000002</v>
      </c>
      <c r="J60" s="6">
        <v>0</v>
      </c>
      <c r="K60" s="6">
        <v>2</v>
      </c>
    </row>
    <row r="61" spans="1:11" x14ac:dyDescent="0.25">
      <c r="A61" s="11">
        <v>66</v>
      </c>
      <c r="B61" s="5">
        <v>1</v>
      </c>
      <c r="C61" s="5">
        <v>160</v>
      </c>
      <c r="D61" s="5">
        <v>246</v>
      </c>
      <c r="E61" s="5">
        <v>0</v>
      </c>
      <c r="F61" s="5">
        <v>1</v>
      </c>
      <c r="G61" s="5">
        <v>120</v>
      </c>
      <c r="H61" s="5">
        <v>1</v>
      </c>
      <c r="I61" s="5">
        <v>0</v>
      </c>
      <c r="J61" s="5">
        <v>1</v>
      </c>
      <c r="K61" s="5">
        <v>1</v>
      </c>
    </row>
    <row r="62" spans="1:11" x14ac:dyDescent="0.25">
      <c r="A62" s="10">
        <v>50</v>
      </c>
      <c r="B62" s="6">
        <v>0</v>
      </c>
      <c r="C62" s="6">
        <v>150</v>
      </c>
      <c r="D62" s="6">
        <v>243</v>
      </c>
      <c r="E62" s="6">
        <v>0</v>
      </c>
      <c r="F62" s="6">
        <v>0</v>
      </c>
      <c r="G62" s="6">
        <v>128</v>
      </c>
      <c r="H62" s="6">
        <v>0</v>
      </c>
      <c r="I62" s="6">
        <v>2.6</v>
      </c>
      <c r="J62" s="6">
        <v>1</v>
      </c>
      <c r="K62" s="6">
        <v>3</v>
      </c>
    </row>
    <row r="63" spans="1:11" x14ac:dyDescent="0.25">
      <c r="A63" s="10">
        <v>47</v>
      </c>
      <c r="B63" s="6">
        <v>2</v>
      </c>
      <c r="C63" s="6">
        <v>108</v>
      </c>
      <c r="D63" s="6">
        <v>243</v>
      </c>
      <c r="E63" s="6">
        <v>0</v>
      </c>
      <c r="F63" s="6">
        <v>1</v>
      </c>
      <c r="G63" s="6">
        <v>152</v>
      </c>
      <c r="H63" s="6">
        <v>0</v>
      </c>
      <c r="I63" s="6">
        <v>0</v>
      </c>
      <c r="J63" s="6">
        <v>2</v>
      </c>
      <c r="K63" s="6">
        <v>2</v>
      </c>
    </row>
    <row r="64" spans="1:11" x14ac:dyDescent="0.25">
      <c r="A64" s="10">
        <v>59</v>
      </c>
      <c r="B64" s="6">
        <v>0</v>
      </c>
      <c r="C64" s="6">
        <v>110</v>
      </c>
      <c r="D64" s="6">
        <v>239</v>
      </c>
      <c r="E64" s="6">
        <v>0</v>
      </c>
      <c r="F64" s="6">
        <v>0</v>
      </c>
      <c r="G64" s="6">
        <v>142</v>
      </c>
      <c r="H64" s="6">
        <v>1</v>
      </c>
      <c r="I64" s="6">
        <v>1.2</v>
      </c>
      <c r="J64" s="6">
        <v>1</v>
      </c>
      <c r="K64" s="6">
        <v>3</v>
      </c>
    </row>
    <row r="65" spans="1:11" x14ac:dyDescent="0.25">
      <c r="A65" s="11">
        <v>54</v>
      </c>
      <c r="B65" s="5">
        <v>0</v>
      </c>
      <c r="C65" s="5">
        <v>110</v>
      </c>
      <c r="D65" s="5">
        <v>239</v>
      </c>
      <c r="E65" s="5">
        <v>0</v>
      </c>
      <c r="F65" s="5">
        <v>1</v>
      </c>
      <c r="G65" s="5">
        <v>126</v>
      </c>
      <c r="H65" s="5">
        <v>1</v>
      </c>
      <c r="I65" s="5">
        <v>2.8</v>
      </c>
      <c r="J65" s="5">
        <v>1</v>
      </c>
      <c r="K65" s="5">
        <v>3</v>
      </c>
    </row>
    <row r="66" spans="1:11" x14ac:dyDescent="0.25">
      <c r="A66" s="11">
        <v>67</v>
      </c>
      <c r="B66" s="5">
        <v>0</v>
      </c>
      <c r="C66" s="5">
        <v>120</v>
      </c>
      <c r="D66" s="5">
        <v>237</v>
      </c>
      <c r="E66" s="5">
        <v>0</v>
      </c>
      <c r="F66" s="5">
        <v>1</v>
      </c>
      <c r="G66" s="5">
        <v>71</v>
      </c>
      <c r="H66" s="5">
        <v>0</v>
      </c>
      <c r="I66" s="5">
        <v>1</v>
      </c>
      <c r="J66" s="5">
        <v>1</v>
      </c>
      <c r="K66" s="5">
        <v>2</v>
      </c>
    </row>
    <row r="67" spans="1:11" x14ac:dyDescent="0.25">
      <c r="A67" s="10">
        <v>61</v>
      </c>
      <c r="B67" s="6">
        <v>3</v>
      </c>
      <c r="C67" s="6">
        <v>134</v>
      </c>
      <c r="D67" s="6">
        <v>234</v>
      </c>
      <c r="E67" s="6">
        <v>0</v>
      </c>
      <c r="F67" s="6">
        <v>1</v>
      </c>
      <c r="G67" s="6">
        <v>145</v>
      </c>
      <c r="H67" s="6">
        <v>0</v>
      </c>
      <c r="I67" s="6">
        <v>2.6</v>
      </c>
      <c r="J67" s="6">
        <v>1</v>
      </c>
      <c r="K67" s="6">
        <v>2</v>
      </c>
    </row>
    <row r="68" spans="1:11" x14ac:dyDescent="0.25">
      <c r="A68" s="11">
        <v>58</v>
      </c>
      <c r="B68" s="5">
        <v>0</v>
      </c>
      <c r="C68" s="5">
        <v>100</v>
      </c>
      <c r="D68" s="5">
        <v>234</v>
      </c>
      <c r="E68" s="5">
        <v>0</v>
      </c>
      <c r="F68" s="5">
        <v>1</v>
      </c>
      <c r="G68" s="5">
        <v>156</v>
      </c>
      <c r="H68" s="5">
        <v>0</v>
      </c>
      <c r="I68" s="5">
        <v>0.1</v>
      </c>
      <c r="J68" s="5">
        <v>2</v>
      </c>
      <c r="K68" s="5">
        <v>3</v>
      </c>
    </row>
    <row r="69" spans="1:11" x14ac:dyDescent="0.25">
      <c r="A69" s="10">
        <v>50</v>
      </c>
      <c r="B69" s="6">
        <v>2</v>
      </c>
      <c r="C69" s="6">
        <v>140</v>
      </c>
      <c r="D69" s="6">
        <v>233</v>
      </c>
      <c r="E69" s="6">
        <v>0</v>
      </c>
      <c r="F69" s="6">
        <v>1</v>
      </c>
      <c r="G69" s="6">
        <v>163</v>
      </c>
      <c r="H69" s="6">
        <v>0</v>
      </c>
      <c r="I69" s="6">
        <v>0.6</v>
      </c>
      <c r="J69" s="6">
        <v>1</v>
      </c>
      <c r="K69" s="6">
        <v>3</v>
      </c>
    </row>
    <row r="70" spans="1:11" x14ac:dyDescent="0.25">
      <c r="A70" s="11">
        <v>57</v>
      </c>
      <c r="B70" s="5">
        <v>1</v>
      </c>
      <c r="C70" s="5">
        <v>154</v>
      </c>
      <c r="D70" s="5">
        <v>232</v>
      </c>
      <c r="E70" s="5">
        <v>0</v>
      </c>
      <c r="F70" s="5">
        <v>0</v>
      </c>
      <c r="G70" s="5">
        <v>164</v>
      </c>
      <c r="H70" s="5">
        <v>0</v>
      </c>
      <c r="I70" s="5">
        <v>0</v>
      </c>
      <c r="J70" s="5">
        <v>2</v>
      </c>
      <c r="K70" s="5">
        <v>2</v>
      </c>
    </row>
    <row r="71" spans="1:11" x14ac:dyDescent="0.25">
      <c r="A71" s="11">
        <v>46</v>
      </c>
      <c r="B71" s="5">
        <v>2</v>
      </c>
      <c r="C71" s="5">
        <v>150</v>
      </c>
      <c r="D71" s="5">
        <v>231</v>
      </c>
      <c r="E71" s="5">
        <v>0</v>
      </c>
      <c r="F71" s="5">
        <v>1</v>
      </c>
      <c r="G71" s="5">
        <v>147</v>
      </c>
      <c r="H71" s="5">
        <v>0</v>
      </c>
      <c r="I71" s="5">
        <v>3.6</v>
      </c>
      <c r="J71" s="5">
        <v>1</v>
      </c>
      <c r="K71" s="5">
        <v>2</v>
      </c>
    </row>
    <row r="72" spans="1:11" x14ac:dyDescent="0.25">
      <c r="A72" s="11">
        <v>38</v>
      </c>
      <c r="B72" s="5">
        <v>3</v>
      </c>
      <c r="C72" s="5">
        <v>120</v>
      </c>
      <c r="D72" s="5">
        <v>231</v>
      </c>
      <c r="E72" s="5">
        <v>0</v>
      </c>
      <c r="F72" s="5">
        <v>1</v>
      </c>
      <c r="G72" s="5">
        <v>182</v>
      </c>
      <c r="H72" s="5">
        <v>1</v>
      </c>
      <c r="I72" s="5">
        <v>3.8</v>
      </c>
      <c r="J72" s="5">
        <v>1</v>
      </c>
      <c r="K72" s="5">
        <v>3</v>
      </c>
    </row>
    <row r="73" spans="1:11" x14ac:dyDescent="0.25">
      <c r="A73" s="10">
        <v>60</v>
      </c>
      <c r="B73" s="6">
        <v>0</v>
      </c>
      <c r="C73" s="6">
        <v>117</v>
      </c>
      <c r="D73" s="6">
        <v>230</v>
      </c>
      <c r="E73" s="6">
        <v>1</v>
      </c>
      <c r="F73" s="6">
        <v>1</v>
      </c>
      <c r="G73" s="6">
        <v>160</v>
      </c>
      <c r="H73" s="6">
        <v>1</v>
      </c>
      <c r="I73" s="6">
        <v>1.4</v>
      </c>
      <c r="J73" s="6">
        <v>2</v>
      </c>
      <c r="K73" s="6">
        <v>3</v>
      </c>
    </row>
    <row r="74" spans="1:11" x14ac:dyDescent="0.25">
      <c r="A74" s="11">
        <v>58</v>
      </c>
      <c r="B74" s="5">
        <v>2</v>
      </c>
      <c r="C74" s="5">
        <v>112</v>
      </c>
      <c r="D74" s="5">
        <v>230</v>
      </c>
      <c r="E74" s="5">
        <v>0</v>
      </c>
      <c r="F74" s="5">
        <v>0</v>
      </c>
      <c r="G74" s="5">
        <v>165</v>
      </c>
      <c r="H74" s="5">
        <v>0</v>
      </c>
      <c r="I74" s="5">
        <v>2.5</v>
      </c>
      <c r="J74" s="5">
        <v>1</v>
      </c>
      <c r="K74" s="5">
        <v>3</v>
      </c>
    </row>
    <row r="75" spans="1:11" x14ac:dyDescent="0.25">
      <c r="A75" s="10">
        <v>52</v>
      </c>
      <c r="B75" s="6">
        <v>0</v>
      </c>
      <c r="C75" s="6">
        <v>112</v>
      </c>
      <c r="D75" s="6">
        <v>230</v>
      </c>
      <c r="E75" s="6">
        <v>0</v>
      </c>
      <c r="F75" s="6">
        <v>1</v>
      </c>
      <c r="G75" s="6">
        <v>160</v>
      </c>
      <c r="H75" s="6">
        <v>0</v>
      </c>
      <c r="I75" s="6">
        <v>0</v>
      </c>
      <c r="J75" s="6">
        <v>2</v>
      </c>
      <c r="K75" s="6">
        <v>2</v>
      </c>
    </row>
    <row r="76" spans="1:11" x14ac:dyDescent="0.25">
      <c r="A76" s="11">
        <v>57</v>
      </c>
      <c r="B76" s="5">
        <v>2</v>
      </c>
      <c r="C76" s="5">
        <v>128</v>
      </c>
      <c r="D76" s="5">
        <v>229</v>
      </c>
      <c r="E76" s="5">
        <v>0</v>
      </c>
      <c r="F76" s="5">
        <v>0</v>
      </c>
      <c r="G76" s="5">
        <v>150</v>
      </c>
      <c r="H76" s="5">
        <v>0</v>
      </c>
      <c r="I76" s="5">
        <v>0.4</v>
      </c>
      <c r="J76" s="5">
        <v>1</v>
      </c>
      <c r="K76" s="5">
        <v>3</v>
      </c>
    </row>
    <row r="77" spans="1:11" x14ac:dyDescent="0.25">
      <c r="A77" s="10">
        <v>48</v>
      </c>
      <c r="B77" s="6">
        <v>1</v>
      </c>
      <c r="C77" s="6">
        <v>110</v>
      </c>
      <c r="D77" s="6">
        <v>229</v>
      </c>
      <c r="E77" s="6">
        <v>0</v>
      </c>
      <c r="F77" s="6">
        <v>1</v>
      </c>
      <c r="G77" s="6">
        <v>168</v>
      </c>
      <c r="H77" s="6">
        <v>0</v>
      </c>
      <c r="I77" s="6">
        <v>1</v>
      </c>
      <c r="J77" s="6">
        <v>0</v>
      </c>
      <c r="K77" s="6">
        <v>3</v>
      </c>
    </row>
    <row r="78" spans="1:11" x14ac:dyDescent="0.25">
      <c r="A78" s="10">
        <v>67</v>
      </c>
      <c r="B78" s="6">
        <v>0</v>
      </c>
      <c r="C78" s="6">
        <v>120</v>
      </c>
      <c r="D78" s="6">
        <v>229</v>
      </c>
      <c r="E78" s="6">
        <v>0</v>
      </c>
      <c r="F78" s="6">
        <v>0</v>
      </c>
      <c r="G78" s="6">
        <v>129</v>
      </c>
      <c r="H78" s="6">
        <v>1</v>
      </c>
      <c r="I78" s="6">
        <v>2.6</v>
      </c>
      <c r="J78" s="6">
        <v>1</v>
      </c>
      <c r="K78" s="6">
        <v>3</v>
      </c>
    </row>
    <row r="79" spans="1:11" x14ac:dyDescent="0.25">
      <c r="A79" s="11">
        <v>58</v>
      </c>
      <c r="B79" s="5">
        <v>2</v>
      </c>
      <c r="C79" s="5">
        <v>132</v>
      </c>
      <c r="D79" s="5">
        <v>224</v>
      </c>
      <c r="E79" s="5">
        <v>0</v>
      </c>
      <c r="F79" s="5">
        <v>0</v>
      </c>
      <c r="G79" s="5">
        <v>173</v>
      </c>
      <c r="H79" s="5">
        <v>0</v>
      </c>
      <c r="I79" s="5">
        <v>3.2</v>
      </c>
      <c r="J79" s="5">
        <v>2</v>
      </c>
      <c r="K79" s="5">
        <v>3</v>
      </c>
    </row>
    <row r="80" spans="1:11" x14ac:dyDescent="0.25">
      <c r="A80" s="11">
        <v>40</v>
      </c>
      <c r="B80" s="5">
        <v>0</v>
      </c>
      <c r="C80" s="5">
        <v>152</v>
      </c>
      <c r="D80" s="5">
        <v>223</v>
      </c>
      <c r="E80" s="5">
        <v>0</v>
      </c>
      <c r="F80" s="5">
        <v>1</v>
      </c>
      <c r="G80" s="5">
        <v>181</v>
      </c>
      <c r="H80" s="5">
        <v>0</v>
      </c>
      <c r="I80" s="5">
        <v>0</v>
      </c>
      <c r="J80" s="5">
        <v>2</v>
      </c>
      <c r="K80" s="5">
        <v>3</v>
      </c>
    </row>
    <row r="81" spans="1:11" x14ac:dyDescent="0.25">
      <c r="A81" s="11">
        <v>39</v>
      </c>
      <c r="B81" s="5">
        <v>0</v>
      </c>
      <c r="C81" s="5">
        <v>118</v>
      </c>
      <c r="D81" s="5">
        <v>219</v>
      </c>
      <c r="E81" s="5">
        <v>0</v>
      </c>
      <c r="F81" s="5">
        <v>1</v>
      </c>
      <c r="G81" s="5">
        <v>140</v>
      </c>
      <c r="H81" s="5">
        <v>0</v>
      </c>
      <c r="I81" s="5">
        <v>1.2</v>
      </c>
      <c r="J81" s="5">
        <v>1</v>
      </c>
      <c r="K81" s="5">
        <v>3</v>
      </c>
    </row>
    <row r="82" spans="1:11" x14ac:dyDescent="0.25">
      <c r="A82" s="11">
        <v>59</v>
      </c>
      <c r="B82" s="5">
        <v>2</v>
      </c>
      <c r="C82" s="5">
        <v>126</v>
      </c>
      <c r="D82" s="5">
        <v>218</v>
      </c>
      <c r="E82" s="5">
        <v>1</v>
      </c>
      <c r="F82" s="5">
        <v>1</v>
      </c>
      <c r="G82" s="5">
        <v>134</v>
      </c>
      <c r="H82" s="5">
        <v>0</v>
      </c>
      <c r="I82" s="5">
        <v>2.2000000000000002</v>
      </c>
      <c r="J82" s="5">
        <v>1</v>
      </c>
      <c r="K82" s="5">
        <v>1</v>
      </c>
    </row>
    <row r="83" spans="1:11" x14ac:dyDescent="0.25">
      <c r="A83" s="10">
        <v>58</v>
      </c>
      <c r="B83" s="6">
        <v>0</v>
      </c>
      <c r="C83" s="6">
        <v>146</v>
      </c>
      <c r="D83" s="6">
        <v>218</v>
      </c>
      <c r="E83" s="6">
        <v>0</v>
      </c>
      <c r="F83" s="6">
        <v>1</v>
      </c>
      <c r="G83" s="6">
        <v>105</v>
      </c>
      <c r="H83" s="6">
        <v>0</v>
      </c>
      <c r="I83" s="6">
        <v>2</v>
      </c>
      <c r="J83" s="6">
        <v>1</v>
      </c>
      <c r="K83" s="6">
        <v>3</v>
      </c>
    </row>
    <row r="84" spans="1:11" x14ac:dyDescent="0.25">
      <c r="A84" s="11">
        <v>55</v>
      </c>
      <c r="B84" s="5">
        <v>0</v>
      </c>
      <c r="C84" s="5">
        <v>140</v>
      </c>
      <c r="D84" s="5">
        <v>217</v>
      </c>
      <c r="E84" s="5">
        <v>0</v>
      </c>
      <c r="F84" s="5">
        <v>1</v>
      </c>
      <c r="G84" s="5">
        <v>111</v>
      </c>
      <c r="H84" s="5">
        <v>1</v>
      </c>
      <c r="I84" s="5">
        <v>5.6</v>
      </c>
      <c r="J84" s="5">
        <v>0</v>
      </c>
      <c r="K84" s="5">
        <v>3</v>
      </c>
    </row>
    <row r="85" spans="1:11" x14ac:dyDescent="0.25">
      <c r="A85" s="11">
        <v>58</v>
      </c>
      <c r="B85" s="5">
        <v>0</v>
      </c>
      <c r="C85" s="5">
        <v>128</v>
      </c>
      <c r="D85" s="5">
        <v>216</v>
      </c>
      <c r="E85" s="5">
        <v>0</v>
      </c>
      <c r="F85" s="5">
        <v>0</v>
      </c>
      <c r="G85" s="5">
        <v>131</v>
      </c>
      <c r="H85" s="5">
        <v>1</v>
      </c>
      <c r="I85" s="5">
        <v>2.2000000000000002</v>
      </c>
      <c r="J85" s="5">
        <v>1</v>
      </c>
      <c r="K85" s="5">
        <v>3</v>
      </c>
    </row>
    <row r="86" spans="1:11" x14ac:dyDescent="0.25">
      <c r="A86" s="10">
        <v>52</v>
      </c>
      <c r="B86" s="6">
        <v>0</v>
      </c>
      <c r="C86" s="6">
        <v>125</v>
      </c>
      <c r="D86" s="6">
        <v>212</v>
      </c>
      <c r="E86" s="6">
        <v>0</v>
      </c>
      <c r="F86" s="6">
        <v>1</v>
      </c>
      <c r="G86" s="6">
        <v>168</v>
      </c>
      <c r="H86" s="6">
        <v>0</v>
      </c>
      <c r="I86" s="6">
        <v>1</v>
      </c>
      <c r="J86" s="6">
        <v>2</v>
      </c>
      <c r="K86" s="6">
        <v>3</v>
      </c>
    </row>
    <row r="87" spans="1:11" x14ac:dyDescent="0.25">
      <c r="A87" s="11">
        <v>67</v>
      </c>
      <c r="B87" s="5">
        <v>2</v>
      </c>
      <c r="C87" s="5">
        <v>152</v>
      </c>
      <c r="D87" s="5">
        <v>212</v>
      </c>
      <c r="E87" s="5">
        <v>0</v>
      </c>
      <c r="F87" s="5">
        <v>0</v>
      </c>
      <c r="G87" s="5">
        <v>150</v>
      </c>
      <c r="H87" s="5">
        <v>0</v>
      </c>
      <c r="I87" s="5">
        <v>0.8</v>
      </c>
      <c r="J87" s="5">
        <v>1</v>
      </c>
      <c r="K87" s="5">
        <v>3</v>
      </c>
    </row>
    <row r="88" spans="1:11" x14ac:dyDescent="0.25">
      <c r="A88" s="10">
        <v>64</v>
      </c>
      <c r="B88" s="6">
        <v>0</v>
      </c>
      <c r="C88" s="6">
        <v>145</v>
      </c>
      <c r="D88" s="6">
        <v>212</v>
      </c>
      <c r="E88" s="6">
        <v>0</v>
      </c>
      <c r="F88" s="6">
        <v>0</v>
      </c>
      <c r="G88" s="6">
        <v>132</v>
      </c>
      <c r="H88" s="6">
        <v>0</v>
      </c>
      <c r="I88" s="6">
        <v>2</v>
      </c>
      <c r="J88" s="6">
        <v>1</v>
      </c>
      <c r="K88" s="6">
        <v>1</v>
      </c>
    </row>
    <row r="89" spans="1:11" x14ac:dyDescent="0.25">
      <c r="A89" s="11">
        <v>66</v>
      </c>
      <c r="B89" s="5">
        <v>0</v>
      </c>
      <c r="C89" s="5">
        <v>112</v>
      </c>
      <c r="D89" s="5">
        <v>212</v>
      </c>
      <c r="E89" s="5">
        <v>0</v>
      </c>
      <c r="F89" s="5">
        <v>0</v>
      </c>
      <c r="G89" s="5">
        <v>132</v>
      </c>
      <c r="H89" s="5">
        <v>1</v>
      </c>
      <c r="I89" s="5">
        <v>0.1</v>
      </c>
      <c r="J89" s="5">
        <v>2</v>
      </c>
      <c r="K89" s="5">
        <v>2</v>
      </c>
    </row>
    <row r="90" spans="1:11" x14ac:dyDescent="0.25">
      <c r="A90" s="11">
        <v>61</v>
      </c>
      <c r="B90" s="5">
        <v>0</v>
      </c>
      <c r="C90" s="5">
        <v>140</v>
      </c>
      <c r="D90" s="5">
        <v>207</v>
      </c>
      <c r="E90" s="5">
        <v>0</v>
      </c>
      <c r="F90" s="5">
        <v>0</v>
      </c>
      <c r="G90" s="5">
        <v>138</v>
      </c>
      <c r="H90" s="5">
        <v>1</v>
      </c>
      <c r="I90" s="5">
        <v>1.9</v>
      </c>
      <c r="J90" s="5">
        <v>2</v>
      </c>
      <c r="K90" s="5">
        <v>3</v>
      </c>
    </row>
    <row r="91" spans="1:11" x14ac:dyDescent="0.25">
      <c r="A91" s="11">
        <v>54</v>
      </c>
      <c r="B91" s="5">
        <v>0</v>
      </c>
      <c r="C91" s="5">
        <v>110</v>
      </c>
      <c r="D91" s="5">
        <v>206</v>
      </c>
      <c r="E91" s="5">
        <v>0</v>
      </c>
      <c r="F91" s="5">
        <v>0</v>
      </c>
      <c r="G91" s="5">
        <v>108</v>
      </c>
      <c r="H91" s="5">
        <v>1</v>
      </c>
      <c r="I91" s="5">
        <v>0</v>
      </c>
      <c r="J91" s="5">
        <v>1</v>
      </c>
      <c r="K91" s="5">
        <v>2</v>
      </c>
    </row>
    <row r="92" spans="1:11" x14ac:dyDescent="0.25">
      <c r="A92" s="11">
        <v>60</v>
      </c>
      <c r="B92" s="5">
        <v>0</v>
      </c>
      <c r="C92" s="5">
        <v>130</v>
      </c>
      <c r="D92" s="5">
        <v>206</v>
      </c>
      <c r="E92" s="5">
        <v>0</v>
      </c>
      <c r="F92" s="5">
        <v>0</v>
      </c>
      <c r="G92" s="5">
        <v>132</v>
      </c>
      <c r="H92" s="5">
        <v>1</v>
      </c>
      <c r="I92" s="5">
        <v>2.4</v>
      </c>
      <c r="J92" s="5">
        <v>1</v>
      </c>
      <c r="K92" s="5">
        <v>3</v>
      </c>
    </row>
    <row r="93" spans="1:11" x14ac:dyDescent="0.25">
      <c r="A93" s="11">
        <v>52</v>
      </c>
      <c r="B93" s="5">
        <v>0</v>
      </c>
      <c r="C93" s="5">
        <v>128</v>
      </c>
      <c r="D93" s="5">
        <v>204</v>
      </c>
      <c r="E93" s="5">
        <v>1</v>
      </c>
      <c r="F93" s="5">
        <v>1</v>
      </c>
      <c r="G93" s="5">
        <v>156</v>
      </c>
      <c r="H93" s="5">
        <v>1</v>
      </c>
      <c r="I93" s="5">
        <v>1</v>
      </c>
      <c r="J93" s="5">
        <v>1</v>
      </c>
      <c r="K93" s="5">
        <v>0</v>
      </c>
    </row>
    <row r="94" spans="1:11" x14ac:dyDescent="0.25">
      <c r="A94" s="10">
        <v>59</v>
      </c>
      <c r="B94" s="6">
        <v>3</v>
      </c>
      <c r="C94" s="6">
        <v>134</v>
      </c>
      <c r="D94" s="6">
        <v>204</v>
      </c>
      <c r="E94" s="6">
        <v>0</v>
      </c>
      <c r="F94" s="6">
        <v>1</v>
      </c>
      <c r="G94" s="6">
        <v>162</v>
      </c>
      <c r="H94" s="6">
        <v>0</v>
      </c>
      <c r="I94" s="6">
        <v>0.8</v>
      </c>
      <c r="J94" s="6">
        <v>2</v>
      </c>
      <c r="K94" s="6">
        <v>2</v>
      </c>
    </row>
    <row r="95" spans="1:11" x14ac:dyDescent="0.25">
      <c r="A95" s="11">
        <v>53</v>
      </c>
      <c r="B95" s="5">
        <v>0</v>
      </c>
      <c r="C95" s="5">
        <v>140</v>
      </c>
      <c r="D95" s="5">
        <v>203</v>
      </c>
      <c r="E95" s="5">
        <v>1</v>
      </c>
      <c r="F95" s="5">
        <v>0</v>
      </c>
      <c r="G95" s="5">
        <v>155</v>
      </c>
      <c r="H95" s="5">
        <v>1</v>
      </c>
      <c r="I95" s="5">
        <v>3.1</v>
      </c>
      <c r="J95" s="5">
        <v>0</v>
      </c>
      <c r="K95" s="5">
        <v>3</v>
      </c>
    </row>
    <row r="96" spans="1:11" x14ac:dyDescent="0.25">
      <c r="A96" s="10">
        <v>61</v>
      </c>
      <c r="B96" s="6">
        <v>0</v>
      </c>
      <c r="C96" s="6">
        <v>148</v>
      </c>
      <c r="D96" s="6">
        <v>203</v>
      </c>
      <c r="E96" s="6">
        <v>0</v>
      </c>
      <c r="F96" s="6">
        <v>1</v>
      </c>
      <c r="G96" s="6">
        <v>161</v>
      </c>
      <c r="H96" s="6">
        <v>0</v>
      </c>
      <c r="I96" s="6">
        <v>0</v>
      </c>
      <c r="J96" s="6">
        <v>2</v>
      </c>
      <c r="K96" s="6">
        <v>3</v>
      </c>
    </row>
    <row r="97" spans="1:11" x14ac:dyDescent="0.25">
      <c r="A97" s="11">
        <v>50</v>
      </c>
      <c r="B97" s="5">
        <v>0</v>
      </c>
      <c r="C97" s="5">
        <v>144</v>
      </c>
      <c r="D97" s="5">
        <v>200</v>
      </c>
      <c r="E97" s="5">
        <v>0</v>
      </c>
      <c r="F97" s="5">
        <v>0</v>
      </c>
      <c r="G97" s="5">
        <v>126</v>
      </c>
      <c r="H97" s="5">
        <v>1</v>
      </c>
      <c r="I97" s="5">
        <v>0.9</v>
      </c>
      <c r="J97" s="5">
        <v>1</v>
      </c>
      <c r="K97" s="5">
        <v>3</v>
      </c>
    </row>
    <row r="98" spans="1:11" x14ac:dyDescent="0.25">
      <c r="A98" s="10">
        <v>35</v>
      </c>
      <c r="B98" s="6">
        <v>0</v>
      </c>
      <c r="C98" s="6">
        <v>120</v>
      </c>
      <c r="D98" s="6">
        <v>198</v>
      </c>
      <c r="E98" s="6">
        <v>0</v>
      </c>
      <c r="F98" s="6">
        <v>1</v>
      </c>
      <c r="G98" s="6">
        <v>130</v>
      </c>
      <c r="H98" s="6">
        <v>1</v>
      </c>
      <c r="I98" s="6">
        <v>1.6</v>
      </c>
      <c r="J98" s="6">
        <v>1</v>
      </c>
      <c r="K98" s="6">
        <v>3</v>
      </c>
    </row>
    <row r="99" spans="1:11" x14ac:dyDescent="0.25">
      <c r="A99" s="10">
        <v>44</v>
      </c>
      <c r="B99" s="6">
        <v>0</v>
      </c>
      <c r="C99" s="6">
        <v>110</v>
      </c>
      <c r="D99" s="6">
        <v>197</v>
      </c>
      <c r="E99" s="6">
        <v>0</v>
      </c>
      <c r="F99" s="6">
        <v>0</v>
      </c>
      <c r="G99" s="6">
        <v>177</v>
      </c>
      <c r="H99" s="6">
        <v>0</v>
      </c>
      <c r="I99" s="6">
        <v>0</v>
      </c>
      <c r="J99" s="6">
        <v>2</v>
      </c>
      <c r="K99" s="6">
        <v>2</v>
      </c>
    </row>
    <row r="100" spans="1:11" x14ac:dyDescent="0.25">
      <c r="A100" s="10">
        <v>68</v>
      </c>
      <c r="B100" s="6">
        <v>0</v>
      </c>
      <c r="C100" s="6">
        <v>144</v>
      </c>
      <c r="D100" s="6">
        <v>193</v>
      </c>
      <c r="E100" s="6">
        <v>1</v>
      </c>
      <c r="F100" s="6">
        <v>1</v>
      </c>
      <c r="G100" s="6">
        <v>141</v>
      </c>
      <c r="H100" s="6">
        <v>0</v>
      </c>
      <c r="I100" s="6">
        <v>3.4</v>
      </c>
      <c r="J100" s="6">
        <v>1</v>
      </c>
      <c r="K100" s="6">
        <v>3</v>
      </c>
    </row>
    <row r="101" spans="1:11" x14ac:dyDescent="0.25">
      <c r="A101" s="11">
        <v>49</v>
      </c>
      <c r="B101" s="5">
        <v>2</v>
      </c>
      <c r="C101" s="5">
        <v>120</v>
      </c>
      <c r="D101" s="5">
        <v>188</v>
      </c>
      <c r="E101" s="5">
        <v>0</v>
      </c>
      <c r="F101" s="5">
        <v>1</v>
      </c>
      <c r="G101" s="5">
        <v>139</v>
      </c>
      <c r="H101" s="5">
        <v>0</v>
      </c>
      <c r="I101" s="5">
        <v>2</v>
      </c>
      <c r="J101" s="5">
        <v>1</v>
      </c>
      <c r="K101" s="5">
        <v>3</v>
      </c>
    </row>
    <row r="102" spans="1:11" x14ac:dyDescent="0.25">
      <c r="A102" s="10">
        <v>54</v>
      </c>
      <c r="B102" s="6">
        <v>0</v>
      </c>
      <c r="C102" s="6">
        <v>120</v>
      </c>
      <c r="D102" s="6">
        <v>188</v>
      </c>
      <c r="E102" s="6">
        <v>0</v>
      </c>
      <c r="F102" s="6">
        <v>1</v>
      </c>
      <c r="G102" s="6">
        <v>113</v>
      </c>
      <c r="H102" s="6">
        <v>0</v>
      </c>
      <c r="I102" s="6">
        <v>1.4</v>
      </c>
      <c r="J102" s="6">
        <v>1</v>
      </c>
      <c r="K102" s="6">
        <v>3</v>
      </c>
    </row>
    <row r="103" spans="1:11" x14ac:dyDescent="0.25">
      <c r="A103" s="10">
        <v>63</v>
      </c>
      <c r="B103" s="6">
        <v>0</v>
      </c>
      <c r="C103" s="6">
        <v>140</v>
      </c>
      <c r="D103" s="6">
        <v>187</v>
      </c>
      <c r="E103" s="6">
        <v>0</v>
      </c>
      <c r="F103" s="6">
        <v>0</v>
      </c>
      <c r="G103" s="6">
        <v>144</v>
      </c>
      <c r="H103" s="6">
        <v>1</v>
      </c>
      <c r="I103" s="6">
        <v>4</v>
      </c>
      <c r="J103" s="6">
        <v>2</v>
      </c>
      <c r="K103" s="6">
        <v>3</v>
      </c>
    </row>
    <row r="104" spans="1:11" x14ac:dyDescent="0.25">
      <c r="A104" s="10">
        <v>60</v>
      </c>
      <c r="B104" s="6">
        <v>2</v>
      </c>
      <c r="C104" s="6">
        <v>140</v>
      </c>
      <c r="D104" s="6">
        <v>185</v>
      </c>
      <c r="E104" s="6">
        <v>0</v>
      </c>
      <c r="F104" s="6">
        <v>0</v>
      </c>
      <c r="G104" s="6">
        <v>155</v>
      </c>
      <c r="H104" s="6">
        <v>0</v>
      </c>
      <c r="I104" s="6">
        <v>3</v>
      </c>
      <c r="J104" s="6">
        <v>1</v>
      </c>
      <c r="K104" s="6">
        <v>2</v>
      </c>
    </row>
    <row r="105" spans="1:11" x14ac:dyDescent="0.25">
      <c r="A105" s="11">
        <v>56</v>
      </c>
      <c r="B105" s="5">
        <v>0</v>
      </c>
      <c r="C105" s="5">
        <v>132</v>
      </c>
      <c r="D105" s="5">
        <v>184</v>
      </c>
      <c r="E105" s="5">
        <v>0</v>
      </c>
      <c r="F105" s="5">
        <v>0</v>
      </c>
      <c r="G105" s="5">
        <v>105</v>
      </c>
      <c r="H105" s="5">
        <v>1</v>
      </c>
      <c r="I105" s="5">
        <v>2.1</v>
      </c>
      <c r="J105" s="5">
        <v>1</v>
      </c>
      <c r="K105" s="5">
        <v>1</v>
      </c>
    </row>
    <row r="106" spans="1:11" x14ac:dyDescent="0.25">
      <c r="A106" s="10">
        <v>59</v>
      </c>
      <c r="B106" s="6">
        <v>0</v>
      </c>
      <c r="C106" s="6">
        <v>140</v>
      </c>
      <c r="D106" s="6">
        <v>177</v>
      </c>
      <c r="E106" s="6">
        <v>0</v>
      </c>
      <c r="F106" s="6">
        <v>1</v>
      </c>
      <c r="G106" s="6">
        <v>162</v>
      </c>
      <c r="H106" s="6">
        <v>1</v>
      </c>
      <c r="I106" s="6">
        <v>0</v>
      </c>
      <c r="J106" s="6">
        <v>2</v>
      </c>
      <c r="K106" s="6">
        <v>3</v>
      </c>
    </row>
    <row r="107" spans="1:11" x14ac:dyDescent="0.25">
      <c r="A107" s="11">
        <v>43</v>
      </c>
      <c r="B107" s="5">
        <v>0</v>
      </c>
      <c r="C107" s="5">
        <v>120</v>
      </c>
      <c r="D107" s="5">
        <v>177</v>
      </c>
      <c r="E107" s="5">
        <v>0</v>
      </c>
      <c r="F107" s="5">
        <v>0</v>
      </c>
      <c r="G107" s="5">
        <v>120</v>
      </c>
      <c r="H107" s="5">
        <v>1</v>
      </c>
      <c r="I107" s="5">
        <v>2.5</v>
      </c>
      <c r="J107" s="5">
        <v>1</v>
      </c>
      <c r="K107" s="5">
        <v>3</v>
      </c>
    </row>
    <row r="108" spans="1:11" x14ac:dyDescent="0.25">
      <c r="A108" s="10">
        <v>59</v>
      </c>
      <c r="B108" s="6">
        <v>0</v>
      </c>
      <c r="C108" s="6">
        <v>164</v>
      </c>
      <c r="D108" s="6">
        <v>176</v>
      </c>
      <c r="E108" s="6">
        <v>1</v>
      </c>
      <c r="F108" s="6">
        <v>0</v>
      </c>
      <c r="G108" s="6">
        <v>90</v>
      </c>
      <c r="H108" s="6">
        <v>0</v>
      </c>
      <c r="I108" s="6">
        <v>1</v>
      </c>
      <c r="J108" s="6">
        <v>1</v>
      </c>
      <c r="K108" s="6">
        <v>1</v>
      </c>
    </row>
    <row r="109" spans="1:11" x14ac:dyDescent="0.25">
      <c r="A109" s="11">
        <v>70</v>
      </c>
      <c r="B109" s="5">
        <v>0</v>
      </c>
      <c r="C109" s="5">
        <v>145</v>
      </c>
      <c r="D109" s="5">
        <v>174</v>
      </c>
      <c r="E109" s="5">
        <v>0</v>
      </c>
      <c r="F109" s="5">
        <v>1</v>
      </c>
      <c r="G109" s="5">
        <v>125</v>
      </c>
      <c r="H109" s="5">
        <v>1</v>
      </c>
      <c r="I109" s="5">
        <v>2.6</v>
      </c>
      <c r="J109" s="5">
        <v>0</v>
      </c>
      <c r="K109" s="5">
        <v>3</v>
      </c>
    </row>
    <row r="110" spans="1:11" x14ac:dyDescent="0.25">
      <c r="A110" s="11">
        <v>41</v>
      </c>
      <c r="B110" s="5">
        <v>0</v>
      </c>
      <c r="C110" s="5">
        <v>110</v>
      </c>
      <c r="D110" s="5">
        <v>172</v>
      </c>
      <c r="E110" s="5">
        <v>0</v>
      </c>
      <c r="F110" s="5">
        <v>0</v>
      </c>
      <c r="G110" s="5">
        <v>158</v>
      </c>
      <c r="H110" s="5">
        <v>0</v>
      </c>
      <c r="I110" s="5">
        <v>0</v>
      </c>
      <c r="J110" s="5">
        <v>2</v>
      </c>
      <c r="K110" s="5">
        <v>3</v>
      </c>
    </row>
    <row r="111" spans="1:11" x14ac:dyDescent="0.25">
      <c r="A111" s="10">
        <v>44</v>
      </c>
      <c r="B111" s="6">
        <v>0</v>
      </c>
      <c r="C111" s="6">
        <v>120</v>
      </c>
      <c r="D111" s="6">
        <v>169</v>
      </c>
      <c r="E111" s="6">
        <v>0</v>
      </c>
      <c r="F111" s="6">
        <v>1</v>
      </c>
      <c r="G111" s="6">
        <v>144</v>
      </c>
      <c r="H111" s="6">
        <v>1</v>
      </c>
      <c r="I111" s="6">
        <v>2.8</v>
      </c>
      <c r="J111" s="6">
        <v>0</v>
      </c>
      <c r="K111" s="6">
        <v>1</v>
      </c>
    </row>
    <row r="112" spans="1:11" x14ac:dyDescent="0.25">
      <c r="A112" s="10">
        <v>40</v>
      </c>
      <c r="B112" s="6">
        <v>0</v>
      </c>
      <c r="C112" s="6">
        <v>110</v>
      </c>
      <c r="D112" s="6">
        <v>167</v>
      </c>
      <c r="E112" s="6">
        <v>0</v>
      </c>
      <c r="F112" s="6">
        <v>0</v>
      </c>
      <c r="G112" s="6">
        <v>114</v>
      </c>
      <c r="H112" s="6">
        <v>1</v>
      </c>
      <c r="I112" s="6">
        <v>2</v>
      </c>
      <c r="J112" s="6">
        <v>1</v>
      </c>
      <c r="K112" s="6">
        <v>3</v>
      </c>
    </row>
    <row r="113" spans="1:11" x14ac:dyDescent="0.25">
      <c r="A113" s="10">
        <v>61</v>
      </c>
      <c r="B113" s="6">
        <v>0</v>
      </c>
      <c r="C113" s="6">
        <v>138</v>
      </c>
      <c r="D113" s="6">
        <v>166</v>
      </c>
      <c r="E113" s="6">
        <v>0</v>
      </c>
      <c r="F113" s="6">
        <v>0</v>
      </c>
      <c r="G113" s="6">
        <v>125</v>
      </c>
      <c r="H113" s="6">
        <v>1</v>
      </c>
      <c r="I113" s="6">
        <v>3.6</v>
      </c>
      <c r="J113" s="6">
        <v>1</v>
      </c>
      <c r="K113" s="6">
        <v>2</v>
      </c>
    </row>
    <row r="114" spans="1:11" x14ac:dyDescent="0.25">
      <c r="A114" s="11">
        <v>49</v>
      </c>
      <c r="B114" s="5">
        <v>2</v>
      </c>
      <c r="C114" s="5">
        <v>118</v>
      </c>
      <c r="D114" s="5">
        <v>149</v>
      </c>
      <c r="E114" s="5">
        <v>0</v>
      </c>
      <c r="F114" s="5">
        <v>0</v>
      </c>
      <c r="G114" s="5">
        <v>126</v>
      </c>
      <c r="H114" s="5">
        <v>0</v>
      </c>
      <c r="I114" s="5">
        <v>0.8</v>
      </c>
      <c r="J114" s="5">
        <v>2</v>
      </c>
      <c r="K114" s="5">
        <v>2</v>
      </c>
    </row>
    <row r="115" spans="1:11" x14ac:dyDescent="0.25">
      <c r="A115" s="11">
        <v>57</v>
      </c>
      <c r="B115" s="5">
        <v>0</v>
      </c>
      <c r="C115" s="5">
        <v>130</v>
      </c>
      <c r="D115" s="5">
        <v>131</v>
      </c>
      <c r="E115" s="5">
        <v>0</v>
      </c>
      <c r="F115" s="5">
        <v>1</v>
      </c>
      <c r="G115" s="5">
        <v>115</v>
      </c>
      <c r="H115" s="5">
        <v>1</v>
      </c>
      <c r="I115" s="5">
        <v>1.2</v>
      </c>
      <c r="J115" s="5">
        <v>1</v>
      </c>
      <c r="K115" s="5">
        <v>3</v>
      </c>
    </row>
  </sheetData>
  <conditionalFormatting sqref="C1:C1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5"/>
  <sheetViews>
    <sheetView zoomScale="150" zoomScaleNormal="150" workbookViewId="0">
      <selection activeCell="M20" sqref="M20"/>
    </sheetView>
  </sheetViews>
  <sheetFormatPr defaultRowHeight="15" x14ac:dyDescent="0.25"/>
  <cols>
    <col min="13" max="13" width="11.28515625" bestFit="1" customWidth="1"/>
  </cols>
  <sheetData>
    <row r="1" spans="1:17" x14ac:dyDescent="0.25">
      <c r="A1" s="15" t="s">
        <v>0</v>
      </c>
      <c r="B1" s="15" t="s">
        <v>11</v>
      </c>
      <c r="C1" s="15" t="s">
        <v>10</v>
      </c>
      <c r="D1" s="15" t="s">
        <v>2</v>
      </c>
      <c r="E1" s="15" t="s">
        <v>3</v>
      </c>
      <c r="F1" s="15" t="s">
        <v>4</v>
      </c>
      <c r="G1" s="15" t="s">
        <v>12</v>
      </c>
      <c r="H1" s="15" t="s">
        <v>5</v>
      </c>
      <c r="I1" s="15" t="s">
        <v>6</v>
      </c>
      <c r="J1" s="15" t="s">
        <v>7</v>
      </c>
      <c r="K1" s="15" t="s">
        <v>8</v>
      </c>
    </row>
    <row r="2" spans="1:17" x14ac:dyDescent="0.25">
      <c r="A2" s="11">
        <v>56</v>
      </c>
      <c r="B2" s="5">
        <v>0</v>
      </c>
      <c r="C2" s="5">
        <v>134</v>
      </c>
      <c r="D2" s="5">
        <v>409</v>
      </c>
      <c r="E2" s="5">
        <v>0</v>
      </c>
      <c r="F2" s="5">
        <v>0</v>
      </c>
      <c r="G2" s="5">
        <v>150</v>
      </c>
      <c r="H2" s="5">
        <v>1</v>
      </c>
      <c r="I2" s="5">
        <v>1.9</v>
      </c>
      <c r="J2" s="5">
        <v>1</v>
      </c>
      <c r="K2" s="5">
        <v>3</v>
      </c>
      <c r="M2" s="12" t="s">
        <v>24</v>
      </c>
      <c r="N2" s="12" t="s">
        <v>25</v>
      </c>
      <c r="O2" s="12" t="s">
        <v>26</v>
      </c>
      <c r="P2" s="12" t="s">
        <v>27</v>
      </c>
      <c r="Q2" s="12" t="s">
        <v>28</v>
      </c>
    </row>
    <row r="3" spans="1:17" x14ac:dyDescent="0.25">
      <c r="A3" s="10">
        <v>63</v>
      </c>
      <c r="B3" s="6">
        <v>0</v>
      </c>
      <c r="C3" s="6">
        <v>150</v>
      </c>
      <c r="D3" s="6">
        <v>407</v>
      </c>
      <c r="E3" s="6">
        <v>0</v>
      </c>
      <c r="F3" s="6">
        <v>0</v>
      </c>
      <c r="G3" s="6">
        <v>154</v>
      </c>
      <c r="H3" s="6">
        <v>0</v>
      </c>
      <c r="I3" s="6">
        <v>4</v>
      </c>
      <c r="J3" s="6">
        <v>1</v>
      </c>
      <c r="K3" s="6">
        <v>3</v>
      </c>
      <c r="M3" s="13" t="s">
        <v>29</v>
      </c>
      <c r="N3" s="14">
        <f>AVERAGE(A:A)</f>
        <v>59.041666666666664</v>
      </c>
      <c r="O3" s="14">
        <f>_xlfn.STDEV.P(A:A)</f>
        <v>4.8603769286845324</v>
      </c>
      <c r="P3" s="14">
        <f>MIN(A:A)</f>
        <v>43</v>
      </c>
      <c r="Q3" s="14">
        <f>MAX(A:A)</f>
        <v>66</v>
      </c>
    </row>
    <row r="4" spans="1:17" x14ac:dyDescent="0.25">
      <c r="A4" s="10">
        <v>43</v>
      </c>
      <c r="B4" s="6">
        <v>0</v>
      </c>
      <c r="C4" s="6">
        <v>132</v>
      </c>
      <c r="D4" s="6">
        <v>341</v>
      </c>
      <c r="E4" s="6">
        <v>1</v>
      </c>
      <c r="F4" s="6">
        <v>0</v>
      </c>
      <c r="G4" s="6">
        <v>136</v>
      </c>
      <c r="H4" s="6">
        <v>1</v>
      </c>
      <c r="I4" s="6">
        <v>3</v>
      </c>
      <c r="J4" s="6">
        <v>1</v>
      </c>
      <c r="K4" s="6">
        <v>3</v>
      </c>
      <c r="M4" s="13" t="s">
        <v>30</v>
      </c>
      <c r="N4" s="14">
        <f>AVERAGE(C:C)</f>
        <v>146.125</v>
      </c>
      <c r="O4" s="14">
        <f>_xlfn.STDEV.P(C:C)</f>
        <v>20.984741480418577</v>
      </c>
      <c r="P4" s="14">
        <f>MIN(C:C)</f>
        <v>108</v>
      </c>
      <c r="Q4" s="14">
        <f>MAX(C:C)</f>
        <v>200</v>
      </c>
    </row>
    <row r="5" spans="1:17" x14ac:dyDescent="0.25">
      <c r="A5" s="10">
        <v>61</v>
      </c>
      <c r="B5" s="6">
        <v>0</v>
      </c>
      <c r="C5" s="6">
        <v>130</v>
      </c>
      <c r="D5" s="6">
        <v>330</v>
      </c>
      <c r="E5" s="6">
        <v>0</v>
      </c>
      <c r="F5" s="6">
        <v>0</v>
      </c>
      <c r="G5" s="6">
        <v>169</v>
      </c>
      <c r="H5" s="6">
        <v>0</v>
      </c>
      <c r="I5" s="6">
        <v>0</v>
      </c>
      <c r="J5" s="6">
        <v>2</v>
      </c>
      <c r="K5" s="6">
        <v>2</v>
      </c>
      <c r="M5" s="13" t="s">
        <v>31</v>
      </c>
      <c r="N5" s="14">
        <f>AVERAGE(D:D)</f>
        <v>274.95833333333331</v>
      </c>
      <c r="O5" s="14">
        <f>_xlfn.STDEV.P(D:D)</f>
        <v>59.582211527901144</v>
      </c>
      <c r="P5" s="14">
        <f>MIN(D:D)</f>
        <v>164</v>
      </c>
      <c r="Q5" s="14">
        <f>MAX(D:D)</f>
        <v>409</v>
      </c>
    </row>
    <row r="6" spans="1:17" x14ac:dyDescent="0.25">
      <c r="A6" s="10">
        <v>55</v>
      </c>
      <c r="B6" s="6">
        <v>0</v>
      </c>
      <c r="C6" s="6">
        <v>180</v>
      </c>
      <c r="D6" s="6">
        <v>327</v>
      </c>
      <c r="E6" s="6">
        <v>0</v>
      </c>
      <c r="F6" s="6">
        <v>2</v>
      </c>
      <c r="G6" s="6">
        <v>117</v>
      </c>
      <c r="H6" s="6">
        <v>1</v>
      </c>
      <c r="I6" s="6">
        <v>3.4</v>
      </c>
      <c r="J6" s="6">
        <v>1</v>
      </c>
      <c r="K6" s="6">
        <v>2</v>
      </c>
      <c r="M6" s="13" t="s">
        <v>32</v>
      </c>
      <c r="N6" s="14">
        <f>AVERAGE(G:G)</f>
        <v>142.41666666666666</v>
      </c>
      <c r="O6" s="14">
        <f>_xlfn.STDEV.P(G:G)</f>
        <v>19.830356919520021</v>
      </c>
      <c r="P6" s="14">
        <f>MIN(G:G)</f>
        <v>97</v>
      </c>
      <c r="Q6" s="14">
        <f>MAX(G:G)</f>
        <v>174</v>
      </c>
    </row>
    <row r="7" spans="1:17" x14ac:dyDescent="0.25">
      <c r="A7" s="11">
        <v>58</v>
      </c>
      <c r="B7" s="5">
        <v>1</v>
      </c>
      <c r="C7" s="5">
        <v>136</v>
      </c>
      <c r="D7" s="5">
        <v>319</v>
      </c>
      <c r="E7" s="5">
        <v>1</v>
      </c>
      <c r="F7" s="5">
        <v>0</v>
      </c>
      <c r="G7" s="5">
        <v>152</v>
      </c>
      <c r="H7" s="5">
        <v>0</v>
      </c>
      <c r="I7" s="5">
        <v>0</v>
      </c>
      <c r="J7" s="5">
        <v>2</v>
      </c>
      <c r="K7" s="5">
        <v>2</v>
      </c>
    </row>
    <row r="8" spans="1:17" x14ac:dyDescent="0.25">
      <c r="A8" s="10">
        <v>61</v>
      </c>
      <c r="B8" s="6">
        <v>0</v>
      </c>
      <c r="C8" s="6">
        <v>145</v>
      </c>
      <c r="D8" s="6">
        <v>307</v>
      </c>
      <c r="E8" s="6">
        <v>0</v>
      </c>
      <c r="F8" s="6">
        <v>0</v>
      </c>
      <c r="G8" s="6">
        <v>146</v>
      </c>
      <c r="H8" s="6">
        <v>1</v>
      </c>
      <c r="I8" s="6">
        <v>1</v>
      </c>
      <c r="J8" s="6">
        <v>1</v>
      </c>
      <c r="K8" s="6">
        <v>3</v>
      </c>
    </row>
    <row r="9" spans="1:17" x14ac:dyDescent="0.25">
      <c r="A9" s="10">
        <v>51</v>
      </c>
      <c r="B9" s="6">
        <v>0</v>
      </c>
      <c r="C9" s="6">
        <v>130</v>
      </c>
      <c r="D9" s="6">
        <v>305</v>
      </c>
      <c r="E9" s="6">
        <v>0</v>
      </c>
      <c r="F9" s="6">
        <v>1</v>
      </c>
      <c r="G9" s="6">
        <v>142</v>
      </c>
      <c r="H9" s="6">
        <v>1</v>
      </c>
      <c r="I9" s="6">
        <v>1.2</v>
      </c>
      <c r="J9" s="6">
        <v>1</v>
      </c>
      <c r="K9" s="6">
        <v>3</v>
      </c>
    </row>
    <row r="10" spans="1:17" x14ac:dyDescent="0.25">
      <c r="A10" s="10">
        <v>62</v>
      </c>
      <c r="B10" s="6">
        <v>0</v>
      </c>
      <c r="C10" s="6">
        <v>138</v>
      </c>
      <c r="D10" s="6">
        <v>294</v>
      </c>
      <c r="E10" s="6">
        <v>1</v>
      </c>
      <c r="F10" s="6">
        <v>1</v>
      </c>
      <c r="G10" s="6">
        <v>106</v>
      </c>
      <c r="H10" s="6">
        <v>0</v>
      </c>
      <c r="I10" s="6">
        <v>1.9</v>
      </c>
      <c r="J10" s="6">
        <v>1</v>
      </c>
      <c r="K10" s="6">
        <v>2</v>
      </c>
    </row>
    <row r="11" spans="1:17" x14ac:dyDescent="0.25">
      <c r="A11" s="11">
        <v>56</v>
      </c>
      <c r="B11" s="5">
        <v>0</v>
      </c>
      <c r="C11" s="5">
        <v>200</v>
      </c>
      <c r="D11" s="5">
        <v>288</v>
      </c>
      <c r="E11" s="5">
        <v>1</v>
      </c>
      <c r="F11" s="5">
        <v>0</v>
      </c>
      <c r="G11" s="5">
        <v>133</v>
      </c>
      <c r="H11" s="5">
        <v>1</v>
      </c>
      <c r="I11" s="5">
        <v>4</v>
      </c>
      <c r="J11" s="5">
        <v>0</v>
      </c>
      <c r="K11" s="5">
        <v>3</v>
      </c>
    </row>
    <row r="12" spans="1:17" x14ac:dyDescent="0.25">
      <c r="A12" s="10">
        <v>63</v>
      </c>
      <c r="B12" s="6">
        <v>0</v>
      </c>
      <c r="C12" s="6">
        <v>108</v>
      </c>
      <c r="D12" s="6">
        <v>269</v>
      </c>
      <c r="E12" s="6">
        <v>0</v>
      </c>
      <c r="F12" s="6">
        <v>1</v>
      </c>
      <c r="G12" s="6">
        <v>169</v>
      </c>
      <c r="H12" s="6">
        <v>1</v>
      </c>
      <c r="I12" s="6">
        <v>1.8</v>
      </c>
      <c r="J12" s="6">
        <v>1</v>
      </c>
      <c r="K12" s="6">
        <v>2</v>
      </c>
    </row>
    <row r="13" spans="1:17" x14ac:dyDescent="0.25">
      <c r="A13" s="11">
        <v>62</v>
      </c>
      <c r="B13" s="5">
        <v>0</v>
      </c>
      <c r="C13" s="5">
        <v>140</v>
      </c>
      <c r="D13" s="5">
        <v>268</v>
      </c>
      <c r="E13" s="5">
        <v>0</v>
      </c>
      <c r="F13" s="5">
        <v>0</v>
      </c>
      <c r="G13" s="5">
        <v>160</v>
      </c>
      <c r="H13" s="5">
        <v>0</v>
      </c>
      <c r="I13" s="5">
        <v>3.6</v>
      </c>
      <c r="J13" s="5">
        <v>0</v>
      </c>
      <c r="K13" s="5">
        <v>2</v>
      </c>
    </row>
    <row r="14" spans="1:17" x14ac:dyDescent="0.25">
      <c r="A14" s="10">
        <v>62</v>
      </c>
      <c r="B14" s="6">
        <v>2</v>
      </c>
      <c r="C14" s="6">
        <v>130</v>
      </c>
      <c r="D14" s="6">
        <v>263</v>
      </c>
      <c r="E14" s="6">
        <v>0</v>
      </c>
      <c r="F14" s="6">
        <v>1</v>
      </c>
      <c r="G14" s="6">
        <v>97</v>
      </c>
      <c r="H14" s="6">
        <v>0</v>
      </c>
      <c r="I14" s="6">
        <v>1.2</v>
      </c>
      <c r="J14" s="6">
        <v>1</v>
      </c>
      <c r="K14" s="6">
        <v>3</v>
      </c>
    </row>
    <row r="15" spans="1:17" x14ac:dyDescent="0.25">
      <c r="A15" s="11">
        <v>60</v>
      </c>
      <c r="B15" s="5">
        <v>0</v>
      </c>
      <c r="C15" s="5">
        <v>150</v>
      </c>
      <c r="D15" s="5">
        <v>258</v>
      </c>
      <c r="E15" s="5">
        <v>0</v>
      </c>
      <c r="F15" s="5">
        <v>0</v>
      </c>
      <c r="G15" s="5">
        <v>157</v>
      </c>
      <c r="H15" s="5">
        <v>0</v>
      </c>
      <c r="I15" s="5">
        <v>2.6</v>
      </c>
      <c r="J15" s="5">
        <v>1</v>
      </c>
      <c r="K15" s="5">
        <v>3</v>
      </c>
    </row>
    <row r="16" spans="1:17" x14ac:dyDescent="0.25">
      <c r="A16" s="10">
        <v>59</v>
      </c>
      <c r="B16" s="6">
        <v>0</v>
      </c>
      <c r="C16" s="6">
        <v>174</v>
      </c>
      <c r="D16" s="6">
        <v>249</v>
      </c>
      <c r="E16" s="6">
        <v>0</v>
      </c>
      <c r="F16" s="6">
        <v>1</v>
      </c>
      <c r="G16" s="6">
        <v>143</v>
      </c>
      <c r="H16" s="6">
        <v>1</v>
      </c>
      <c r="I16" s="6">
        <v>0</v>
      </c>
      <c r="J16" s="6">
        <v>1</v>
      </c>
      <c r="K16" s="6">
        <v>2</v>
      </c>
    </row>
    <row r="17" spans="1:11" x14ac:dyDescent="0.25">
      <c r="A17" s="11">
        <v>62</v>
      </c>
      <c r="B17" s="5">
        <v>0</v>
      </c>
      <c r="C17" s="5">
        <v>150</v>
      </c>
      <c r="D17" s="5">
        <v>244</v>
      </c>
      <c r="E17" s="5">
        <v>0</v>
      </c>
      <c r="F17" s="5">
        <v>1</v>
      </c>
      <c r="G17" s="5">
        <v>154</v>
      </c>
      <c r="H17" s="5">
        <v>1</v>
      </c>
      <c r="I17" s="5">
        <v>1.4</v>
      </c>
      <c r="J17" s="5">
        <v>1</v>
      </c>
      <c r="K17" s="5">
        <v>2</v>
      </c>
    </row>
    <row r="18" spans="1:11" x14ac:dyDescent="0.25">
      <c r="A18" s="11">
        <v>57</v>
      </c>
      <c r="B18" s="5">
        <v>0</v>
      </c>
      <c r="C18" s="5">
        <v>140</v>
      </c>
      <c r="D18" s="5">
        <v>241</v>
      </c>
      <c r="E18" s="5">
        <v>0</v>
      </c>
      <c r="F18" s="5">
        <v>1</v>
      </c>
      <c r="G18" s="5">
        <v>123</v>
      </c>
      <c r="H18" s="5">
        <v>1</v>
      </c>
      <c r="I18" s="5">
        <v>0.2</v>
      </c>
      <c r="J18" s="5">
        <v>1</v>
      </c>
      <c r="K18" s="5">
        <v>3</v>
      </c>
    </row>
    <row r="19" spans="1:11" x14ac:dyDescent="0.25">
      <c r="A19" s="11">
        <v>57</v>
      </c>
      <c r="B19" s="5">
        <v>1</v>
      </c>
      <c r="C19" s="5">
        <v>130</v>
      </c>
      <c r="D19" s="5">
        <v>236</v>
      </c>
      <c r="E19" s="5">
        <v>0</v>
      </c>
      <c r="F19" s="5">
        <v>0</v>
      </c>
      <c r="G19" s="5">
        <v>174</v>
      </c>
      <c r="H19" s="5">
        <v>0</v>
      </c>
      <c r="I19" s="5">
        <v>0</v>
      </c>
      <c r="J19" s="5">
        <v>1</v>
      </c>
      <c r="K19" s="5">
        <v>2</v>
      </c>
    </row>
    <row r="20" spans="1:11" x14ac:dyDescent="0.25">
      <c r="A20" s="11">
        <v>66</v>
      </c>
      <c r="B20" s="5">
        <v>0</v>
      </c>
      <c r="C20" s="5">
        <v>178</v>
      </c>
      <c r="D20" s="5">
        <v>228</v>
      </c>
      <c r="E20" s="5">
        <v>1</v>
      </c>
      <c r="F20" s="5">
        <v>1</v>
      </c>
      <c r="G20" s="5">
        <v>165</v>
      </c>
      <c r="H20" s="5">
        <v>1</v>
      </c>
      <c r="I20" s="5">
        <v>1</v>
      </c>
      <c r="J20" s="5">
        <v>1</v>
      </c>
      <c r="K20" s="5">
        <v>3</v>
      </c>
    </row>
    <row r="21" spans="1:11" x14ac:dyDescent="0.25">
      <c r="A21" s="11">
        <v>58</v>
      </c>
      <c r="B21" s="5">
        <v>0</v>
      </c>
      <c r="C21" s="5">
        <v>170</v>
      </c>
      <c r="D21" s="5">
        <v>225</v>
      </c>
      <c r="E21" s="5">
        <v>1</v>
      </c>
      <c r="F21" s="5">
        <v>0</v>
      </c>
      <c r="G21" s="5">
        <v>146</v>
      </c>
      <c r="H21" s="5">
        <v>1</v>
      </c>
      <c r="I21" s="5">
        <v>2.8</v>
      </c>
      <c r="J21" s="5">
        <v>1</v>
      </c>
      <c r="K21" s="5">
        <v>1</v>
      </c>
    </row>
    <row r="22" spans="1:11" x14ac:dyDescent="0.25">
      <c r="A22" s="11">
        <v>65</v>
      </c>
      <c r="B22" s="5">
        <v>0</v>
      </c>
      <c r="C22" s="5">
        <v>150</v>
      </c>
      <c r="D22" s="5">
        <v>225</v>
      </c>
      <c r="E22" s="5">
        <v>0</v>
      </c>
      <c r="F22" s="5">
        <v>0</v>
      </c>
      <c r="G22" s="5">
        <v>114</v>
      </c>
      <c r="H22" s="5">
        <v>0</v>
      </c>
      <c r="I22" s="5">
        <v>1</v>
      </c>
      <c r="J22" s="5">
        <v>1</v>
      </c>
      <c r="K22" s="5">
        <v>3</v>
      </c>
    </row>
    <row r="23" spans="1:11" x14ac:dyDescent="0.25">
      <c r="A23" s="11">
        <v>55</v>
      </c>
      <c r="B23" s="5">
        <v>0</v>
      </c>
      <c r="C23" s="5">
        <v>128</v>
      </c>
      <c r="D23" s="5">
        <v>205</v>
      </c>
      <c r="E23" s="5">
        <v>0</v>
      </c>
      <c r="F23" s="5">
        <v>2</v>
      </c>
      <c r="G23" s="5">
        <v>130</v>
      </c>
      <c r="H23" s="5">
        <v>1</v>
      </c>
      <c r="I23" s="5">
        <v>2</v>
      </c>
      <c r="J23" s="5">
        <v>1</v>
      </c>
      <c r="K23" s="5">
        <v>3</v>
      </c>
    </row>
    <row r="24" spans="1:11" x14ac:dyDescent="0.25">
      <c r="A24" s="11">
        <v>63</v>
      </c>
      <c r="B24" s="5">
        <v>0</v>
      </c>
      <c r="C24" s="5">
        <v>124</v>
      </c>
      <c r="D24" s="5">
        <v>197</v>
      </c>
      <c r="E24" s="5">
        <v>0</v>
      </c>
      <c r="F24" s="5">
        <v>1</v>
      </c>
      <c r="G24" s="5">
        <v>136</v>
      </c>
      <c r="H24" s="5">
        <v>1</v>
      </c>
      <c r="I24" s="5">
        <v>0</v>
      </c>
      <c r="J24" s="5">
        <v>1</v>
      </c>
      <c r="K24" s="5">
        <v>2</v>
      </c>
    </row>
    <row r="25" spans="1:11" x14ac:dyDescent="0.25">
      <c r="A25" s="10">
        <v>62</v>
      </c>
      <c r="B25" s="6">
        <v>0</v>
      </c>
      <c r="C25" s="6">
        <v>160</v>
      </c>
      <c r="D25" s="6">
        <v>164</v>
      </c>
      <c r="E25" s="6">
        <v>0</v>
      </c>
      <c r="F25" s="6">
        <v>0</v>
      </c>
      <c r="G25" s="6">
        <v>145</v>
      </c>
      <c r="H25" s="6">
        <v>0</v>
      </c>
      <c r="I25" s="6">
        <v>6.2</v>
      </c>
      <c r="J25" s="6">
        <v>0</v>
      </c>
      <c r="K25" s="6">
        <v>3</v>
      </c>
    </row>
  </sheetData>
  <conditionalFormatting sqref="C1:C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</vt:lpstr>
      <vt:lpstr>categorical_analysis</vt:lpstr>
      <vt:lpstr>all_patients</vt:lpstr>
      <vt:lpstr>diseased_patients</vt:lpstr>
      <vt:lpstr>non_diseased_patients</vt:lpstr>
      <vt:lpstr>diseased-males</vt:lpstr>
      <vt:lpstr>diseased-females</vt:lpstr>
      <vt:lpstr>non-diseased_males</vt:lpstr>
      <vt:lpstr>non-diseased_females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</dc:creator>
  <cp:lastModifiedBy>Jake</cp:lastModifiedBy>
  <dcterms:created xsi:type="dcterms:W3CDTF">2026-08-17T13:03:20Z</dcterms:created>
  <dcterms:modified xsi:type="dcterms:W3CDTF">2026-08-24T16:02:59Z</dcterms:modified>
</cp:coreProperties>
</file>